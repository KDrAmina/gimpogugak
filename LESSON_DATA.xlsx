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N\Desktop\"/>
    </mc:Choice>
  </mc:AlternateContent>
  <xr:revisionPtr revIDLastSave="0" documentId="13_ncr:1_{AB8E1E39-2A00-497C-82EB-EA8359546D95}" xr6:coauthVersionLast="47" xr6:coauthVersionMax="47" xr10:uidLastSave="{00000000-0000-0000-0000-000000000000}"/>
  <bookViews>
    <workbookView xWindow="-80" yWindow="120" windowWidth="38110" windowHeight="20550" tabRatio="527" firstSheet="14" activeTab="14" xr2:uid="{DBAC77AF-C0F9-418F-8BCA-02060AFA362B}"/>
  </bookViews>
  <sheets>
    <sheet name="시간표" sheetId="11" state="hidden" r:id="rId1"/>
    <sheet name="24년1월" sheetId="12" state="hidden" r:id="rId2"/>
    <sheet name="24년2월" sheetId="13" state="hidden" r:id="rId3"/>
    <sheet name="24년3월" sheetId="14" state="hidden" r:id="rId4"/>
    <sheet name="24년4월" sheetId="15" state="hidden" r:id="rId5"/>
    <sheet name="24년5월" sheetId="17" state="hidden" r:id="rId6"/>
    <sheet name="24년6월" sheetId="18" state="hidden" r:id="rId7"/>
    <sheet name="24년7월" sheetId="19" state="hidden" r:id="rId8"/>
    <sheet name="악기24년" sheetId="9" state="hidden" r:id="rId9"/>
    <sheet name="123" sheetId="3" state="hidden" r:id="rId10"/>
    <sheet name="구로" sheetId="8" state="hidden" r:id="rId11"/>
    <sheet name="외부23년" sheetId="4" state="hidden" r:id="rId12"/>
    <sheet name="악기25년" sheetId="22" state="hidden" r:id="rId13"/>
    <sheet name="23년구" sheetId="1" state="hidden" r:id="rId14"/>
    <sheet name="23년" sheetId="27" r:id="rId15"/>
    <sheet name="24년" sheetId="5" r:id="rId16"/>
    <sheet name="25년" sheetId="20" r:id="rId17"/>
    <sheet name="26년" sheetId="23" r:id="rId18"/>
    <sheet name="외부24년" sheetId="7" r:id="rId19"/>
    <sheet name="외부25년" sheetId="21" r:id="rId20"/>
    <sheet name="외부26년" sheetId="25" r:id="rId21"/>
    <sheet name="통계" sheetId="26" state="hidden" r:id="rId22"/>
  </sheets>
  <definedNames>
    <definedName name="_xlnm._FilterDatabase" localSheetId="15" hidden="1">'24년'!$A$8:$AE$59</definedName>
    <definedName name="_xlnm._FilterDatabase" localSheetId="21" hidden="1">통계!$A$1:$F$89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W3" i="27" l="1"/>
  <c r="AC3" i="27"/>
  <c r="AF3" i="27" s="1"/>
  <c r="F3" i="27"/>
  <c r="AG3" i="27"/>
  <c r="AE3" i="27"/>
  <c r="F34" i="27"/>
  <c r="F22" i="27"/>
  <c r="AG3" i="5"/>
  <c r="X3" i="7"/>
  <c r="F3" i="20"/>
  <c r="F36" i="5"/>
  <c r="AE30" i="5"/>
  <c r="F30" i="5"/>
  <c r="F33" i="20"/>
  <c r="AH3" i="20" l="1"/>
  <c r="AH3" i="23"/>
  <c r="AE1" i="27"/>
  <c r="F10" i="27"/>
  <c r="AC1" i="27"/>
  <c r="AA3" i="27"/>
  <c r="AA1" i="27" s="1"/>
  <c r="Y3" i="27"/>
  <c r="Y1" i="27" s="1"/>
  <c r="W1" i="27"/>
  <c r="U3" i="27"/>
  <c r="U1" i="27" s="1"/>
  <c r="S3" i="27"/>
  <c r="S1" i="27" s="1"/>
  <c r="Q3" i="27"/>
  <c r="Q1" i="27" s="1"/>
  <c r="O3" i="27"/>
  <c r="O1" i="27" s="1"/>
  <c r="M3" i="27"/>
  <c r="M1" i="27" s="1"/>
  <c r="AF9" i="27"/>
  <c r="B5" i="27"/>
  <c r="I3" i="27"/>
  <c r="F44" i="23"/>
  <c r="F21" i="26"/>
  <c r="F18" i="26"/>
  <c r="F3" i="26"/>
  <c r="F70" i="26"/>
  <c r="F73" i="26"/>
  <c r="F40" i="26"/>
  <c r="F20" i="26"/>
  <c r="F44" i="26"/>
  <c r="F62" i="26"/>
  <c r="F11" i="26"/>
  <c r="F15" i="26"/>
  <c r="F74" i="26"/>
  <c r="F9" i="26"/>
  <c r="F59" i="26"/>
  <c r="F16" i="26"/>
  <c r="F68" i="26"/>
  <c r="F49" i="26"/>
  <c r="F56" i="26"/>
  <c r="F51" i="26"/>
  <c r="F75" i="26"/>
  <c r="F36" i="26"/>
  <c r="F60" i="26"/>
  <c r="F76" i="26"/>
  <c r="F43" i="26"/>
  <c r="F39" i="26"/>
  <c r="F79" i="26"/>
  <c r="F4" i="26"/>
  <c r="F77" i="26"/>
  <c r="F66" i="26"/>
  <c r="F41" i="26"/>
  <c r="F55" i="26"/>
  <c r="F6" i="26"/>
  <c r="F57" i="26"/>
  <c r="F78" i="26"/>
  <c r="F53" i="26"/>
  <c r="F35" i="26"/>
  <c r="F64" i="26"/>
  <c r="F2" i="26"/>
  <c r="F13" i="26"/>
  <c r="F14" i="26"/>
  <c r="F7" i="26"/>
  <c r="F42" i="26"/>
  <c r="F28" i="26"/>
  <c r="F8" i="26"/>
  <c r="F34" i="26"/>
  <c r="F30" i="26"/>
  <c r="F61" i="26"/>
  <c r="F27" i="26"/>
  <c r="F54" i="26"/>
  <c r="F71" i="26"/>
  <c r="F63" i="26"/>
  <c r="F17" i="26"/>
  <c r="F58" i="26"/>
  <c r="F45" i="26"/>
  <c r="F48" i="26"/>
  <c r="F26" i="26"/>
  <c r="F10" i="26"/>
  <c r="F46" i="26"/>
  <c r="F29" i="26"/>
  <c r="F67" i="26"/>
  <c r="F52" i="26"/>
  <c r="F25" i="26"/>
  <c r="F50" i="26"/>
  <c r="F23" i="26"/>
  <c r="F12" i="26"/>
  <c r="F47" i="26"/>
  <c r="F37" i="26"/>
  <c r="F24" i="26"/>
  <c r="F33" i="26"/>
  <c r="F32" i="26"/>
  <c r="F31" i="26"/>
  <c r="F65" i="26"/>
  <c r="F38" i="26"/>
  <c r="F19" i="26"/>
  <c r="F69" i="26"/>
  <c r="F72" i="26"/>
  <c r="F22" i="26"/>
  <c r="F5" i="26"/>
  <c r="K3" i="27" l="1"/>
  <c r="K1" i="27" s="1"/>
  <c r="I1" i="27"/>
  <c r="AQ4" i="25"/>
  <c r="AN4" i="25"/>
  <c r="AK4" i="25"/>
  <c r="AH4" i="25"/>
  <c r="AE4" i="25"/>
  <c r="AB4" i="25"/>
  <c r="Y4" i="25"/>
  <c r="V4" i="25"/>
  <c r="S4" i="25"/>
  <c r="P4" i="25"/>
  <c r="M4" i="25"/>
  <c r="J4" i="25"/>
  <c r="C4" i="25"/>
  <c r="AQ54" i="25"/>
  <c r="AN54" i="25"/>
  <c r="AK54" i="25"/>
  <c r="AH54" i="25"/>
  <c r="AE54" i="25"/>
  <c r="AB54" i="25"/>
  <c r="Y54" i="25"/>
  <c r="V54" i="25"/>
  <c r="S54" i="25"/>
  <c r="P54" i="25"/>
  <c r="M54" i="25"/>
  <c r="J54" i="25"/>
  <c r="C54" i="25"/>
  <c r="AS3" i="25"/>
  <c r="AE5" i="23" s="1"/>
  <c r="AR3" i="25"/>
  <c r="AP3" i="25"/>
  <c r="AC5" i="23" s="1"/>
  <c r="AC3" i="23" s="1"/>
  <c r="AC1" i="23" s="1"/>
  <c r="AO3" i="25"/>
  <c r="AM3" i="25"/>
  <c r="AA5" i="23" s="1"/>
  <c r="AA3" i="23" s="1"/>
  <c r="AA1" i="23" s="1"/>
  <c r="AL3" i="25"/>
  <c r="AJ3" i="25"/>
  <c r="Y5" i="23" s="1"/>
  <c r="Y3" i="23" s="1"/>
  <c r="Y1" i="23" s="1"/>
  <c r="AI3" i="25"/>
  <c r="AG3" i="25"/>
  <c r="W5" i="23" s="1"/>
  <c r="W3" i="23" s="1"/>
  <c r="W1" i="23" s="1"/>
  <c r="AF3" i="25"/>
  <c r="AD3" i="25"/>
  <c r="U5" i="23" s="1"/>
  <c r="U3" i="23" s="1"/>
  <c r="U1" i="23" s="1"/>
  <c r="AC3" i="25"/>
  <c r="AA3" i="25"/>
  <c r="S5" i="23" s="1"/>
  <c r="S3" i="23" s="1"/>
  <c r="S1" i="23" s="1"/>
  <c r="Z3" i="25"/>
  <c r="X3" i="25"/>
  <c r="Q5" i="23" s="1"/>
  <c r="Q3" i="23" s="1"/>
  <c r="Q1" i="23" s="1"/>
  <c r="W3" i="25"/>
  <c r="U3" i="25"/>
  <c r="O5" i="23" s="1"/>
  <c r="O3" i="23" s="1"/>
  <c r="O1" i="23" s="1"/>
  <c r="T3" i="25"/>
  <c r="R3" i="25"/>
  <c r="Q3" i="25"/>
  <c r="O3" i="25"/>
  <c r="K5" i="23" s="1"/>
  <c r="K3" i="23" s="1"/>
  <c r="K1" i="23" s="1"/>
  <c r="N3" i="25"/>
  <c r="L3" i="25"/>
  <c r="I5" i="23" s="1"/>
  <c r="I3" i="23" s="1"/>
  <c r="K3" i="25"/>
  <c r="H3" i="25"/>
  <c r="G3" i="25"/>
  <c r="F90" i="23"/>
  <c r="F59" i="23"/>
  <c r="AE31" i="23"/>
  <c r="D1" i="23" s="1"/>
  <c r="F31" i="23"/>
  <c r="F18" i="23"/>
  <c r="M5" i="23" l="1"/>
  <c r="M3" i="23" s="1"/>
  <c r="M1" i="23" s="1"/>
  <c r="B1" i="27"/>
  <c r="F1" i="27" s="1"/>
  <c r="F3" i="23"/>
  <c r="AE3" i="23"/>
  <c r="D1" i="25"/>
  <c r="B1" i="25"/>
  <c r="I1" i="23"/>
  <c r="F76" i="20"/>
  <c r="AE25" i="20"/>
  <c r="D1" i="20" s="1"/>
  <c r="M7" i="20"/>
  <c r="O7" i="20"/>
  <c r="Q7" i="20"/>
  <c r="S7" i="20"/>
  <c r="U7" i="20"/>
  <c r="W7" i="20"/>
  <c r="Y7" i="20"/>
  <c r="AA7" i="20"/>
  <c r="AC7" i="20"/>
  <c r="AE7" i="20"/>
  <c r="K7" i="20"/>
  <c r="I7" i="20"/>
  <c r="F48" i="20"/>
  <c r="F25" i="20"/>
  <c r="F17" i="20"/>
  <c r="F8" i="20"/>
  <c r="AE134" i="5"/>
  <c r="D1" i="5" s="1"/>
  <c r="F111" i="5"/>
  <c r="F134" i="5"/>
  <c r="AC3" i="22"/>
  <c r="AA3" i="22"/>
  <c r="Y3" i="22"/>
  <c r="W3" i="22"/>
  <c r="U3" i="22"/>
  <c r="S3" i="22"/>
  <c r="Q3" i="22"/>
  <c r="O3" i="22"/>
  <c r="M3" i="22"/>
  <c r="K3" i="22"/>
  <c r="I3" i="22"/>
  <c r="G3" i="22"/>
  <c r="B1" i="22" s="1"/>
  <c r="E3" i="22"/>
  <c r="I10" i="5"/>
  <c r="K10" i="5"/>
  <c r="AP5" i="21"/>
  <c r="AM5" i="21"/>
  <c r="AJ5" i="21"/>
  <c r="AG5" i="21"/>
  <c r="AD5" i="21"/>
  <c r="AA5" i="21"/>
  <c r="X5" i="21"/>
  <c r="U5" i="21"/>
  <c r="R5" i="21"/>
  <c r="O5" i="21"/>
  <c r="L5" i="21"/>
  <c r="I5" i="21"/>
  <c r="C5" i="21"/>
  <c r="AR3" i="21"/>
  <c r="AQ3" i="21"/>
  <c r="AO3" i="21"/>
  <c r="AN3" i="21"/>
  <c r="AL3" i="21"/>
  <c r="AK3" i="21"/>
  <c r="AI3" i="21"/>
  <c r="AH3" i="21"/>
  <c r="AF3" i="21"/>
  <c r="AE3" i="21"/>
  <c r="AC3" i="21"/>
  <c r="AB3" i="21"/>
  <c r="Z3" i="21"/>
  <c r="Y3" i="21"/>
  <c r="W3" i="21"/>
  <c r="V3" i="21"/>
  <c r="T3" i="21"/>
  <c r="S3" i="21"/>
  <c r="Q3" i="21"/>
  <c r="P3" i="21"/>
  <c r="N3" i="21"/>
  <c r="M3" i="21"/>
  <c r="K3" i="21"/>
  <c r="J3" i="21"/>
  <c r="G3" i="21"/>
  <c r="F3" i="21"/>
  <c r="D5" i="11"/>
  <c r="E5" i="11"/>
  <c r="D6" i="11"/>
  <c r="E6" i="11"/>
  <c r="D7" i="11"/>
  <c r="E7" i="11"/>
  <c r="D8" i="11"/>
  <c r="E8" i="11"/>
  <c r="D9" i="11"/>
  <c r="E9" i="11"/>
  <c r="D10" i="11"/>
  <c r="E10" i="11"/>
  <c r="D11" i="11"/>
  <c r="E11" i="11"/>
  <c r="D12" i="11"/>
  <c r="E12" i="11"/>
  <c r="D13" i="11"/>
  <c r="E13" i="11"/>
  <c r="D14" i="11"/>
  <c r="E14" i="11"/>
  <c r="D3" i="11"/>
  <c r="H5" i="11"/>
  <c r="I5" i="11"/>
  <c r="H6" i="11"/>
  <c r="I6" i="11"/>
  <c r="H7" i="11"/>
  <c r="I7" i="11"/>
  <c r="H8" i="11"/>
  <c r="I8" i="11"/>
  <c r="H9" i="11"/>
  <c r="I9" i="11"/>
  <c r="F5" i="11"/>
  <c r="G5" i="11"/>
  <c r="F6" i="11"/>
  <c r="G6" i="11"/>
  <c r="F7" i="11"/>
  <c r="G7" i="11"/>
  <c r="F8" i="11"/>
  <c r="G8" i="11"/>
  <c r="F9" i="11"/>
  <c r="G9" i="11"/>
  <c r="F10" i="11"/>
  <c r="G10" i="11"/>
  <c r="D4" i="11"/>
  <c r="E4" i="11"/>
  <c r="B4" i="11"/>
  <c r="C4" i="11"/>
  <c r="B5" i="11"/>
  <c r="C5" i="11"/>
  <c r="B6" i="11"/>
  <c r="C6" i="11"/>
  <c r="B7" i="11"/>
  <c r="C7" i="11"/>
  <c r="B8" i="11"/>
  <c r="C8" i="11"/>
  <c r="B9" i="11"/>
  <c r="C9" i="11"/>
  <c r="B10" i="11"/>
  <c r="C10" i="11"/>
  <c r="B11" i="11"/>
  <c r="C11" i="11"/>
  <c r="B12" i="11"/>
  <c r="C12" i="11"/>
  <c r="B13" i="11"/>
  <c r="C13" i="11"/>
  <c r="B14" i="11"/>
  <c r="C14" i="11"/>
  <c r="B15" i="11"/>
  <c r="C15" i="11"/>
  <c r="B16" i="11"/>
  <c r="C16" i="11"/>
  <c r="E3" i="11"/>
  <c r="D23" i="18"/>
  <c r="D22" i="18"/>
  <c r="B22" i="18"/>
  <c r="D21" i="18"/>
  <c r="B21" i="18"/>
  <c r="D20" i="18"/>
  <c r="B20" i="18"/>
  <c r="D19" i="18"/>
  <c r="B19" i="18"/>
  <c r="D18" i="18"/>
  <c r="B18" i="18"/>
  <c r="D17" i="18"/>
  <c r="B17" i="18"/>
  <c r="D16" i="18"/>
  <c r="B16" i="18"/>
  <c r="B15" i="18"/>
  <c r="B14" i="18"/>
  <c r="B13" i="18"/>
  <c r="B12" i="18"/>
  <c r="D11" i="18"/>
  <c r="B11" i="18"/>
  <c r="D10" i="18"/>
  <c r="B10" i="18"/>
  <c r="D9" i="18"/>
  <c r="B9" i="18"/>
  <c r="D8" i="18"/>
  <c r="B8" i="18"/>
  <c r="D7" i="18"/>
  <c r="B7" i="18"/>
  <c r="D6" i="18"/>
  <c r="B6" i="18"/>
  <c r="D5" i="18"/>
  <c r="B5" i="18"/>
  <c r="F4" i="18"/>
  <c r="D4" i="18"/>
  <c r="B4" i="18"/>
  <c r="F3" i="18"/>
  <c r="D3" i="18"/>
  <c r="B3" i="18"/>
  <c r="D22" i="19"/>
  <c r="D21" i="19"/>
  <c r="D20" i="19"/>
  <c r="D19" i="19"/>
  <c r="D18" i="19"/>
  <c r="D17" i="19"/>
  <c r="B21" i="19"/>
  <c r="B20" i="19"/>
  <c r="B19" i="19"/>
  <c r="B18" i="19"/>
  <c r="B17" i="19"/>
  <c r="B16" i="19"/>
  <c r="B15" i="19"/>
  <c r="B14" i="19"/>
  <c r="B13" i="19"/>
  <c r="B12" i="19"/>
  <c r="B11" i="19"/>
  <c r="B10" i="19"/>
  <c r="B9" i="19"/>
  <c r="B8" i="19"/>
  <c r="B7" i="19"/>
  <c r="B6" i="19"/>
  <c r="B5" i="19"/>
  <c r="B4" i="19"/>
  <c r="B3" i="19"/>
  <c r="B2" i="19"/>
  <c r="D16" i="19"/>
  <c r="D15" i="19"/>
  <c r="D14" i="19"/>
  <c r="D11" i="19"/>
  <c r="D10" i="19"/>
  <c r="D9" i="19"/>
  <c r="D8" i="19"/>
  <c r="D7" i="19"/>
  <c r="D6" i="19"/>
  <c r="D5" i="19"/>
  <c r="D4" i="19"/>
  <c r="F3" i="19"/>
  <c r="D3" i="19"/>
  <c r="F2" i="19"/>
  <c r="D2" i="19"/>
  <c r="H4" i="11"/>
  <c r="I4" i="11"/>
  <c r="M10" i="5"/>
  <c r="O10" i="5"/>
  <c r="Q10" i="5"/>
  <c r="S10" i="5"/>
  <c r="U10" i="5"/>
  <c r="W10" i="5"/>
  <c r="Y10" i="5"/>
  <c r="AA10" i="5"/>
  <c r="AC10" i="5"/>
  <c r="AE10" i="5"/>
  <c r="C3" i="11"/>
  <c r="B3" i="11"/>
  <c r="F22" i="5"/>
  <c r="F47" i="5"/>
  <c r="F56" i="5"/>
  <c r="F2" i="18"/>
  <c r="D2" i="18"/>
  <c r="B2" i="18"/>
  <c r="F4" i="11"/>
  <c r="G4" i="11"/>
  <c r="D24" i="17"/>
  <c r="D23" i="17"/>
  <c r="D22" i="17"/>
  <c r="D21" i="17"/>
  <c r="D20" i="17"/>
  <c r="D19" i="17"/>
  <c r="D18" i="17"/>
  <c r="F4" i="17"/>
  <c r="F3" i="17"/>
  <c r="F3" i="11"/>
  <c r="H3" i="11"/>
  <c r="B14" i="17"/>
  <c r="B2" i="17"/>
  <c r="D2" i="17"/>
  <c r="F2" i="17"/>
  <c r="B3" i="17"/>
  <c r="D3" i="17"/>
  <c r="B4" i="17"/>
  <c r="D4" i="17"/>
  <c r="B5" i="17"/>
  <c r="D5" i="17"/>
  <c r="B6" i="17"/>
  <c r="D6" i="17"/>
  <c r="B7" i="17"/>
  <c r="D7" i="17"/>
  <c r="B8" i="17"/>
  <c r="D8" i="17"/>
  <c r="B9" i="17"/>
  <c r="D9" i="17"/>
  <c r="B10" i="17"/>
  <c r="D10" i="17"/>
  <c r="B11" i="17"/>
  <c r="D11" i="17"/>
  <c r="B12" i="17"/>
  <c r="D12" i="17"/>
  <c r="B13" i="17"/>
  <c r="D13" i="17"/>
  <c r="B15" i="17"/>
  <c r="B16" i="17"/>
  <c r="B17" i="17"/>
  <c r="B18" i="17"/>
  <c r="B19" i="17"/>
  <c r="B20" i="17"/>
  <c r="B21" i="17"/>
  <c r="B25" i="15"/>
  <c r="D24" i="15"/>
  <c r="B24" i="15"/>
  <c r="D23" i="15"/>
  <c r="D22" i="15"/>
  <c r="D21" i="15"/>
  <c r="B21" i="15"/>
  <c r="D20" i="15"/>
  <c r="B20" i="15"/>
  <c r="D19" i="15"/>
  <c r="B19" i="15"/>
  <c r="D18" i="15"/>
  <c r="B18" i="15"/>
  <c r="B17" i="15"/>
  <c r="B16" i="15"/>
  <c r="B15" i="15"/>
  <c r="B14" i="15"/>
  <c r="D13" i="15"/>
  <c r="B13" i="15"/>
  <c r="D12" i="15"/>
  <c r="B12" i="15"/>
  <c r="D11" i="15"/>
  <c r="B11" i="15"/>
  <c r="D10" i="15"/>
  <c r="B10" i="15"/>
  <c r="D9" i="15"/>
  <c r="B9" i="15"/>
  <c r="D8" i="15"/>
  <c r="B8" i="15"/>
  <c r="D7" i="15"/>
  <c r="B7" i="15"/>
  <c r="D6" i="15"/>
  <c r="B6" i="15"/>
  <c r="F5" i="15"/>
  <c r="D5" i="15"/>
  <c r="B5" i="15"/>
  <c r="F4" i="15"/>
  <c r="D4" i="15"/>
  <c r="B4" i="15"/>
  <c r="F3" i="15"/>
  <c r="D3" i="15"/>
  <c r="B3" i="15"/>
  <c r="F2" i="15"/>
  <c r="D2" i="15"/>
  <c r="B2" i="15"/>
  <c r="I3" i="11"/>
  <c r="AS3" i="7"/>
  <c r="AE9" i="5" s="1"/>
  <c r="AR3" i="7"/>
  <c r="AP3" i="7"/>
  <c r="AC9" i="5" s="1"/>
  <c r="AO3" i="7"/>
  <c r="AM3" i="7"/>
  <c r="AA9" i="5" s="1"/>
  <c r="AL3" i="7"/>
  <c r="AJ3" i="7"/>
  <c r="Y9" i="5" s="1"/>
  <c r="AI3" i="7"/>
  <c r="AG3" i="7"/>
  <c r="W9" i="5" s="1"/>
  <c r="AF3" i="7"/>
  <c r="AD3" i="7"/>
  <c r="U9" i="5" s="1"/>
  <c r="AC3" i="7"/>
  <c r="AA3" i="7"/>
  <c r="S9" i="5" s="1"/>
  <c r="Z3" i="7"/>
  <c r="Q9" i="5"/>
  <c r="W3" i="7"/>
  <c r="U3" i="7"/>
  <c r="O9" i="5" s="1"/>
  <c r="T3" i="7"/>
  <c r="R3" i="7"/>
  <c r="M9" i="5" s="1"/>
  <c r="Q3" i="7"/>
  <c r="O3" i="7"/>
  <c r="K9" i="5" s="1"/>
  <c r="N3" i="7"/>
  <c r="L3" i="7"/>
  <c r="I9" i="5" s="1"/>
  <c r="K3" i="7"/>
  <c r="H3" i="7"/>
  <c r="G3" i="7"/>
  <c r="AQ35" i="7"/>
  <c r="AN35" i="7"/>
  <c r="AK35" i="7"/>
  <c r="AH35" i="7"/>
  <c r="AE35" i="7"/>
  <c r="AB35" i="7"/>
  <c r="Y35" i="7"/>
  <c r="V35" i="7"/>
  <c r="S35" i="7"/>
  <c r="P35" i="7"/>
  <c r="M35" i="7"/>
  <c r="J35" i="7"/>
  <c r="C35" i="7"/>
  <c r="D93" i="14"/>
  <c r="D65" i="14"/>
  <c r="D37" i="14"/>
  <c r="D10" i="14"/>
  <c r="B25" i="14"/>
  <c r="D24" i="14"/>
  <c r="B24" i="14"/>
  <c r="D23" i="14"/>
  <c r="D22" i="14"/>
  <c r="D21" i="14"/>
  <c r="D20" i="14"/>
  <c r="D19" i="14"/>
  <c r="D18" i="14"/>
  <c r="B14" i="14"/>
  <c r="D13" i="14"/>
  <c r="B13" i="14"/>
  <c r="D12" i="14"/>
  <c r="B12" i="14"/>
  <c r="D11" i="14"/>
  <c r="B11" i="14"/>
  <c r="B10" i="14"/>
  <c r="D9" i="14"/>
  <c r="B9" i="14"/>
  <c r="D8" i="14"/>
  <c r="B8" i="14"/>
  <c r="D7" i="14"/>
  <c r="B7" i="14"/>
  <c r="D6" i="14"/>
  <c r="B6" i="14"/>
  <c r="D5" i="14"/>
  <c r="B5" i="14"/>
  <c r="D4" i="14"/>
  <c r="B4" i="14"/>
  <c r="F3" i="14"/>
  <c r="D3" i="14"/>
  <c r="B3" i="14"/>
  <c r="F2" i="14"/>
  <c r="D2" i="14"/>
  <c r="B2" i="14"/>
  <c r="B52" i="14"/>
  <c r="D51" i="14"/>
  <c r="B51" i="14"/>
  <c r="D50" i="14"/>
  <c r="D49" i="14"/>
  <c r="D48" i="14"/>
  <c r="D47" i="14"/>
  <c r="D46" i="14"/>
  <c r="D45" i="14"/>
  <c r="B41" i="14"/>
  <c r="D40" i="14"/>
  <c r="B40" i="14"/>
  <c r="D39" i="14"/>
  <c r="B39" i="14"/>
  <c r="D38" i="14"/>
  <c r="B38" i="14"/>
  <c r="B37" i="14"/>
  <c r="D36" i="14"/>
  <c r="B36" i="14"/>
  <c r="D35" i="14"/>
  <c r="B35" i="14"/>
  <c r="D34" i="14"/>
  <c r="B34" i="14"/>
  <c r="D33" i="14"/>
  <c r="B33" i="14"/>
  <c r="D32" i="14"/>
  <c r="B32" i="14"/>
  <c r="D31" i="14"/>
  <c r="B31" i="14"/>
  <c r="F30" i="14"/>
  <c r="D30" i="14"/>
  <c r="B30" i="14"/>
  <c r="F29" i="14"/>
  <c r="D29" i="14"/>
  <c r="B29" i="14"/>
  <c r="B80" i="14"/>
  <c r="D79" i="14"/>
  <c r="B79" i="14"/>
  <c r="D78" i="14"/>
  <c r="D77" i="14"/>
  <c r="D76" i="14"/>
  <c r="D75" i="14"/>
  <c r="D74" i="14"/>
  <c r="D73" i="14"/>
  <c r="B69" i="14"/>
  <c r="D68" i="14"/>
  <c r="B68" i="14"/>
  <c r="D67" i="14"/>
  <c r="B67" i="14"/>
  <c r="D66" i="14"/>
  <c r="B66" i="14"/>
  <c r="B65" i="14"/>
  <c r="D64" i="14"/>
  <c r="B64" i="14"/>
  <c r="D63" i="14"/>
  <c r="B63" i="14"/>
  <c r="D62" i="14"/>
  <c r="B62" i="14"/>
  <c r="D61" i="14"/>
  <c r="B61" i="14"/>
  <c r="D60" i="14"/>
  <c r="B60" i="14"/>
  <c r="D59" i="14"/>
  <c r="B59" i="14"/>
  <c r="F58" i="14"/>
  <c r="D58" i="14"/>
  <c r="B58" i="14"/>
  <c r="F57" i="14"/>
  <c r="D57" i="14"/>
  <c r="B57" i="14"/>
  <c r="B97" i="14"/>
  <c r="B96" i="14"/>
  <c r="B95" i="14"/>
  <c r="B94" i="14"/>
  <c r="B93" i="14"/>
  <c r="B92" i="14"/>
  <c r="B91" i="14"/>
  <c r="B90" i="14"/>
  <c r="B89" i="14"/>
  <c r="B88" i="14"/>
  <c r="B87" i="14"/>
  <c r="B86" i="14"/>
  <c r="D95" i="14"/>
  <c r="B108" i="14"/>
  <c r="D107" i="14"/>
  <c r="B107" i="14"/>
  <c r="D106" i="14"/>
  <c r="D105" i="14"/>
  <c r="D104" i="14"/>
  <c r="D103" i="14"/>
  <c r="D102" i="14"/>
  <c r="D101" i="14"/>
  <c r="D96" i="14"/>
  <c r="D94" i="14"/>
  <c r="D92" i="14"/>
  <c r="D91" i="14"/>
  <c r="D90" i="14"/>
  <c r="D89" i="14"/>
  <c r="D88" i="14"/>
  <c r="D87" i="14"/>
  <c r="F86" i="14"/>
  <c r="D86" i="14"/>
  <c r="F85" i="14"/>
  <c r="D85" i="14"/>
  <c r="B85" i="14"/>
  <c r="D19" i="13"/>
  <c r="B19" i="13"/>
  <c r="D18" i="13"/>
  <c r="B18" i="13"/>
  <c r="D17" i="13"/>
  <c r="B17" i="13"/>
  <c r="D16" i="13"/>
  <c r="B16" i="13"/>
  <c r="D15" i="13"/>
  <c r="B15" i="13"/>
  <c r="D14" i="13"/>
  <c r="B14" i="13"/>
  <c r="D13" i="13"/>
  <c r="B13" i="13"/>
  <c r="D12" i="13"/>
  <c r="B12" i="13"/>
  <c r="D11" i="13"/>
  <c r="B11" i="13"/>
  <c r="B10" i="13"/>
  <c r="D9" i="13"/>
  <c r="B9" i="13"/>
  <c r="D8" i="13"/>
  <c r="B8" i="13"/>
  <c r="D7" i="13"/>
  <c r="B7" i="13"/>
  <c r="D6" i="13"/>
  <c r="B6" i="13"/>
  <c r="D5" i="13"/>
  <c r="B5" i="13"/>
  <c r="F4" i="13"/>
  <c r="D4" i="13"/>
  <c r="B4" i="13"/>
  <c r="F3" i="13"/>
  <c r="D3" i="13"/>
  <c r="B3" i="13"/>
  <c r="F2" i="13"/>
  <c r="D2" i="13"/>
  <c r="B2" i="13"/>
  <c r="D47" i="13"/>
  <c r="B47" i="13"/>
  <c r="D46" i="13"/>
  <c r="B46" i="13"/>
  <c r="D45" i="13"/>
  <c r="B45" i="13"/>
  <c r="D44" i="13"/>
  <c r="B44" i="13"/>
  <c r="D43" i="13"/>
  <c r="B43" i="13"/>
  <c r="D42" i="13"/>
  <c r="B42" i="13"/>
  <c r="D41" i="13"/>
  <c r="B41" i="13"/>
  <c r="D40" i="13"/>
  <c r="B40" i="13"/>
  <c r="D39" i="13"/>
  <c r="B39" i="13"/>
  <c r="B38" i="13"/>
  <c r="D37" i="13"/>
  <c r="B37" i="13"/>
  <c r="D36" i="13"/>
  <c r="B36" i="13"/>
  <c r="D35" i="13"/>
  <c r="B35" i="13"/>
  <c r="D34" i="13"/>
  <c r="B34" i="13"/>
  <c r="D33" i="13"/>
  <c r="B33" i="13"/>
  <c r="F32" i="13"/>
  <c r="D32" i="13"/>
  <c r="B32" i="13"/>
  <c r="F31" i="13"/>
  <c r="D31" i="13"/>
  <c r="B31" i="13"/>
  <c r="F30" i="13"/>
  <c r="D30" i="13"/>
  <c r="B30" i="13"/>
  <c r="D74" i="13"/>
  <c r="B74" i="13"/>
  <c r="D73" i="13"/>
  <c r="B73" i="13"/>
  <c r="D72" i="13"/>
  <c r="B72" i="13"/>
  <c r="D71" i="13"/>
  <c r="B71" i="13"/>
  <c r="D70" i="13"/>
  <c r="B70" i="13"/>
  <c r="D69" i="13"/>
  <c r="B69" i="13"/>
  <c r="D68" i="13"/>
  <c r="B68" i="13"/>
  <c r="D67" i="13"/>
  <c r="B67" i="13"/>
  <c r="D66" i="13"/>
  <c r="B66" i="13"/>
  <c r="B65" i="13"/>
  <c r="D64" i="13"/>
  <c r="B64" i="13"/>
  <c r="D63" i="13"/>
  <c r="B63" i="13"/>
  <c r="D62" i="13"/>
  <c r="B62" i="13"/>
  <c r="D61" i="13"/>
  <c r="B61" i="13"/>
  <c r="D60" i="13"/>
  <c r="B60" i="13"/>
  <c r="F59" i="13"/>
  <c r="D59" i="13"/>
  <c r="B59" i="13"/>
  <c r="F58" i="13"/>
  <c r="D58" i="13"/>
  <c r="B58" i="13"/>
  <c r="F57" i="13"/>
  <c r="D57" i="13"/>
  <c r="B57" i="13"/>
  <c r="F87" i="13"/>
  <c r="D102" i="13"/>
  <c r="B102" i="13"/>
  <c r="D101" i="13"/>
  <c r="B101" i="13"/>
  <c r="D100" i="13"/>
  <c r="B100" i="13"/>
  <c r="D99" i="13"/>
  <c r="B99" i="13"/>
  <c r="D98" i="13"/>
  <c r="B98" i="13"/>
  <c r="D97" i="13"/>
  <c r="B97" i="13"/>
  <c r="D96" i="13"/>
  <c r="B96" i="13"/>
  <c r="D95" i="13"/>
  <c r="B95" i="13"/>
  <c r="D94" i="13"/>
  <c r="B94" i="13"/>
  <c r="B93" i="13"/>
  <c r="D92" i="13"/>
  <c r="B92" i="13"/>
  <c r="D91" i="13"/>
  <c r="B91" i="13"/>
  <c r="D90" i="13"/>
  <c r="B90" i="13"/>
  <c r="D89" i="13"/>
  <c r="B89" i="13"/>
  <c r="D88" i="13"/>
  <c r="B88" i="13"/>
  <c r="D87" i="13"/>
  <c r="B87" i="13"/>
  <c r="F86" i="13"/>
  <c r="D86" i="13"/>
  <c r="B86" i="13"/>
  <c r="F85" i="13"/>
  <c r="D85" i="13"/>
  <c r="B85" i="13"/>
  <c r="D125" i="12"/>
  <c r="D124" i="12"/>
  <c r="D123" i="12"/>
  <c r="B123" i="12"/>
  <c r="D122" i="12"/>
  <c r="B122" i="12"/>
  <c r="D121" i="12"/>
  <c r="B121" i="12"/>
  <c r="D120" i="12"/>
  <c r="B120" i="12"/>
  <c r="D119" i="12"/>
  <c r="B119" i="12"/>
  <c r="D118" i="12"/>
  <c r="B118" i="12"/>
  <c r="D117" i="12"/>
  <c r="B117" i="12"/>
  <c r="D116" i="12"/>
  <c r="B116" i="12"/>
  <c r="B115" i="12"/>
  <c r="D114" i="12"/>
  <c r="B114" i="12"/>
  <c r="D113" i="12"/>
  <c r="B113" i="12"/>
  <c r="D112" i="12"/>
  <c r="B112" i="12"/>
  <c r="F111" i="12"/>
  <c r="D111" i="12"/>
  <c r="B111" i="12"/>
  <c r="F110" i="12"/>
  <c r="D110" i="12"/>
  <c r="B110" i="12"/>
  <c r="F109" i="12"/>
  <c r="D109" i="12"/>
  <c r="B109" i="12"/>
  <c r="F108" i="12"/>
  <c r="D108" i="12"/>
  <c r="B108" i="12"/>
  <c r="D98" i="12"/>
  <c r="D97" i="12"/>
  <c r="D96" i="12"/>
  <c r="B96" i="12"/>
  <c r="D95" i="12"/>
  <c r="B95" i="12"/>
  <c r="D94" i="12"/>
  <c r="B94" i="12"/>
  <c r="D93" i="12"/>
  <c r="B93" i="12"/>
  <c r="D92" i="12"/>
  <c r="B92" i="12"/>
  <c r="D91" i="12"/>
  <c r="B91" i="12"/>
  <c r="D90" i="12"/>
  <c r="B90" i="12"/>
  <c r="D89" i="12"/>
  <c r="B89" i="12"/>
  <c r="D88" i="12"/>
  <c r="B88" i="12"/>
  <c r="D87" i="12"/>
  <c r="B87" i="12"/>
  <c r="D86" i="12"/>
  <c r="B86" i="12"/>
  <c r="D85" i="12"/>
  <c r="B85" i="12"/>
  <c r="F84" i="12"/>
  <c r="D84" i="12"/>
  <c r="B84" i="12"/>
  <c r="F83" i="12"/>
  <c r="D83" i="12"/>
  <c r="B83" i="12"/>
  <c r="F82" i="12"/>
  <c r="D82" i="12"/>
  <c r="B82" i="12"/>
  <c r="F81" i="12"/>
  <c r="D81" i="12"/>
  <c r="B81" i="12"/>
  <c r="D72" i="12"/>
  <c r="D71" i="12"/>
  <c r="D70" i="12"/>
  <c r="B70" i="12"/>
  <c r="D69" i="12"/>
  <c r="B69" i="12"/>
  <c r="D68" i="12"/>
  <c r="B68" i="12"/>
  <c r="D67" i="12"/>
  <c r="B67" i="12"/>
  <c r="D66" i="12"/>
  <c r="B66" i="12"/>
  <c r="D65" i="12"/>
  <c r="B65" i="12"/>
  <c r="D64" i="12"/>
  <c r="B64" i="12"/>
  <c r="D63" i="12"/>
  <c r="B63" i="12"/>
  <c r="D62" i="12"/>
  <c r="B62" i="12"/>
  <c r="D61" i="12"/>
  <c r="B61" i="12"/>
  <c r="D60" i="12"/>
  <c r="B60" i="12"/>
  <c r="D59" i="12"/>
  <c r="B59" i="12"/>
  <c r="F58" i="12"/>
  <c r="D58" i="12"/>
  <c r="B58" i="12"/>
  <c r="F57" i="12"/>
  <c r="D57" i="12"/>
  <c r="B57" i="12"/>
  <c r="F56" i="12"/>
  <c r="D56" i="12"/>
  <c r="B56" i="12"/>
  <c r="F55" i="12"/>
  <c r="D55" i="12"/>
  <c r="B55" i="12"/>
  <c r="D46" i="12"/>
  <c r="D45" i="12"/>
  <c r="D44" i="12"/>
  <c r="B44" i="12"/>
  <c r="D43" i="12"/>
  <c r="B43" i="12"/>
  <c r="D42" i="12"/>
  <c r="B42" i="12"/>
  <c r="D41" i="12"/>
  <c r="B41" i="12"/>
  <c r="D40" i="12"/>
  <c r="B40" i="12"/>
  <c r="D39" i="12"/>
  <c r="B39" i="12"/>
  <c r="D38" i="12"/>
  <c r="B38" i="12"/>
  <c r="D37" i="12"/>
  <c r="B37" i="12"/>
  <c r="D36" i="12"/>
  <c r="B36" i="12"/>
  <c r="D35" i="12"/>
  <c r="B35" i="12"/>
  <c r="D34" i="12"/>
  <c r="B34" i="12"/>
  <c r="D33" i="12"/>
  <c r="B33" i="12"/>
  <c r="F32" i="12"/>
  <c r="D32" i="12"/>
  <c r="B32" i="12"/>
  <c r="F31" i="12"/>
  <c r="D31" i="12"/>
  <c r="B31" i="12"/>
  <c r="F30" i="12"/>
  <c r="D30" i="12"/>
  <c r="B30" i="12"/>
  <c r="F29" i="12"/>
  <c r="D29" i="12"/>
  <c r="B29" i="12"/>
  <c r="D19" i="12"/>
  <c r="D18" i="12"/>
  <c r="D17" i="12"/>
  <c r="B17" i="12"/>
  <c r="D16" i="12"/>
  <c r="B16" i="12"/>
  <c r="D15" i="12"/>
  <c r="B15" i="12"/>
  <c r="D14" i="12"/>
  <c r="B14" i="12"/>
  <c r="D13" i="12"/>
  <c r="B13" i="12"/>
  <c r="D12" i="12"/>
  <c r="B12" i="12"/>
  <c r="D11" i="12"/>
  <c r="B11" i="12"/>
  <c r="D10" i="12"/>
  <c r="B10" i="12"/>
  <c r="D9" i="12"/>
  <c r="B9" i="12"/>
  <c r="D8" i="12"/>
  <c r="B8" i="12"/>
  <c r="D7" i="12"/>
  <c r="B7" i="12"/>
  <c r="D6" i="12"/>
  <c r="B6" i="12"/>
  <c r="F5" i="12"/>
  <c r="D5" i="12"/>
  <c r="B5" i="12"/>
  <c r="F4" i="12"/>
  <c r="D4" i="12"/>
  <c r="B4" i="12"/>
  <c r="F3" i="12"/>
  <c r="D3" i="12"/>
  <c r="B3" i="12"/>
  <c r="F2" i="12"/>
  <c r="D2" i="12"/>
  <c r="B2" i="12"/>
  <c r="B5" i="5"/>
  <c r="P21" i="8"/>
  <c r="P12" i="8"/>
  <c r="P3" i="8"/>
  <c r="G3" i="11"/>
  <c r="O28" i="8"/>
  <c r="N28" i="8"/>
  <c r="M28" i="8"/>
  <c r="L28" i="8"/>
  <c r="K28" i="8"/>
  <c r="J28" i="8"/>
  <c r="I28" i="8"/>
  <c r="H28" i="8"/>
  <c r="G28" i="8"/>
  <c r="F28" i="8"/>
  <c r="E28" i="8"/>
  <c r="D28" i="8"/>
  <c r="O19" i="8"/>
  <c r="N19" i="8"/>
  <c r="M19" i="8"/>
  <c r="L19" i="8"/>
  <c r="K19" i="8"/>
  <c r="J19" i="8"/>
  <c r="I19" i="8"/>
  <c r="H19" i="8"/>
  <c r="G19" i="8"/>
  <c r="F19" i="8"/>
  <c r="E19" i="8"/>
  <c r="D19" i="8"/>
  <c r="B12" i="8" s="1"/>
  <c r="AC3" i="9"/>
  <c r="AA3" i="9"/>
  <c r="Y3" i="9"/>
  <c r="W3" i="9"/>
  <c r="U3" i="9"/>
  <c r="S3" i="9"/>
  <c r="Q3" i="9"/>
  <c r="O3" i="9"/>
  <c r="M3" i="9"/>
  <c r="K3" i="9"/>
  <c r="I3" i="9"/>
  <c r="G3" i="9"/>
  <c r="E3" i="9"/>
  <c r="F11" i="5"/>
  <c r="AQ4" i="7"/>
  <c r="AN4" i="7"/>
  <c r="AK4" i="7"/>
  <c r="AH4" i="7"/>
  <c r="AE4" i="7"/>
  <c r="AB4" i="7"/>
  <c r="Y4" i="7"/>
  <c r="V4" i="7"/>
  <c r="S4" i="7"/>
  <c r="P4" i="7"/>
  <c r="M4" i="7"/>
  <c r="J4" i="7"/>
  <c r="C4" i="7"/>
  <c r="D10" i="8"/>
  <c r="I8" i="5" s="1"/>
  <c r="F10" i="8"/>
  <c r="M8" i="5" s="1"/>
  <c r="G10" i="8"/>
  <c r="O8" i="5" s="1"/>
  <c r="H10" i="8"/>
  <c r="Q8" i="5" s="1"/>
  <c r="I10" i="8"/>
  <c r="S8" i="5" s="1"/>
  <c r="J10" i="8"/>
  <c r="U8" i="5" s="1"/>
  <c r="K10" i="8"/>
  <c r="W8" i="5" s="1"/>
  <c r="L10" i="8"/>
  <c r="Y8" i="5" s="1"/>
  <c r="M10" i="8"/>
  <c r="AA8" i="5" s="1"/>
  <c r="N10" i="8"/>
  <c r="AC8" i="5" s="1"/>
  <c r="O10" i="8"/>
  <c r="AE8" i="5" s="1"/>
  <c r="E10" i="8"/>
  <c r="AQ28" i="7"/>
  <c r="AN28" i="7"/>
  <c r="AK28" i="7"/>
  <c r="AH28" i="7"/>
  <c r="AE28" i="7"/>
  <c r="AB28" i="7"/>
  <c r="Y28" i="7"/>
  <c r="V28" i="7"/>
  <c r="S28" i="7"/>
  <c r="P28" i="7"/>
  <c r="M28" i="7"/>
  <c r="AQ22" i="7"/>
  <c r="AN22" i="7"/>
  <c r="AK22" i="7"/>
  <c r="AH22" i="7"/>
  <c r="AE22" i="7"/>
  <c r="AB22" i="7"/>
  <c r="Y22" i="7"/>
  <c r="V22" i="7"/>
  <c r="S22" i="7"/>
  <c r="P22" i="7"/>
  <c r="M22" i="7"/>
  <c r="AQ10" i="7"/>
  <c r="AN10" i="7"/>
  <c r="AK10" i="7"/>
  <c r="AH10" i="7"/>
  <c r="AE10" i="7"/>
  <c r="AB10" i="7"/>
  <c r="Y10" i="7"/>
  <c r="V10" i="7"/>
  <c r="S10" i="7"/>
  <c r="P10" i="7"/>
  <c r="M10" i="7"/>
  <c r="AQ16" i="7"/>
  <c r="AN16" i="7"/>
  <c r="AK16" i="7"/>
  <c r="AH16" i="7"/>
  <c r="AE16" i="7"/>
  <c r="AB16" i="7"/>
  <c r="Y16" i="7"/>
  <c r="V16" i="7"/>
  <c r="S16" i="7"/>
  <c r="P16" i="7"/>
  <c r="M16" i="7"/>
  <c r="J16" i="7"/>
  <c r="J28" i="7"/>
  <c r="J22" i="7"/>
  <c r="J10" i="7"/>
  <c r="C28" i="7"/>
  <c r="C22" i="7"/>
  <c r="C10" i="7"/>
  <c r="C16" i="7"/>
  <c r="AG3" i="23" l="1"/>
  <c r="F3" i="5"/>
  <c r="AE3" i="5"/>
  <c r="AE1" i="23"/>
  <c r="B1" i="23"/>
  <c r="F1" i="23" s="1"/>
  <c r="S6" i="20"/>
  <c r="S3" i="20" s="1"/>
  <c r="S1" i="20" s="1"/>
  <c r="U6" i="20"/>
  <c r="U3" i="20" s="1"/>
  <c r="U1" i="20" s="1"/>
  <c r="W6" i="20"/>
  <c r="W3" i="20" s="1"/>
  <c r="W1" i="20" s="1"/>
  <c r="O6" i="20"/>
  <c r="O3" i="20" s="1"/>
  <c r="O1" i="20" s="1"/>
  <c r="M6" i="20"/>
  <c r="M3" i="20" s="1"/>
  <c r="M1" i="20" s="1"/>
  <c r="Q6" i="20"/>
  <c r="Q3" i="20" s="1"/>
  <c r="Q1" i="20" s="1"/>
  <c r="I6" i="20"/>
  <c r="I3" i="20" s="1"/>
  <c r="Y6" i="20"/>
  <c r="Y3" i="20" s="1"/>
  <c r="Y1" i="20" s="1"/>
  <c r="AC6" i="20"/>
  <c r="AC3" i="20" s="1"/>
  <c r="AC1" i="20" s="1"/>
  <c r="AE6" i="20"/>
  <c r="K6" i="20"/>
  <c r="K3" i="20" s="1"/>
  <c r="K1" i="20" s="1"/>
  <c r="AA6" i="20"/>
  <c r="AA3" i="20" s="1"/>
  <c r="AA1" i="20" s="1"/>
  <c r="B1" i="21"/>
  <c r="D1" i="21"/>
  <c r="Y3" i="5"/>
  <c r="Y1" i="5" s="1"/>
  <c r="B1" i="7"/>
  <c r="D1" i="7"/>
  <c r="B21" i="8"/>
  <c r="B3" i="8"/>
  <c r="B1" i="9"/>
  <c r="I3" i="5"/>
  <c r="I1" i="5" s="1"/>
  <c r="U3" i="5"/>
  <c r="U1" i="5" s="1"/>
  <c r="AA3" i="5"/>
  <c r="AA1" i="5" s="1"/>
  <c r="W3" i="5"/>
  <c r="W1" i="5" s="1"/>
  <c r="AC3" i="5"/>
  <c r="AC1" i="5" s="1"/>
  <c r="M3" i="5"/>
  <c r="M1" i="5" s="1"/>
  <c r="Q3" i="5"/>
  <c r="Q1" i="5" s="1"/>
  <c r="S3" i="5"/>
  <c r="S1" i="5" s="1"/>
  <c r="O3" i="5"/>
  <c r="O1" i="5" s="1"/>
  <c r="K8" i="5"/>
  <c r="K3" i="5" s="1"/>
  <c r="K1" i="5" s="1"/>
  <c r="AE3" i="20" l="1"/>
  <c r="AE1" i="20" s="1"/>
  <c r="AF10" i="5"/>
  <c r="I1" i="20"/>
  <c r="AG3" i="20"/>
  <c r="AE1" i="5"/>
  <c r="AF3" i="5"/>
  <c r="B1" i="20"/>
  <c r="F1" i="20" s="1"/>
  <c r="B1" i="5"/>
  <c r="F1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jun park</author>
    <author>GIMPOGUGAK</author>
  </authors>
  <commentList>
    <comment ref="AB19" authorId="0" shapeId="0" xr:uid="{4F3C0731-52A7-4AB6-8B17-8EAB59A84EBA}">
      <text>
        <r>
          <rPr>
            <b/>
            <sz val="9"/>
            <color indexed="81"/>
            <rFont val="Tahoma"/>
            <family val="2"/>
          </rPr>
          <t>jun park:</t>
        </r>
        <r>
          <rPr>
            <sz val="9"/>
            <color indexed="81"/>
            <rFont val="Tahoma"/>
            <family val="2"/>
          </rPr>
          <t xml:space="preserve">
12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>3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예정</t>
        </r>
      </text>
    </comment>
    <comment ref="AD25" authorId="1" shapeId="0" xr:uid="{4324C182-BE1D-4DB5-A6C6-208F1DE68E5B}">
      <text>
        <r>
          <rPr>
            <b/>
            <sz val="9"/>
            <color indexed="81"/>
            <rFont val="Tahoma"/>
            <family val="2"/>
          </rPr>
          <t>GIMPOGUGAK:</t>
        </r>
        <r>
          <rPr>
            <sz val="9"/>
            <color indexed="81"/>
            <rFont val="Tahoma"/>
            <family val="2"/>
          </rPr>
          <t xml:space="preserve">
1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>2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</text>
    </comment>
    <comment ref="AB34" authorId="0" shapeId="0" xr:uid="{7B6F81EE-BFEB-4C00-8130-46389CAF1143}">
      <text>
        <r>
          <rPr>
            <b/>
            <sz val="9"/>
            <color indexed="81"/>
            <rFont val="Tahoma"/>
            <family val="2"/>
          </rPr>
          <t>jun park:</t>
        </r>
        <r>
          <rPr>
            <sz val="9"/>
            <color indexed="81"/>
            <rFont val="Tahoma"/>
            <family val="2"/>
          </rPr>
          <t xml:space="preserve">
12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>3</t>
        </r>
        <r>
          <rPr>
            <sz val="9"/>
            <color indexed="81"/>
            <rFont val="돋움"/>
            <family val="3"/>
            <charset val="129"/>
          </rPr>
          <t>일예정</t>
        </r>
      </text>
    </comment>
    <comment ref="AD39" authorId="0" shapeId="0" xr:uid="{224D0AF9-12DC-479E-AE29-BCF74E3F10CE}">
      <text>
        <r>
          <rPr>
            <b/>
            <sz val="9"/>
            <color indexed="81"/>
            <rFont val="Tahoma"/>
            <family val="2"/>
          </rPr>
          <t>jun park: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날짜가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아닌데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냈음</t>
        </r>
      </text>
    </comment>
    <comment ref="AB51" authorId="0" shapeId="0" xr:uid="{D31837C5-331F-4E3D-8A0F-E69D8B5363D5}">
      <text>
        <r>
          <rPr>
            <b/>
            <sz val="9"/>
            <color indexed="81"/>
            <rFont val="Tahoma"/>
            <family val="2"/>
          </rPr>
          <t>jun park:</t>
        </r>
        <r>
          <rPr>
            <sz val="9"/>
            <color indexed="81"/>
            <rFont val="Tahoma"/>
            <family val="2"/>
          </rPr>
          <t xml:space="preserve">
12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>9</t>
        </r>
        <r>
          <rPr>
            <sz val="9"/>
            <color indexed="81"/>
            <rFont val="돋움"/>
            <family val="3"/>
            <charset val="129"/>
          </rPr>
          <t xml:space="preserve">일날냈음
</t>
        </r>
      </text>
    </comment>
    <comment ref="Z68" authorId="0" shapeId="0" xr:uid="{36ECAAE7-89DD-43AA-BD91-6B1C259C652A}">
      <text>
        <r>
          <rPr>
            <b/>
            <sz val="9"/>
            <color indexed="81"/>
            <rFont val="Tahoma"/>
            <family val="2"/>
          </rPr>
          <t>jun park:</t>
        </r>
        <r>
          <rPr>
            <sz val="9"/>
            <color indexed="81"/>
            <rFont val="Tahoma"/>
            <family val="2"/>
          </rPr>
          <t xml:space="preserve">
2</t>
        </r>
        <r>
          <rPr>
            <sz val="9"/>
            <color indexed="81"/>
            <rFont val="돋움"/>
            <family val="3"/>
            <charset val="129"/>
          </rPr>
          <t>일에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내야함</t>
        </r>
      </text>
    </comment>
    <comment ref="AB104" authorId="0" shapeId="0" xr:uid="{65E49F69-6738-4944-9788-5A5AF1706893}">
      <text>
        <r>
          <rPr>
            <b/>
            <sz val="9"/>
            <color indexed="81"/>
            <rFont val="Tahoma"/>
            <family val="2"/>
          </rPr>
          <t>jun park:</t>
        </r>
        <r>
          <rPr>
            <sz val="9"/>
            <color indexed="81"/>
            <rFont val="Tahoma"/>
            <family val="2"/>
          </rPr>
          <t xml:space="preserve">
12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>2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냈음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GIMPOGUGAK</author>
    <author>jun park</author>
  </authors>
  <commentList>
    <comment ref="R10" authorId="0" shapeId="0" xr:uid="{311E1E66-9DFD-4666-B866-DE7FA6BA884E}">
      <text>
        <r>
          <rPr>
            <b/>
            <sz val="9"/>
            <color indexed="81"/>
            <rFont val="Tahoma"/>
            <family val="2"/>
          </rPr>
          <t>GIMPOGUGAK:</t>
        </r>
        <r>
          <rPr>
            <sz val="9"/>
            <color indexed="81"/>
            <rFont val="Tahoma"/>
            <family val="2"/>
          </rPr>
          <t xml:space="preserve">
7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>1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입금</t>
        </r>
        <r>
          <rPr>
            <sz val="9"/>
            <color indexed="81"/>
            <rFont val="Tahoma"/>
            <family val="2"/>
          </rPr>
          <t xml:space="preserve"> (7</t>
        </r>
        <r>
          <rPr>
            <sz val="9"/>
            <color indexed="81"/>
            <rFont val="돋움"/>
            <family val="3"/>
            <charset val="129"/>
          </rPr>
          <t>월에</t>
        </r>
        <r>
          <rPr>
            <sz val="9"/>
            <color indexed="81"/>
            <rFont val="Tahoma"/>
            <family val="2"/>
          </rPr>
          <t xml:space="preserve"> 10</t>
        </r>
        <r>
          <rPr>
            <sz val="9"/>
            <color indexed="81"/>
            <rFont val="돋움"/>
            <family val="3"/>
            <charset val="129"/>
          </rPr>
          <t>만원만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입금하면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됨</t>
        </r>
        <r>
          <rPr>
            <sz val="9"/>
            <color indexed="81"/>
            <rFont val="Tahoma"/>
            <family val="2"/>
          </rPr>
          <t>)</t>
        </r>
      </text>
    </comment>
    <comment ref="L21" authorId="0" shapeId="0" xr:uid="{1D341CC6-9749-4284-ABA5-6B694DA8EBC7}">
      <text>
        <r>
          <rPr>
            <b/>
            <sz val="9"/>
            <color indexed="81"/>
            <rFont val="Tahoma"/>
            <family val="2"/>
          </rPr>
          <t>GIMPOGUGAK:</t>
        </r>
        <r>
          <rPr>
            <sz val="9"/>
            <color indexed="81"/>
            <rFont val="Tahoma"/>
            <family val="2"/>
          </rPr>
          <t xml:space="preserve">
3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>11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첫번째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레슨</t>
        </r>
      </text>
    </comment>
    <comment ref="N21" authorId="0" shapeId="0" xr:uid="{17E38EFA-B845-42CD-BD2D-355A516FDEDA}">
      <text>
        <r>
          <rPr>
            <b/>
            <sz val="9"/>
            <color indexed="81"/>
            <rFont val="Tahoma"/>
            <family val="2"/>
          </rPr>
          <t>GIMPOGUGAK:</t>
        </r>
        <r>
          <rPr>
            <sz val="9"/>
            <color indexed="81"/>
            <rFont val="Tahoma"/>
            <family val="2"/>
          </rPr>
          <t xml:space="preserve">
4/15 </t>
        </r>
        <r>
          <rPr>
            <sz val="9"/>
            <color indexed="81"/>
            <rFont val="돋움"/>
            <family val="3"/>
            <charset val="129"/>
          </rPr>
          <t>첫수업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입금안됨</t>
        </r>
      </text>
    </comment>
    <comment ref="L39" authorId="1" shapeId="0" xr:uid="{614E62F0-765B-4EE8-B6D3-37A43FA00A76}">
      <text>
        <r>
          <rPr>
            <b/>
            <sz val="9"/>
            <color indexed="81"/>
            <rFont val="Tahoma"/>
            <family val="2"/>
          </rPr>
          <t>jun park:</t>
        </r>
        <r>
          <rPr>
            <sz val="9"/>
            <color indexed="81"/>
            <rFont val="Tahoma"/>
            <family val="2"/>
          </rPr>
          <t xml:space="preserve">
2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>27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완납</t>
        </r>
      </text>
    </comment>
    <comment ref="N39" authorId="0" shapeId="0" xr:uid="{AE88B22E-7547-4692-94A2-BCEB3879A283}">
      <text>
        <r>
          <rPr>
            <b/>
            <sz val="9"/>
            <color indexed="81"/>
            <rFont val="Tahoma"/>
            <family val="2"/>
          </rPr>
          <t>GIMPOGUGAK:</t>
        </r>
        <r>
          <rPr>
            <sz val="9"/>
            <color indexed="81"/>
            <rFont val="Tahoma"/>
            <family val="2"/>
          </rPr>
          <t xml:space="preserve">
3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>31</t>
        </r>
        <r>
          <rPr>
            <sz val="9"/>
            <color indexed="81"/>
            <rFont val="돋움"/>
            <family val="3"/>
            <charset val="129"/>
          </rPr>
          <t xml:space="preserve">일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JUN</author>
  </authors>
  <commentList>
    <comment ref="L21" authorId="0" shapeId="0" xr:uid="{B7BCC21F-F86D-4D1C-9E74-1C5B8802B1F9}">
      <text>
        <r>
          <rPr>
            <b/>
            <sz val="9"/>
            <color indexed="81"/>
            <rFont val="Tahoma"/>
            <family val="2"/>
          </rPr>
          <t>JUN:</t>
        </r>
        <r>
          <rPr>
            <sz val="9"/>
            <color indexed="81"/>
            <rFont val="Tahoma"/>
            <family val="2"/>
          </rPr>
          <t xml:space="preserve">
4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>1</t>
        </r>
        <r>
          <rPr>
            <sz val="9"/>
            <color indexed="81"/>
            <rFont val="돋움"/>
            <family val="3"/>
            <charset val="129"/>
          </rPr>
          <t>일납부</t>
        </r>
      </text>
    </comment>
    <comment ref="M42" authorId="0" shapeId="0" xr:uid="{8585F48D-ED0B-4519-8C3C-8AA078907938}">
      <text>
        <r>
          <rPr>
            <b/>
            <sz val="9"/>
            <color indexed="81"/>
            <rFont val="Tahoma"/>
            <family val="2"/>
          </rPr>
          <t>JUN: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내고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수업안해서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한달무료</t>
        </r>
      </text>
    </comment>
    <comment ref="L51" authorId="0" shapeId="0" xr:uid="{9DB4BB3B-B5C0-4740-AC78-109D7CD4EDD9}">
      <text>
        <r>
          <rPr>
            <b/>
            <sz val="9"/>
            <color indexed="81"/>
            <rFont val="Tahoma"/>
            <family val="2"/>
          </rPr>
          <t>JUN:</t>
        </r>
        <r>
          <rPr>
            <sz val="9"/>
            <color indexed="81"/>
            <rFont val="Tahoma"/>
            <family val="2"/>
          </rPr>
          <t xml:space="preserve">
4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>1</t>
        </r>
        <r>
          <rPr>
            <sz val="9"/>
            <color indexed="81"/>
            <rFont val="돋움"/>
            <family val="3"/>
            <charset val="129"/>
          </rPr>
          <t>일납부</t>
        </r>
      </text>
    </comment>
  </commentList>
</comments>
</file>

<file path=xl/sharedStrings.xml><?xml version="1.0" encoding="utf-8"?>
<sst xmlns="http://schemas.openxmlformats.org/spreadsheetml/2006/main" count="3561" uniqueCount="766">
  <si>
    <t>이름</t>
    <phoneticPr fontId="1" type="noConversion"/>
  </si>
  <si>
    <t>이소영</t>
    <phoneticPr fontId="1" type="noConversion"/>
  </si>
  <si>
    <t>과목</t>
    <phoneticPr fontId="1" type="noConversion"/>
  </si>
  <si>
    <t>민요</t>
    <phoneticPr fontId="1" type="noConversion"/>
  </si>
  <si>
    <t>전화번호</t>
    <phoneticPr fontId="1" type="noConversion"/>
  </si>
  <si>
    <t>회비</t>
    <phoneticPr fontId="1" type="noConversion"/>
  </si>
  <si>
    <t>개인/단체</t>
    <phoneticPr fontId="1" type="noConversion"/>
  </si>
  <si>
    <t>개인</t>
    <phoneticPr fontId="1" type="noConversion"/>
  </si>
  <si>
    <t>김다정</t>
    <phoneticPr fontId="1" type="noConversion"/>
  </si>
  <si>
    <t>단체</t>
    <phoneticPr fontId="1" type="noConversion"/>
  </si>
  <si>
    <t>고영숙</t>
    <phoneticPr fontId="1" type="noConversion"/>
  </si>
  <si>
    <t>공춘희</t>
    <phoneticPr fontId="1" type="noConversion"/>
  </si>
  <si>
    <t>김혜정</t>
    <phoneticPr fontId="1" type="noConversion"/>
  </si>
  <si>
    <t>1달</t>
    <phoneticPr fontId="1" type="noConversion"/>
  </si>
  <si>
    <t>2달</t>
    <phoneticPr fontId="1" type="noConversion"/>
  </si>
  <si>
    <t>3달</t>
    <phoneticPr fontId="1" type="noConversion"/>
  </si>
  <si>
    <t>4달</t>
    <phoneticPr fontId="1" type="noConversion"/>
  </si>
  <si>
    <t>5달</t>
    <phoneticPr fontId="1" type="noConversion"/>
  </si>
  <si>
    <t>6달</t>
    <phoneticPr fontId="1" type="noConversion"/>
  </si>
  <si>
    <t>7달</t>
    <phoneticPr fontId="1" type="noConversion"/>
  </si>
  <si>
    <t>임하린</t>
    <phoneticPr fontId="1" type="noConversion"/>
  </si>
  <si>
    <t>8달</t>
    <phoneticPr fontId="1" type="noConversion"/>
  </si>
  <si>
    <t>9달</t>
    <phoneticPr fontId="1" type="noConversion"/>
  </si>
  <si>
    <t>10달</t>
    <phoneticPr fontId="1" type="noConversion"/>
  </si>
  <si>
    <t>11달</t>
    <phoneticPr fontId="1" type="noConversion"/>
  </si>
  <si>
    <t>12달</t>
    <phoneticPr fontId="1" type="noConversion"/>
  </si>
  <si>
    <t>최성옥</t>
    <phoneticPr fontId="1" type="noConversion"/>
  </si>
  <si>
    <t>3개월</t>
    <phoneticPr fontId="1" type="noConversion"/>
  </si>
  <si>
    <t>이옥형</t>
    <phoneticPr fontId="1" type="noConversion"/>
  </si>
  <si>
    <t>장구</t>
    <phoneticPr fontId="1" type="noConversion"/>
  </si>
  <si>
    <t>010-3492-7247</t>
    <phoneticPr fontId="1" type="noConversion"/>
  </si>
  <si>
    <t>010-8234-4080</t>
    <phoneticPr fontId="1" type="noConversion"/>
  </si>
  <si>
    <t>010-2293-6349</t>
    <phoneticPr fontId="1" type="noConversion"/>
  </si>
  <si>
    <t>010-9288-9750</t>
    <phoneticPr fontId="1" type="noConversion"/>
  </si>
  <si>
    <t>010-5213-0895</t>
    <phoneticPr fontId="1" type="noConversion"/>
  </si>
  <si>
    <t>010-8709-5262</t>
    <phoneticPr fontId="1" type="noConversion"/>
  </si>
  <si>
    <t>010-4660-9812</t>
    <phoneticPr fontId="1" type="noConversion"/>
  </si>
  <si>
    <t>010-9868-6890</t>
    <phoneticPr fontId="1" type="noConversion"/>
  </si>
  <si>
    <t>번호</t>
    <phoneticPr fontId="1" type="noConversion"/>
  </si>
  <si>
    <t>수업 시간</t>
    <phoneticPr fontId="1" type="noConversion"/>
  </si>
  <si>
    <t>화요일 / 3시</t>
    <phoneticPr fontId="1" type="noConversion"/>
  </si>
  <si>
    <t xml:space="preserve">조은서 </t>
    <phoneticPr fontId="1" type="noConversion"/>
  </si>
  <si>
    <t>가야금</t>
    <phoneticPr fontId="1" type="noConversion"/>
  </si>
  <si>
    <t>화요일 / 4시</t>
    <phoneticPr fontId="1" type="noConversion"/>
  </si>
  <si>
    <t>목요일/11시</t>
    <phoneticPr fontId="1" type="noConversion"/>
  </si>
  <si>
    <t>수요일/6시</t>
    <phoneticPr fontId="1" type="noConversion"/>
  </si>
  <si>
    <t>1개월</t>
    <phoneticPr fontId="1" type="noConversion"/>
  </si>
  <si>
    <t>010-4106-9365</t>
    <phoneticPr fontId="1" type="noConversion"/>
  </si>
  <si>
    <t>박헤진</t>
    <phoneticPr fontId="1" type="noConversion"/>
  </si>
  <si>
    <t>010-4109-7610</t>
    <phoneticPr fontId="1" type="noConversion"/>
  </si>
  <si>
    <t>010-7207-8055</t>
    <phoneticPr fontId="1" type="noConversion"/>
  </si>
  <si>
    <t>해금</t>
    <phoneticPr fontId="1" type="noConversion"/>
  </si>
  <si>
    <t>화요일 10시</t>
    <phoneticPr fontId="1" type="noConversion"/>
  </si>
  <si>
    <t>남선숙</t>
    <phoneticPr fontId="1" type="noConversion"/>
  </si>
  <si>
    <t>010-3399-8638</t>
    <phoneticPr fontId="1" type="noConversion"/>
  </si>
  <si>
    <t>화요일10시</t>
    <phoneticPr fontId="1" type="noConversion"/>
  </si>
  <si>
    <t>010-2472-0002</t>
    <phoneticPr fontId="1" type="noConversion"/>
  </si>
  <si>
    <t>010-7481-9508</t>
    <phoneticPr fontId="1" type="noConversion"/>
  </si>
  <si>
    <t>민/장구</t>
    <phoneticPr fontId="1" type="noConversion"/>
  </si>
  <si>
    <t>수요일 09/30분</t>
    <phoneticPr fontId="1" type="noConversion"/>
  </si>
  <si>
    <t>차여명</t>
    <phoneticPr fontId="1" type="noConversion"/>
  </si>
  <si>
    <t>정가</t>
    <phoneticPr fontId="1" type="noConversion"/>
  </si>
  <si>
    <t>010-2229-4973</t>
    <phoneticPr fontId="1" type="noConversion"/>
  </si>
  <si>
    <t>김민채</t>
    <phoneticPr fontId="1" type="noConversion"/>
  </si>
  <si>
    <t>금요일/2시</t>
    <phoneticPr fontId="1" type="noConversion"/>
  </si>
  <si>
    <t>신태희</t>
    <phoneticPr fontId="1" type="noConversion"/>
  </si>
  <si>
    <t>010-3942-4735</t>
    <phoneticPr fontId="1" type="noConversion"/>
  </si>
  <si>
    <t>2개월</t>
    <phoneticPr fontId="1" type="noConversion"/>
  </si>
  <si>
    <t>5동대표</t>
    <phoneticPr fontId="1" type="noConversion"/>
  </si>
  <si>
    <t>수요일 5시</t>
    <phoneticPr fontId="1" type="noConversion"/>
  </si>
  <si>
    <t>수요일/3시</t>
    <phoneticPr fontId="1" type="noConversion"/>
  </si>
  <si>
    <t>수요일 3시</t>
    <phoneticPr fontId="1" type="noConversion"/>
  </si>
  <si>
    <t>수요일 3시4시</t>
    <phoneticPr fontId="1" type="noConversion"/>
  </si>
  <si>
    <t>수요일 4시</t>
    <phoneticPr fontId="1" type="noConversion"/>
  </si>
  <si>
    <t>배이준</t>
    <phoneticPr fontId="1" type="noConversion"/>
  </si>
  <si>
    <t>010-3719-0922</t>
    <phoneticPr fontId="1" type="noConversion"/>
  </si>
  <si>
    <t>7/19환불 10만</t>
    <phoneticPr fontId="1" type="noConversion"/>
  </si>
  <si>
    <t>대여기간</t>
    <phoneticPr fontId="1" type="noConversion"/>
  </si>
  <si>
    <t>대여비</t>
    <phoneticPr fontId="1" type="noConversion"/>
  </si>
  <si>
    <t>7달</t>
  </si>
  <si>
    <t>8달</t>
  </si>
  <si>
    <t>9달</t>
  </si>
  <si>
    <t>10달</t>
  </si>
  <si>
    <t>11달</t>
  </si>
  <si>
    <t>12달</t>
  </si>
  <si>
    <t>입금</t>
    <phoneticPr fontId="1" type="noConversion"/>
  </si>
  <si>
    <t>이선영</t>
    <phoneticPr fontId="1" type="noConversion"/>
  </si>
  <si>
    <t>금요일 4시30분</t>
    <phoneticPr fontId="1" type="noConversion"/>
  </si>
  <si>
    <t>010-72078055</t>
    <phoneticPr fontId="1" type="noConversion"/>
  </si>
  <si>
    <t>채린</t>
    <phoneticPr fontId="1" type="noConversion"/>
  </si>
  <si>
    <t>010-3383-1714</t>
    <phoneticPr fontId="1" type="noConversion"/>
  </si>
  <si>
    <t>유승희</t>
    <phoneticPr fontId="1" type="noConversion"/>
  </si>
  <si>
    <t>010-2987-1850</t>
    <phoneticPr fontId="1" type="noConversion"/>
  </si>
  <si>
    <t>초빈 초연</t>
    <phoneticPr fontId="1" type="noConversion"/>
  </si>
  <si>
    <t>책</t>
    <phoneticPr fontId="1" type="noConversion"/>
  </si>
  <si>
    <t>1만</t>
    <phoneticPr fontId="1" type="noConversion"/>
  </si>
  <si>
    <t>2만</t>
    <phoneticPr fontId="1" type="noConversion"/>
  </si>
  <si>
    <t>아름 다움</t>
    <phoneticPr fontId="1" type="noConversion"/>
  </si>
  <si>
    <t>010-3466-3527</t>
    <phoneticPr fontId="1" type="noConversion"/>
  </si>
  <si>
    <t>010-4187-0829</t>
    <phoneticPr fontId="1" type="noConversion"/>
  </si>
  <si>
    <t>임하령</t>
    <phoneticPr fontId="1" type="noConversion"/>
  </si>
  <si>
    <t>010-3232-6065</t>
    <phoneticPr fontId="1" type="noConversion"/>
  </si>
  <si>
    <t>창민</t>
    <phoneticPr fontId="1" type="noConversion"/>
  </si>
  <si>
    <t>목요일/3시</t>
    <phoneticPr fontId="1" type="noConversion"/>
  </si>
  <si>
    <t>주일 5시</t>
    <phoneticPr fontId="1" type="noConversion"/>
  </si>
  <si>
    <t>주일 4시</t>
    <phoneticPr fontId="1" type="noConversion"/>
  </si>
  <si>
    <t>화요일 5시20붐</t>
    <phoneticPr fontId="1" type="noConversion"/>
  </si>
  <si>
    <t>목요일 12시</t>
    <phoneticPr fontId="1" type="noConversion"/>
  </si>
  <si>
    <t>010-5269-3514</t>
    <phoneticPr fontId="1" type="noConversion"/>
  </si>
  <si>
    <t>월/목 오전 10시</t>
    <phoneticPr fontId="1" type="noConversion"/>
  </si>
  <si>
    <t>선물</t>
    <phoneticPr fontId="1" type="noConversion"/>
  </si>
  <si>
    <t>조은서</t>
    <phoneticPr fontId="1" type="noConversion"/>
  </si>
  <si>
    <t>민경임</t>
    <phoneticPr fontId="1" type="noConversion"/>
  </si>
  <si>
    <t>1월</t>
    <phoneticPr fontId="1" type="noConversion"/>
  </si>
  <si>
    <t>2월</t>
    <phoneticPr fontId="1" type="noConversion"/>
  </si>
  <si>
    <t>3월</t>
    <phoneticPr fontId="1" type="noConversion"/>
  </si>
  <si>
    <t>4월</t>
    <phoneticPr fontId="1" type="noConversion"/>
  </si>
  <si>
    <t>5월</t>
    <phoneticPr fontId="1" type="noConversion"/>
  </si>
  <si>
    <t>6월</t>
    <phoneticPr fontId="1" type="noConversion"/>
  </si>
  <si>
    <t>7월</t>
    <phoneticPr fontId="1" type="noConversion"/>
  </si>
  <si>
    <t>8월</t>
    <phoneticPr fontId="1" type="noConversion"/>
  </si>
  <si>
    <t>9월</t>
    <phoneticPr fontId="1" type="noConversion"/>
  </si>
  <si>
    <t>10월</t>
    <phoneticPr fontId="1" type="noConversion"/>
  </si>
  <si>
    <t>11월</t>
    <phoneticPr fontId="1" type="noConversion"/>
  </si>
  <si>
    <t>12월</t>
    <phoneticPr fontId="1" type="noConversion"/>
  </si>
  <si>
    <t>박창민</t>
    <phoneticPr fontId="1" type="noConversion"/>
  </si>
  <si>
    <t>010-3179-5478</t>
    <phoneticPr fontId="1" type="noConversion"/>
  </si>
  <si>
    <t>김용</t>
    <phoneticPr fontId="1" type="noConversion"/>
  </si>
  <si>
    <t>010-5243-1591</t>
    <phoneticPr fontId="1" type="noConversion"/>
  </si>
  <si>
    <t>신하린</t>
    <phoneticPr fontId="1" type="noConversion"/>
  </si>
  <si>
    <t>010-2607-4486</t>
    <phoneticPr fontId="1" type="noConversion"/>
  </si>
  <si>
    <t>010-9873-7764</t>
    <phoneticPr fontId="1" type="noConversion"/>
  </si>
  <si>
    <t>정지원</t>
    <phoneticPr fontId="1" type="noConversion"/>
  </si>
  <si>
    <t>010-9853-1359</t>
    <phoneticPr fontId="1" type="noConversion"/>
  </si>
  <si>
    <t>이기찬</t>
    <phoneticPr fontId="1" type="noConversion"/>
  </si>
  <si>
    <t>윤분숙</t>
    <phoneticPr fontId="1" type="noConversion"/>
  </si>
  <si>
    <t>010-8227-5911</t>
    <phoneticPr fontId="1" type="noConversion"/>
  </si>
  <si>
    <t>대금</t>
    <phoneticPr fontId="1" type="noConversion"/>
  </si>
  <si>
    <t>김혜숙</t>
    <phoneticPr fontId="1" type="noConversion"/>
  </si>
  <si>
    <t>010-9906-1563</t>
    <phoneticPr fontId="1" type="noConversion"/>
  </si>
  <si>
    <t>수강료</t>
    <phoneticPr fontId="1" type="noConversion"/>
  </si>
  <si>
    <t>총인원</t>
  </si>
  <si>
    <t>총인원</t>
    <phoneticPr fontId="1" type="noConversion"/>
  </si>
  <si>
    <t>2명</t>
    <phoneticPr fontId="1" type="noConversion"/>
  </si>
  <si>
    <t>수입</t>
  </si>
  <si>
    <t>수입</t>
    <phoneticPr fontId="1" type="noConversion"/>
  </si>
  <si>
    <t>총 수입</t>
    <phoneticPr fontId="1" type="noConversion"/>
  </si>
  <si>
    <t>가야금</t>
  </si>
  <si>
    <t>구자우</t>
  </si>
  <si>
    <t>010-2550-4284</t>
  </si>
  <si>
    <t>정가</t>
  </si>
  <si>
    <t>단체</t>
  </si>
  <si>
    <t>이지선</t>
  </si>
  <si>
    <t>010-3405-4530</t>
  </si>
  <si>
    <t>선생님</t>
  </si>
  <si>
    <t>선생님</t>
    <phoneticPr fontId="1" type="noConversion"/>
  </si>
  <si>
    <t>합창</t>
    <phoneticPr fontId="1" type="noConversion"/>
  </si>
  <si>
    <t>최은실</t>
  </si>
  <si>
    <t>010-7370-5031</t>
  </si>
  <si>
    <t>최임이</t>
  </si>
  <si>
    <t>010-3029-9925</t>
  </si>
  <si>
    <t>비고</t>
  </si>
  <si>
    <t>비고</t>
    <phoneticPr fontId="1" type="noConversion"/>
  </si>
  <si>
    <t>이말진</t>
    <phoneticPr fontId="1" type="noConversion"/>
  </si>
  <si>
    <t>구로</t>
    <phoneticPr fontId="1" type="noConversion"/>
  </si>
  <si>
    <t>010-5699-4020</t>
  </si>
  <si>
    <t>초연</t>
    <phoneticPr fontId="1" type="noConversion"/>
  </si>
  <si>
    <t>휴식</t>
    <phoneticPr fontId="1" type="noConversion"/>
  </si>
  <si>
    <t>박사랑</t>
    <phoneticPr fontId="1" type="noConversion"/>
  </si>
  <si>
    <t>이순희</t>
    <phoneticPr fontId="1" type="noConversion"/>
  </si>
  <si>
    <t>010-8924-0412</t>
    <phoneticPr fontId="1" type="noConversion"/>
  </si>
  <si>
    <t>신정인</t>
    <phoneticPr fontId="1" type="noConversion"/>
  </si>
  <si>
    <t>010-9313-2925</t>
    <phoneticPr fontId="1" type="noConversion"/>
  </si>
  <si>
    <t>변이서</t>
    <phoneticPr fontId="1" type="noConversion"/>
  </si>
  <si>
    <t>010-5599-2831</t>
    <phoneticPr fontId="1" type="noConversion"/>
  </si>
  <si>
    <t>외부24년</t>
    <phoneticPr fontId="1" type="noConversion"/>
  </si>
  <si>
    <t>수/7시</t>
    <phoneticPr fontId="1" type="noConversion"/>
  </si>
  <si>
    <t>외부</t>
    <phoneticPr fontId="1" type="noConversion"/>
  </si>
  <si>
    <t>무용</t>
    <phoneticPr fontId="1" type="noConversion"/>
  </si>
  <si>
    <t>월12시/수12시</t>
    <phoneticPr fontId="1" type="noConversion"/>
  </si>
  <si>
    <t>1명</t>
    <phoneticPr fontId="1" type="noConversion"/>
  </si>
  <si>
    <t>명</t>
    <phoneticPr fontId="1" type="noConversion"/>
  </si>
  <si>
    <t>임대,10일입금</t>
    <phoneticPr fontId="1" type="noConversion"/>
  </si>
  <si>
    <t>윤미호</t>
    <phoneticPr fontId="1" type="noConversion"/>
  </si>
  <si>
    <t>010-8573-7007</t>
    <phoneticPr fontId="1" type="noConversion"/>
  </si>
  <si>
    <t>010-4446-5630</t>
    <phoneticPr fontId="1" type="noConversion"/>
  </si>
  <si>
    <t>정윤후</t>
    <phoneticPr fontId="1" type="noConversion"/>
  </si>
  <si>
    <t>010-8509-0114</t>
    <phoneticPr fontId="1" type="noConversion"/>
  </si>
  <si>
    <t>악기대여</t>
    <phoneticPr fontId="1" type="noConversion"/>
  </si>
  <si>
    <t>0명</t>
    <phoneticPr fontId="1" type="noConversion"/>
  </si>
  <si>
    <t>기타</t>
    <phoneticPr fontId="1" type="noConversion"/>
  </si>
  <si>
    <t>24년</t>
    <phoneticPr fontId="1" type="noConversion"/>
  </si>
  <si>
    <t>25년</t>
    <phoneticPr fontId="1" type="noConversion"/>
  </si>
  <si>
    <t>24 총 합</t>
    <phoneticPr fontId="1" type="noConversion"/>
  </si>
  <si>
    <t>25 총 합</t>
    <phoneticPr fontId="1" type="noConversion"/>
  </si>
  <si>
    <t>26 총 합</t>
    <phoneticPr fontId="1" type="noConversion"/>
  </si>
  <si>
    <t>월</t>
    <phoneticPr fontId="1" type="noConversion"/>
  </si>
  <si>
    <t>화</t>
    <phoneticPr fontId="1" type="noConversion"/>
  </si>
  <si>
    <t>수</t>
    <phoneticPr fontId="1" type="noConversion"/>
  </si>
  <si>
    <t>목</t>
    <phoneticPr fontId="1" type="noConversion"/>
  </si>
  <si>
    <t>토</t>
    <phoneticPr fontId="1" type="noConversion"/>
  </si>
  <si>
    <t>일</t>
    <phoneticPr fontId="1" type="noConversion"/>
  </si>
  <si>
    <t>금</t>
    <phoneticPr fontId="1" type="noConversion"/>
  </si>
  <si>
    <t>우리인력</t>
    <phoneticPr fontId="1" type="noConversion"/>
  </si>
  <si>
    <t>심화</t>
    <phoneticPr fontId="1" type="noConversion"/>
  </si>
  <si>
    <t>투자</t>
    <phoneticPr fontId="1" type="noConversion"/>
  </si>
  <si>
    <t>석경남</t>
    <phoneticPr fontId="1" type="noConversion"/>
  </si>
  <si>
    <t>김인애</t>
    <phoneticPr fontId="1" type="noConversion"/>
  </si>
  <si>
    <t>010-2284-9060</t>
    <phoneticPr fontId="1" type="noConversion"/>
  </si>
  <si>
    <t>010-5005-5581</t>
    <phoneticPr fontId="1" type="noConversion"/>
  </si>
  <si>
    <t>박상혜</t>
    <phoneticPr fontId="1" type="noConversion"/>
  </si>
  <si>
    <t>010-7375-3111</t>
    <phoneticPr fontId="1" type="noConversion"/>
  </si>
  <si>
    <t>소영하린</t>
    <phoneticPr fontId="1" type="noConversion"/>
  </si>
  <si>
    <t>홍길동</t>
    <phoneticPr fontId="1" type="noConversion"/>
  </si>
  <si>
    <t>010-123-4567</t>
    <phoneticPr fontId="1" type="noConversion"/>
  </si>
  <si>
    <t>아름다움</t>
    <phoneticPr fontId="1" type="noConversion"/>
  </si>
  <si>
    <t>민요개인</t>
    <phoneticPr fontId="1" type="noConversion"/>
  </si>
  <si>
    <t>민요단체</t>
    <phoneticPr fontId="1" type="noConversion"/>
  </si>
  <si>
    <t>;</t>
    <phoneticPr fontId="1" type="noConversion"/>
  </si>
  <si>
    <t>장구단체</t>
    <phoneticPr fontId="1" type="noConversion"/>
  </si>
  <si>
    <t>]</t>
    <phoneticPr fontId="1" type="noConversion"/>
  </si>
  <si>
    <t>1주차</t>
    <phoneticPr fontId="1" type="noConversion"/>
  </si>
  <si>
    <t>고영숙</t>
  </si>
  <si>
    <t>공하정</t>
  </si>
  <si>
    <t>월</t>
  </si>
  <si>
    <t>화</t>
  </si>
  <si>
    <t>수</t>
  </si>
  <si>
    <t>목</t>
  </si>
  <si>
    <t>금</t>
  </si>
  <si>
    <t>토</t>
  </si>
  <si>
    <t>일</t>
  </si>
  <si>
    <t>배이준</t>
  </si>
  <si>
    <t>김다정</t>
  </si>
  <si>
    <t>이소영</t>
  </si>
  <si>
    <t>신하린</t>
  </si>
  <si>
    <t>김용</t>
  </si>
  <si>
    <t>임하린</t>
  </si>
  <si>
    <t>윤분숙</t>
  </si>
  <si>
    <t>이기찬</t>
  </si>
  <si>
    <t>초빈초연</t>
    <phoneticPr fontId="1" type="noConversion"/>
  </si>
  <si>
    <t>임하령</t>
  </si>
  <si>
    <t>정지원</t>
  </si>
  <si>
    <t>박창민</t>
  </si>
  <si>
    <t>김용;</t>
    <phoneticPr fontId="1" type="noConversion"/>
  </si>
  <si>
    <t>공하정;</t>
    <phoneticPr fontId="1" type="noConversion"/>
  </si>
  <si>
    <t>채린</t>
  </si>
  <si>
    <t>고영숙;</t>
    <phoneticPr fontId="1" type="noConversion"/>
  </si>
  <si>
    <t>김혜정</t>
  </si>
  <si>
    <t>초빈초연;</t>
    <phoneticPr fontId="1" type="noConversion"/>
  </si>
  <si>
    <t>배이준;</t>
    <phoneticPr fontId="1" type="noConversion"/>
  </si>
  <si>
    <t>이말진;</t>
    <phoneticPr fontId="1" type="noConversion"/>
  </si>
  <si>
    <t>이소영;</t>
    <phoneticPr fontId="1" type="noConversion"/>
  </si>
  <si>
    <t>임하린;</t>
    <phoneticPr fontId="1" type="noConversion"/>
  </si>
  <si>
    <t>이기찬;</t>
    <phoneticPr fontId="1" type="noConversion"/>
  </si>
  <si>
    <t>2주차</t>
    <phoneticPr fontId="1" type="noConversion"/>
  </si>
  <si>
    <t>김혜숙</t>
  </si>
  <si>
    <t>이말직</t>
  </si>
  <si>
    <t>아름다움;</t>
    <phoneticPr fontId="1" type="noConversion"/>
  </si>
  <si>
    <t>3주차</t>
    <phoneticPr fontId="1" type="noConversion"/>
  </si>
  <si>
    <t>최은실</t>
    <phoneticPr fontId="1" type="noConversion"/>
  </si>
  <si>
    <t>정지원;</t>
    <phoneticPr fontId="1" type="noConversion"/>
  </si>
  <si>
    <t>4주차</t>
    <phoneticPr fontId="1" type="noConversion"/>
  </si>
  <si>
    <t>최임이;</t>
    <phoneticPr fontId="1" type="noConversion"/>
  </si>
  <si>
    <t>김혜정;</t>
    <phoneticPr fontId="1" type="noConversion"/>
  </si>
  <si>
    <t>5주차</t>
    <phoneticPr fontId="1" type="noConversion"/>
  </si>
  <si>
    <t xml:space="preserve"> 이기찬;</t>
    <phoneticPr fontId="1" type="noConversion"/>
  </si>
  <si>
    <t xml:space="preserve"> 배이준;</t>
    <phoneticPr fontId="1" type="noConversion"/>
  </si>
  <si>
    <t>윤분숙;</t>
    <phoneticPr fontId="1" type="noConversion"/>
  </si>
  <si>
    <t xml:space="preserve">이소영; </t>
    <phoneticPr fontId="1" type="noConversion"/>
  </si>
  <si>
    <t>이소영]</t>
    <phoneticPr fontId="1" type="noConversion"/>
  </si>
  <si>
    <t>신하린;</t>
    <phoneticPr fontId="1" type="noConversion"/>
  </si>
  <si>
    <t>이말직;</t>
    <phoneticPr fontId="1" type="noConversion"/>
  </si>
  <si>
    <t>채임이;</t>
    <phoneticPr fontId="1" type="noConversion"/>
  </si>
  <si>
    <t>김인애;</t>
    <phoneticPr fontId="1" type="noConversion"/>
  </si>
  <si>
    <t>석경남;</t>
    <phoneticPr fontId="1" type="noConversion"/>
  </si>
  <si>
    <t>윤미호;</t>
    <phoneticPr fontId="1" type="noConversion"/>
  </si>
  <si>
    <t>소영하린]</t>
    <phoneticPr fontId="1" type="noConversion"/>
  </si>
  <si>
    <t>박상혜;</t>
    <phoneticPr fontId="1" type="noConversion"/>
  </si>
  <si>
    <t>카드</t>
    <phoneticPr fontId="1" type="noConversion"/>
  </si>
  <si>
    <t>010-5213-0895</t>
  </si>
  <si>
    <t>김견희</t>
  </si>
  <si>
    <t>김견희;</t>
  </si>
  <si>
    <t>김견희;</t>
    <phoneticPr fontId="1" type="noConversion"/>
  </si>
  <si>
    <t>장유진</t>
    <phoneticPr fontId="1" type="noConversion"/>
  </si>
  <si>
    <t>천민승</t>
    <phoneticPr fontId="1" type="noConversion"/>
  </si>
  <si>
    <t>일/3시</t>
    <phoneticPr fontId="1" type="noConversion"/>
  </si>
  <si>
    <t>010-8255-9101</t>
    <phoneticPr fontId="1" type="noConversion"/>
  </si>
  <si>
    <t>김견희</t>
    <phoneticPr fontId="1" type="noConversion"/>
  </si>
  <si>
    <t>임인숙</t>
    <phoneticPr fontId="1" type="noConversion"/>
  </si>
  <si>
    <t>010-5467-4618</t>
    <phoneticPr fontId="1" type="noConversion"/>
  </si>
  <si>
    <t>장유진;</t>
    <phoneticPr fontId="1" type="noConversion"/>
  </si>
  <si>
    <t>임인숙;</t>
    <phoneticPr fontId="1" type="noConversion"/>
  </si>
  <si>
    <t>010-4162-0308</t>
    <phoneticPr fontId="1" type="noConversion"/>
  </si>
  <si>
    <t>이말진]</t>
    <phoneticPr fontId="1" type="noConversion"/>
  </si>
  <si>
    <t>총 입금</t>
    <phoneticPr fontId="1" type="noConversion"/>
  </si>
  <si>
    <t>김하윤</t>
    <phoneticPr fontId="1" type="noConversion"/>
  </si>
  <si>
    <t>1,2</t>
    <phoneticPr fontId="1" type="noConversion"/>
  </si>
  <si>
    <t>010-4712-5166</t>
    <phoneticPr fontId="1" type="noConversion"/>
  </si>
  <si>
    <t>김지온</t>
    <phoneticPr fontId="1" type="noConversion"/>
  </si>
  <si>
    <t>010-4632-5166</t>
    <phoneticPr fontId="1" type="noConversion"/>
  </si>
  <si>
    <t>김지온;</t>
    <phoneticPr fontId="1" type="noConversion"/>
  </si>
  <si>
    <t>김미지</t>
    <phoneticPr fontId="1" type="noConversion"/>
  </si>
  <si>
    <t>김미지</t>
    <phoneticPr fontId="1" type="noConversion"/>
  </si>
  <si>
    <t>휴무</t>
    <phoneticPr fontId="1" type="noConversion"/>
  </si>
  <si>
    <t>010-5417-9612</t>
    <phoneticPr fontId="1" type="noConversion"/>
  </si>
  <si>
    <t>윤미호,김견희</t>
    <phoneticPr fontId="1" type="noConversion"/>
  </si>
  <si>
    <t>박창민;</t>
    <phoneticPr fontId="1" type="noConversion"/>
  </si>
  <si>
    <t>어린이날 행사</t>
    <phoneticPr fontId="1" type="noConversion"/>
  </si>
  <si>
    <t>임하린;;</t>
    <phoneticPr fontId="1" type="noConversion"/>
  </si>
  <si>
    <t>변이서;;</t>
    <phoneticPr fontId="1" type="noConversion"/>
  </si>
  <si>
    <t>이소영;;</t>
    <phoneticPr fontId="1" type="noConversion"/>
  </si>
  <si>
    <t>박창민;;</t>
    <phoneticPr fontId="1" type="noConversion"/>
  </si>
  <si>
    <t>김하윤;;</t>
    <phoneticPr fontId="1" type="noConversion"/>
  </si>
  <si>
    <t>박사랑;;</t>
    <phoneticPr fontId="1" type="noConversion"/>
  </si>
  <si>
    <t>목/7시20분</t>
    <phoneticPr fontId="1" type="noConversion"/>
  </si>
  <si>
    <t>김다영</t>
    <phoneticPr fontId="1" type="noConversion"/>
  </si>
  <si>
    <t>10만원보증금</t>
    <phoneticPr fontId="1" type="noConversion"/>
  </si>
  <si>
    <t>변이서;</t>
    <phoneticPr fontId="1" type="noConversion"/>
  </si>
  <si>
    <t>박사랑;</t>
    <phoneticPr fontId="1" type="noConversion"/>
  </si>
  <si>
    <t>김하윤;</t>
    <phoneticPr fontId="1" type="noConversion"/>
  </si>
  <si>
    <t>신하린;</t>
    <phoneticPr fontId="1" type="noConversion"/>
  </si>
  <si>
    <t>윤미호</t>
    <phoneticPr fontId="1" type="noConversion"/>
  </si>
  <si>
    <t>박상혜;</t>
    <phoneticPr fontId="1" type="noConversion"/>
  </si>
  <si>
    <t>이말진;</t>
    <phoneticPr fontId="1" type="noConversion"/>
  </si>
  <si>
    <t>변이서</t>
    <phoneticPr fontId="1" type="noConversion"/>
  </si>
  <si>
    <t>이소영</t>
    <phoneticPr fontId="1" type="noConversion"/>
  </si>
  <si>
    <t>이기찬</t>
    <phoneticPr fontId="1" type="noConversion"/>
  </si>
  <si>
    <t>이기찬;</t>
    <phoneticPr fontId="1" type="noConversion"/>
  </si>
  <si>
    <t>김포문화재단</t>
    <phoneticPr fontId="1" type="noConversion"/>
  </si>
  <si>
    <t>민요</t>
    <phoneticPr fontId="1" type="noConversion"/>
  </si>
  <si>
    <t>어린이날</t>
    <phoneticPr fontId="1" type="noConversion"/>
  </si>
  <si>
    <t>민요</t>
    <phoneticPr fontId="1" type="noConversion"/>
  </si>
  <si>
    <t>정윤후;</t>
    <phoneticPr fontId="1" type="noConversion"/>
  </si>
  <si>
    <t>사우공연</t>
    <phoneticPr fontId="1" type="noConversion"/>
  </si>
  <si>
    <t>이소영</t>
    <phoneticPr fontId="1" type="noConversion"/>
  </si>
  <si>
    <t>이소영]</t>
    <phoneticPr fontId="1" type="noConversion"/>
  </si>
  <si>
    <t>김지온</t>
    <phoneticPr fontId="1" type="noConversion"/>
  </si>
  <si>
    <t>김하윤</t>
    <phoneticPr fontId="1" type="noConversion"/>
  </si>
  <si>
    <t>이기찬</t>
    <phoneticPr fontId="1" type="noConversion"/>
  </si>
  <si>
    <t>김지온;</t>
    <phoneticPr fontId="1" type="noConversion"/>
  </si>
  <si>
    <t>김하윤;</t>
    <phoneticPr fontId="1" type="noConversion"/>
  </si>
  <si>
    <t>박사랑;</t>
    <phoneticPr fontId="1" type="noConversion"/>
  </si>
  <si>
    <t>박창민;</t>
    <phoneticPr fontId="1" type="noConversion"/>
  </si>
  <si>
    <t>정지원;</t>
    <phoneticPr fontId="1" type="noConversion"/>
  </si>
  <si>
    <t>김서현</t>
    <phoneticPr fontId="1" type="noConversion"/>
  </si>
  <si>
    <t>010-4338-7108</t>
    <phoneticPr fontId="1" type="noConversion"/>
  </si>
  <si>
    <t>이소영</t>
    <phoneticPr fontId="1" type="noConversion"/>
  </si>
  <si>
    <t>이기찬</t>
    <phoneticPr fontId="1" type="noConversion"/>
  </si>
  <si>
    <t>이기찬;</t>
    <phoneticPr fontId="1" type="noConversion"/>
  </si>
  <si>
    <t>김서현</t>
    <phoneticPr fontId="1" type="noConversion"/>
  </si>
  <si>
    <t>김서현;</t>
    <phoneticPr fontId="1" type="noConversion"/>
  </si>
  <si>
    <t>변이서;</t>
    <phoneticPr fontId="1" type="noConversion"/>
  </si>
  <si>
    <t>박사랑</t>
    <phoneticPr fontId="1" type="noConversion"/>
  </si>
  <si>
    <t>이소영]</t>
    <phoneticPr fontId="1" type="noConversion"/>
  </si>
  <si>
    <t>하성순</t>
    <phoneticPr fontId="1" type="noConversion"/>
  </si>
  <si>
    <t>010-9588-2292</t>
    <phoneticPr fontId="1" type="noConversion"/>
  </si>
  <si>
    <t>김지온;</t>
  </si>
  <si>
    <t>김하윤;</t>
  </si>
  <si>
    <t>박사랑;</t>
  </si>
  <si>
    <t>박창민;</t>
  </si>
  <si>
    <t>정지원;</t>
  </si>
  <si>
    <t>김서현;</t>
  </si>
  <si>
    <t>변이서;</t>
  </si>
  <si>
    <t>이기찬;</t>
  </si>
  <si>
    <t>이소영</t>
    <phoneticPr fontId="1" type="noConversion"/>
  </si>
  <si>
    <t>하성순</t>
    <phoneticPr fontId="1" type="noConversion"/>
  </si>
  <si>
    <t>임하린</t>
    <phoneticPr fontId="1" type="noConversion"/>
  </si>
  <si>
    <t>해금</t>
    <phoneticPr fontId="1" type="noConversion"/>
  </si>
  <si>
    <t>박창민</t>
    <phoneticPr fontId="1" type="noConversion"/>
  </si>
  <si>
    <t>정지원</t>
    <phoneticPr fontId="1" type="noConversion"/>
  </si>
  <si>
    <t>이순희</t>
    <phoneticPr fontId="1" type="noConversion"/>
  </si>
  <si>
    <t>배이준</t>
    <phoneticPr fontId="1" type="noConversion"/>
  </si>
  <si>
    <t>정승은</t>
    <phoneticPr fontId="1" type="noConversion"/>
  </si>
  <si>
    <t>정서은</t>
    <phoneticPr fontId="1" type="noConversion"/>
  </si>
  <si>
    <t>010-6329-6643</t>
    <phoneticPr fontId="1" type="noConversion"/>
  </si>
  <si>
    <t>음채원</t>
    <phoneticPr fontId="1" type="noConversion"/>
  </si>
  <si>
    <t>010-9185-1003</t>
    <phoneticPr fontId="1" type="noConversion"/>
  </si>
  <si>
    <t>임하린</t>
    <phoneticPr fontId="1" type="noConversion"/>
  </si>
  <si>
    <t>해금</t>
    <phoneticPr fontId="1" type="noConversion"/>
  </si>
  <si>
    <t>총</t>
    <phoneticPr fontId="1" type="noConversion"/>
  </si>
  <si>
    <t>음채원;</t>
    <phoneticPr fontId="1" type="noConversion"/>
  </si>
  <si>
    <t>문도진</t>
    <phoneticPr fontId="1" type="noConversion"/>
  </si>
  <si>
    <t>010-3478-7942</t>
    <phoneticPr fontId="1" type="noConversion"/>
  </si>
  <si>
    <t>010-9428-8341</t>
    <phoneticPr fontId="1" type="noConversion"/>
  </si>
  <si>
    <t>박지윤</t>
    <phoneticPr fontId="1" type="noConversion"/>
  </si>
  <si>
    <t>010-7151-0507</t>
    <phoneticPr fontId="1" type="noConversion"/>
  </si>
  <si>
    <t>세종국제학교</t>
    <phoneticPr fontId="1" type="noConversion"/>
  </si>
  <si>
    <t>김우준</t>
    <phoneticPr fontId="1" type="noConversion"/>
  </si>
  <si>
    <t>정승은,서은</t>
    <phoneticPr fontId="1" type="noConversion"/>
  </si>
  <si>
    <t>아름,다움</t>
    <phoneticPr fontId="1" type="noConversion"/>
  </si>
  <si>
    <t>정창훈</t>
    <phoneticPr fontId="1" type="noConversion"/>
  </si>
  <si>
    <t>심화</t>
    <phoneticPr fontId="1" type="noConversion"/>
  </si>
  <si>
    <t>010-9783-0056</t>
    <phoneticPr fontId="1" type="noConversion"/>
  </si>
  <si>
    <t>민요</t>
    <phoneticPr fontId="1" type="noConversion"/>
  </si>
  <si>
    <t>엘지마그네</t>
    <phoneticPr fontId="1" type="noConversion"/>
  </si>
  <si>
    <t>네이버페이</t>
    <phoneticPr fontId="1" type="noConversion"/>
  </si>
  <si>
    <t>민다현</t>
    <phoneticPr fontId="1" type="noConversion"/>
  </si>
  <si>
    <t>NI</t>
    <phoneticPr fontId="1" type="noConversion"/>
  </si>
  <si>
    <t>민요</t>
    <phoneticPr fontId="1" type="noConversion"/>
  </si>
  <si>
    <t>네이버페이</t>
    <phoneticPr fontId="1" type="noConversion"/>
  </si>
  <si>
    <t>민요</t>
    <phoneticPr fontId="1" type="noConversion"/>
  </si>
  <si>
    <t>시립로하</t>
    <phoneticPr fontId="1" type="noConversion"/>
  </si>
  <si>
    <t>안채은</t>
    <phoneticPr fontId="1" type="noConversion"/>
  </si>
  <si>
    <t>메이플베어</t>
    <phoneticPr fontId="1" type="noConversion"/>
  </si>
  <si>
    <t>민요</t>
    <phoneticPr fontId="1" type="noConversion"/>
  </si>
  <si>
    <t>네이버페이</t>
    <phoneticPr fontId="1" type="noConversion"/>
  </si>
  <si>
    <t>한가위체험</t>
    <phoneticPr fontId="1" type="noConversion"/>
  </si>
  <si>
    <t>010-7417-5587</t>
    <phoneticPr fontId="1" type="noConversion"/>
  </si>
  <si>
    <t>민요</t>
    <phoneticPr fontId="1" type="noConversion"/>
  </si>
  <si>
    <t>네이버페이</t>
    <phoneticPr fontId="1" type="noConversion"/>
  </si>
  <si>
    <t>한가위체험</t>
    <phoneticPr fontId="1" type="noConversion"/>
  </si>
  <si>
    <t>신암초등</t>
    <phoneticPr fontId="1" type="noConversion"/>
  </si>
  <si>
    <t>010-9795-9202</t>
    <phoneticPr fontId="1" type="noConversion"/>
  </si>
  <si>
    <t>임미경</t>
    <phoneticPr fontId="1" type="noConversion"/>
  </si>
  <si>
    <t>010-2316-2915</t>
    <phoneticPr fontId="1" type="noConversion"/>
  </si>
  <si>
    <t>010-3342-6237</t>
    <phoneticPr fontId="1" type="noConversion"/>
  </si>
  <si>
    <t>오유민</t>
    <phoneticPr fontId="1" type="noConversion"/>
  </si>
  <si>
    <t>010-9361-5682</t>
    <phoneticPr fontId="1" type="noConversion"/>
  </si>
  <si>
    <t>박지윤</t>
  </si>
  <si>
    <t>010-7151-0507</t>
  </si>
  <si>
    <t>안채은</t>
  </si>
  <si>
    <t>010-7417-5587</t>
  </si>
  <si>
    <t>심화</t>
  </si>
  <si>
    <t>010-5059-9260</t>
  </si>
  <si>
    <t>김아인</t>
    <phoneticPr fontId="1" type="noConversion"/>
  </si>
  <si>
    <t>조설</t>
    <phoneticPr fontId="1" type="noConversion"/>
  </si>
  <si>
    <t>서승아</t>
    <phoneticPr fontId="1" type="noConversion"/>
  </si>
  <si>
    <t>010-4212-5917</t>
    <phoneticPr fontId="1" type="noConversion"/>
  </si>
  <si>
    <t>안채아</t>
    <phoneticPr fontId="1" type="noConversion"/>
  </si>
  <si>
    <t>010-9434-6190</t>
    <phoneticPr fontId="1" type="noConversion"/>
  </si>
  <si>
    <t>010-2287-4572</t>
    <phoneticPr fontId="1" type="noConversion"/>
  </si>
  <si>
    <t>전문영</t>
    <phoneticPr fontId="1" type="noConversion"/>
  </si>
  <si>
    <t>010-3128-3122</t>
    <phoneticPr fontId="1" type="noConversion"/>
  </si>
  <si>
    <t>민요</t>
    <phoneticPr fontId="1" type="noConversion"/>
  </si>
  <si>
    <t>교육부</t>
    <phoneticPr fontId="1" type="noConversion"/>
  </si>
  <si>
    <t>카자흐스탄</t>
    <phoneticPr fontId="1" type="noConversion"/>
  </si>
  <si>
    <t>현수린</t>
    <phoneticPr fontId="1" type="noConversion"/>
  </si>
  <si>
    <t>010-9720-6360</t>
    <phoneticPr fontId="1" type="noConversion"/>
  </si>
  <si>
    <t>최유정,정원</t>
    <phoneticPr fontId="1" type="noConversion"/>
  </si>
  <si>
    <t>시창</t>
    <phoneticPr fontId="1" type="noConversion"/>
  </si>
  <si>
    <t>임하린</t>
    <phoneticPr fontId="1" type="noConversion"/>
  </si>
  <si>
    <t>010-4660-9812</t>
    <phoneticPr fontId="1" type="noConversion"/>
  </si>
  <si>
    <t>한은정</t>
  </si>
  <si>
    <t>현금영수증</t>
    <phoneticPr fontId="1" type="noConversion"/>
  </si>
  <si>
    <t>김포페이</t>
    <phoneticPr fontId="1" type="noConversion"/>
  </si>
  <si>
    <t>민요</t>
    <phoneticPr fontId="1" type="noConversion"/>
  </si>
  <si>
    <t>김포교육청</t>
    <phoneticPr fontId="1" type="noConversion"/>
  </si>
  <si>
    <t>최유나</t>
    <phoneticPr fontId="1" type="noConversion"/>
  </si>
  <si>
    <t>김라온</t>
  </si>
  <si>
    <t>23일</t>
  </si>
  <si>
    <t>민요</t>
    <phoneticPr fontId="1" type="noConversion"/>
  </si>
  <si>
    <t>김포문화재단</t>
    <phoneticPr fontId="1" type="noConversion"/>
  </si>
  <si>
    <t>02일</t>
    <phoneticPr fontId="1" type="noConversion"/>
  </si>
  <si>
    <t>합창휴식</t>
    <phoneticPr fontId="1" type="noConversion"/>
  </si>
  <si>
    <t>김아인</t>
  </si>
  <si>
    <t>010-3128-3122</t>
  </si>
  <si>
    <t>27일</t>
  </si>
  <si>
    <t>유영순</t>
    <phoneticPr fontId="1" type="noConversion"/>
  </si>
  <si>
    <t>01일</t>
    <phoneticPr fontId="1" type="noConversion"/>
  </si>
  <si>
    <t>외부25년</t>
    <phoneticPr fontId="1" type="noConversion"/>
  </si>
  <si>
    <t>평균</t>
    <phoneticPr fontId="1" type="noConversion"/>
  </si>
  <si>
    <t>솔터고등학교</t>
    <phoneticPr fontId="1" type="noConversion"/>
  </si>
  <si>
    <t>합계</t>
    <phoneticPr fontId="1" type="noConversion"/>
  </si>
  <si>
    <t>권하윤</t>
    <phoneticPr fontId="1" type="noConversion"/>
  </si>
  <si>
    <t>010-6330-3183</t>
    <phoneticPr fontId="1" type="noConversion"/>
  </si>
  <si>
    <t>2주에한번</t>
    <phoneticPr fontId="1" type="noConversion"/>
  </si>
  <si>
    <t>어린이 단체</t>
    <phoneticPr fontId="1" type="noConversion"/>
  </si>
  <si>
    <t>송지은</t>
    <phoneticPr fontId="1" type="noConversion"/>
  </si>
  <si>
    <t>010-3708-8676</t>
    <phoneticPr fontId="1" type="noConversion"/>
  </si>
  <si>
    <t>010-5284-4457</t>
    <phoneticPr fontId="1" type="noConversion"/>
  </si>
  <si>
    <t>아기둥지</t>
    <phoneticPr fontId="1" type="noConversion"/>
  </si>
  <si>
    <t>010-5584-4260</t>
    <phoneticPr fontId="1" type="noConversion"/>
  </si>
  <si>
    <t>마이한</t>
    <phoneticPr fontId="1" type="noConversion"/>
  </si>
  <si>
    <t>010-3858-4019</t>
    <phoneticPr fontId="1" type="noConversion"/>
  </si>
  <si>
    <t>유지연</t>
    <phoneticPr fontId="1" type="noConversion"/>
  </si>
  <si>
    <t>한옥마을체험</t>
    <phoneticPr fontId="1" type="noConversion"/>
  </si>
  <si>
    <t>민요,대취타</t>
    <phoneticPr fontId="1" type="noConversion"/>
  </si>
  <si>
    <t>대취타</t>
    <phoneticPr fontId="1" type="noConversion"/>
  </si>
  <si>
    <t>민요대취타</t>
    <phoneticPr fontId="1" type="noConversion"/>
  </si>
  <si>
    <t>이윤실</t>
    <phoneticPr fontId="1" type="noConversion"/>
  </si>
  <si>
    <t>권진영</t>
    <phoneticPr fontId="1" type="noConversion"/>
  </si>
  <si>
    <t>고나은</t>
    <phoneticPr fontId="1" type="noConversion"/>
  </si>
  <si>
    <t>고인경</t>
    <phoneticPr fontId="1" type="noConversion"/>
  </si>
  <si>
    <t>010-4552-3662</t>
    <phoneticPr fontId="1" type="noConversion"/>
  </si>
  <si>
    <t>010-7749-6504</t>
    <phoneticPr fontId="1" type="noConversion"/>
  </si>
  <si>
    <t>이두리</t>
    <phoneticPr fontId="1" type="noConversion"/>
  </si>
  <si>
    <t>010-6730-6798</t>
    <phoneticPr fontId="1" type="noConversion"/>
  </si>
  <si>
    <t>민요</t>
    <phoneticPr fontId="1" type="noConversion"/>
  </si>
  <si>
    <t>현금영수증</t>
    <phoneticPr fontId="1" type="noConversion"/>
  </si>
  <si>
    <t>010-4046-5528</t>
    <phoneticPr fontId="1" type="noConversion"/>
  </si>
  <si>
    <t>최재인</t>
    <phoneticPr fontId="1" type="noConversion"/>
  </si>
  <si>
    <t>가가호호</t>
    <phoneticPr fontId="1" type="noConversion"/>
  </si>
  <si>
    <t>한국교육여행사</t>
    <phoneticPr fontId="1" type="noConversion"/>
  </si>
  <si>
    <t>무드등</t>
    <phoneticPr fontId="1" type="noConversion"/>
  </si>
  <si>
    <t>태평소</t>
    <phoneticPr fontId="1" type="noConversion"/>
  </si>
  <si>
    <t>솔터고등학교</t>
    <phoneticPr fontId="1" type="noConversion"/>
  </si>
  <si>
    <t>도예주간</t>
    <phoneticPr fontId="1" type="noConversion"/>
  </si>
  <si>
    <t>민요,팝페라</t>
    <phoneticPr fontId="1" type="noConversion"/>
  </si>
  <si>
    <t>김명신</t>
    <phoneticPr fontId="1" type="noConversion"/>
  </si>
  <si>
    <t>010-7788-6527</t>
    <phoneticPr fontId="1" type="noConversion"/>
  </si>
  <si>
    <t>김포저잣거리</t>
    <phoneticPr fontId="1" type="noConversion"/>
  </si>
  <si>
    <t>교회</t>
    <phoneticPr fontId="1" type="noConversion"/>
  </si>
  <si>
    <t>심은재</t>
    <phoneticPr fontId="1" type="noConversion"/>
  </si>
  <si>
    <t>010-3395-2897</t>
    <phoneticPr fontId="1" type="noConversion"/>
  </si>
  <si>
    <t>고은혜</t>
    <phoneticPr fontId="1" type="noConversion"/>
  </si>
  <si>
    <t>악기체험</t>
    <phoneticPr fontId="1" type="noConversion"/>
  </si>
  <si>
    <t>권영희</t>
    <phoneticPr fontId="1" type="noConversion"/>
  </si>
  <si>
    <t>010-9554-8015</t>
    <phoneticPr fontId="1" type="noConversion"/>
  </si>
  <si>
    <t>박마리나</t>
    <phoneticPr fontId="1" type="noConversion"/>
  </si>
  <si>
    <t>010-5763-6356</t>
    <phoneticPr fontId="1" type="noConversion"/>
  </si>
  <si>
    <t>박은하</t>
    <phoneticPr fontId="1" type="noConversion"/>
  </si>
  <si>
    <t>010-6721-2801</t>
    <phoneticPr fontId="1" type="noConversion"/>
  </si>
  <si>
    <t>한서후</t>
    <phoneticPr fontId="1" type="noConversion"/>
  </si>
  <si>
    <t>김정자</t>
    <phoneticPr fontId="1" type="noConversion"/>
  </si>
  <si>
    <t>010-5554-8733</t>
    <phoneticPr fontId="1" type="noConversion"/>
  </si>
  <si>
    <t>김규리</t>
    <phoneticPr fontId="1" type="noConversion"/>
  </si>
  <si>
    <t>홍유정</t>
    <phoneticPr fontId="1" type="noConversion"/>
  </si>
  <si>
    <t>강서은</t>
    <phoneticPr fontId="1" type="noConversion"/>
  </si>
  <si>
    <t>락음국악단</t>
    <phoneticPr fontId="1" type="noConversion"/>
  </si>
  <si>
    <t>문수산성</t>
    <phoneticPr fontId="1" type="noConversion"/>
  </si>
  <si>
    <t>김포문화원(중봉)</t>
    <phoneticPr fontId="1" type="noConversion"/>
  </si>
  <si>
    <t>꿈길</t>
    <phoneticPr fontId="1" type="noConversion"/>
  </si>
  <si>
    <t>예술인기획소득</t>
    <phoneticPr fontId="1" type="noConversion"/>
  </si>
  <si>
    <t>국민연금</t>
    <phoneticPr fontId="1" type="noConversion"/>
  </si>
  <si>
    <t>보나어린이집</t>
    <phoneticPr fontId="1" type="noConversion"/>
  </si>
  <si>
    <t>건강돌봄</t>
    <phoneticPr fontId="1" type="noConversion"/>
  </si>
  <si>
    <t>도예이일장</t>
    <phoneticPr fontId="1" type="noConversion"/>
  </si>
  <si>
    <t>통진향교</t>
    <phoneticPr fontId="1" type="noConversion"/>
  </si>
  <si>
    <t>문화원 심사의원</t>
    <phoneticPr fontId="1" type="noConversion"/>
  </si>
  <si>
    <t>조현자</t>
    <phoneticPr fontId="1" type="noConversion"/>
  </si>
  <si>
    <t>전수연</t>
    <phoneticPr fontId="1" type="noConversion"/>
  </si>
  <si>
    <t>외국인체험</t>
    <phoneticPr fontId="1" type="noConversion"/>
  </si>
  <si>
    <t>외부26년</t>
    <phoneticPr fontId="1" type="noConversion"/>
  </si>
  <si>
    <t>이름</t>
  </si>
  <si>
    <t>전화번호</t>
  </si>
  <si>
    <t>최성옥</t>
  </si>
  <si>
    <t>공춘희</t>
  </si>
  <si>
    <t>이옥형</t>
  </si>
  <si>
    <t>유승희</t>
  </si>
  <si>
    <t>민경임</t>
  </si>
  <si>
    <t>김지온</t>
  </si>
  <si>
    <t>김하윤</t>
  </si>
  <si>
    <t>이말진</t>
  </si>
  <si>
    <t>음채원</t>
  </si>
  <si>
    <t>박사랑</t>
  </si>
  <si>
    <t>정윤후</t>
  </si>
  <si>
    <t>변이서</t>
  </si>
  <si>
    <t>석경남</t>
  </si>
  <si>
    <t>박상혜</t>
  </si>
  <si>
    <t>신정인</t>
  </si>
  <si>
    <t>김인애</t>
  </si>
  <si>
    <t>윤미호</t>
  </si>
  <si>
    <t>이순희</t>
  </si>
  <si>
    <t>장유진</t>
  </si>
  <si>
    <t>임인숙</t>
  </si>
  <si>
    <t>하성순</t>
  </si>
  <si>
    <t>김미지</t>
  </si>
  <si>
    <t>안채아</t>
  </si>
  <si>
    <t>현수린</t>
  </si>
  <si>
    <t>오유민</t>
  </si>
  <si>
    <t>김서현</t>
  </si>
  <si>
    <t>정승은,서은</t>
  </si>
  <si>
    <t>김우준</t>
  </si>
  <si>
    <t>정창훈</t>
  </si>
  <si>
    <t>문도진</t>
  </si>
  <si>
    <t>전문영</t>
  </si>
  <si>
    <t>서승아</t>
  </si>
  <si>
    <t>조설</t>
  </si>
  <si>
    <t>민다현</t>
  </si>
  <si>
    <t>임미경</t>
  </si>
  <si>
    <t>조현자</t>
  </si>
  <si>
    <t>유영순</t>
  </si>
  <si>
    <t>최재인</t>
  </si>
  <si>
    <t>권하윤</t>
  </si>
  <si>
    <t>홍유정</t>
  </si>
  <si>
    <t>고나은</t>
  </si>
  <si>
    <t>마이한</t>
  </si>
  <si>
    <t>유지연</t>
  </si>
  <si>
    <t>고인경</t>
  </si>
  <si>
    <t>권진영</t>
  </si>
  <si>
    <t>전수연</t>
  </si>
  <si>
    <t>김명신</t>
  </si>
  <si>
    <t>권영희</t>
  </si>
  <si>
    <t>심은재</t>
  </si>
  <si>
    <t>박은하</t>
  </si>
  <si>
    <t>김정자</t>
  </si>
  <si>
    <t>김규리</t>
  </si>
  <si>
    <t>강서은</t>
  </si>
  <si>
    <t>박마리나</t>
  </si>
  <si>
    <t>이두리</t>
  </si>
  <si>
    <t>송지은</t>
  </si>
  <si>
    <t>총 수강 개월</t>
  </si>
  <si>
    <t>최초등록일</t>
    <phoneticPr fontId="1" type="noConversion"/>
  </si>
  <si>
    <t>마지막 수강일</t>
    <phoneticPr fontId="1" type="noConversion"/>
  </si>
  <si>
    <t>종료</t>
  </si>
  <si>
    <t>재원</t>
  </si>
  <si>
    <t>2025-10</t>
  </si>
  <si>
    <t>2025-12</t>
  </si>
  <si>
    <t>2025-03</t>
  </si>
  <si>
    <t>2023-12</t>
  </si>
  <si>
    <t>2025-06</t>
  </si>
  <si>
    <t>2025-07</t>
  </si>
  <si>
    <t>2025-01</t>
  </si>
  <si>
    <t>2024-03</t>
  </si>
  <si>
    <t>2024-09</t>
  </si>
  <si>
    <t>2025-09</t>
  </si>
  <si>
    <t>2024-10</t>
  </si>
  <si>
    <t>2025-05</t>
  </si>
  <si>
    <t>2024-04</t>
  </si>
  <si>
    <t>2024-06</t>
  </si>
  <si>
    <t>2024-11</t>
  </si>
  <si>
    <t>2024-12</t>
  </si>
  <si>
    <t>2024-01</t>
  </si>
  <si>
    <t>2024-07</t>
  </si>
  <si>
    <t>2024-02</t>
  </si>
  <si>
    <t>2025-08</t>
  </si>
  <si>
    <t>2025-02</t>
  </si>
  <si>
    <t>2024-05</t>
  </si>
  <si>
    <t>2025-04</t>
  </si>
  <si>
    <t>2024-08</t>
  </si>
  <si>
    <t>010-4552-3662</t>
  </si>
  <si>
    <t>010-2293-6349</t>
  </si>
  <si>
    <t>2023-06</t>
  </si>
  <si>
    <t>010-9288-9750</t>
  </si>
  <si>
    <t>2023-05</t>
  </si>
  <si>
    <t>010-9554-8015</t>
  </si>
  <si>
    <t>010-7749-6504</t>
  </si>
  <si>
    <t>010-6330-3183</t>
  </si>
  <si>
    <t>010-4446-5630</t>
  </si>
  <si>
    <t>010-8234-4080</t>
  </si>
  <si>
    <t>010-7788-6527</t>
  </si>
  <si>
    <t>010-5417-9612</t>
  </si>
  <si>
    <t>010-4338-7108</t>
  </si>
  <si>
    <t>010-5243-1591</t>
  </si>
  <si>
    <t>010-9428-8341</t>
  </si>
  <si>
    <t>010-2284-9060</t>
  </si>
  <si>
    <t>010-5554-8733</t>
  </si>
  <si>
    <t>010-4632-5166</t>
  </si>
  <si>
    <t>010-4712-5166</t>
  </si>
  <si>
    <t>010-9906-1563</t>
  </si>
  <si>
    <t>010-5584-4260</t>
  </si>
  <si>
    <t>010-3478-7942</t>
  </si>
  <si>
    <t>010-5269-3514</t>
  </si>
  <si>
    <t>2023-11</t>
  </si>
  <si>
    <t>010-9795-9202</t>
  </si>
  <si>
    <t>010-5763-6356</t>
  </si>
  <si>
    <t>010-7375-3111</t>
  </si>
  <si>
    <t>010-6721-2801</t>
  </si>
  <si>
    <t>010-3179-5478</t>
  </si>
  <si>
    <t>2023-08</t>
  </si>
  <si>
    <t>010-3719-0922</t>
  </si>
  <si>
    <t>2023-07</t>
  </si>
  <si>
    <t>010-5599-2831</t>
  </si>
  <si>
    <t>010-9434-6190</t>
  </si>
  <si>
    <t>010-5005-5581</t>
  </si>
  <si>
    <t>010-3708-8676</t>
  </si>
  <si>
    <t>010-9313-2925</t>
  </si>
  <si>
    <t>010-2607-4486</t>
  </si>
  <si>
    <t>010-3395-2897</t>
  </si>
  <si>
    <t>아름 다움</t>
  </si>
  <si>
    <t>010-2472-0002</t>
  </si>
  <si>
    <t>010-9361-5682</t>
  </si>
  <si>
    <t>010-2987-1850</t>
  </si>
  <si>
    <t>010-5284-4457</t>
  </si>
  <si>
    <t>010-3858-4019</t>
  </si>
  <si>
    <t>010-8573-7007</t>
  </si>
  <si>
    <t>010-8227-5911</t>
  </si>
  <si>
    <t>010-9185-1003</t>
  </si>
  <si>
    <t>010-3492-7247</t>
  </si>
  <si>
    <t>010-6730-6798</t>
  </si>
  <si>
    <t>010-9873-7764</t>
  </si>
  <si>
    <t>010-8924-0412</t>
  </si>
  <si>
    <t>010-9868-6890</t>
  </si>
  <si>
    <t>010-2316-2915</t>
  </si>
  <si>
    <t>010-5467-4618</t>
  </si>
  <si>
    <t>010-3232-6065</t>
  </si>
  <si>
    <t>2023-10</t>
  </si>
  <si>
    <t>010-4660-9812</t>
  </si>
  <si>
    <t>010-4162-0308</t>
  </si>
  <si>
    <t>010-2287-4572</t>
  </si>
  <si>
    <t>010-6329-6643</t>
  </si>
  <si>
    <t>010-8509-0114</t>
  </si>
  <si>
    <t>010-9853-1359</t>
  </si>
  <si>
    <t>010-9783-0056</t>
  </si>
  <si>
    <t>010-4212-5917</t>
  </si>
  <si>
    <t>010-3383-1714</t>
  </si>
  <si>
    <t>초빈 초연</t>
  </si>
  <si>
    <t>010-7481-9508</t>
  </si>
  <si>
    <t>010-8709-5262</t>
  </si>
  <si>
    <t>최유정,정원</t>
  </si>
  <si>
    <t>010-3342-6237</t>
  </si>
  <si>
    <t>010-4046-5528</t>
  </si>
  <si>
    <t>010-9588-2292</t>
  </si>
  <si>
    <t>010-9720-6360</t>
  </si>
  <si>
    <r>
      <rPr>
        <b/>
        <sz val="11"/>
        <color rgb="FF1F1F1F"/>
        <rFont val="맑은 고딕"/>
        <family val="3"/>
        <charset val="129"/>
      </rPr>
      <t>현재</t>
    </r>
    <r>
      <rPr>
        <b/>
        <sz val="11"/>
        <color rgb="FF1F1F1F"/>
        <rFont val="Arial"/>
        <family val="2"/>
      </rPr>
      <t xml:space="preserve"> </t>
    </r>
    <r>
      <rPr>
        <b/>
        <sz val="11"/>
        <color rgb="FF1F1F1F"/>
        <rFont val="맑은 고딕"/>
        <family val="3"/>
        <charset val="129"/>
      </rPr>
      <t>상태</t>
    </r>
    <phoneticPr fontId="1" type="noConversion"/>
  </si>
  <si>
    <t>2,3</t>
    <phoneticPr fontId="1" type="noConversion"/>
  </si>
  <si>
    <t>5,6</t>
    <phoneticPr fontId="1" type="noConversion"/>
  </si>
  <si>
    <t>이율,이윤</t>
    <phoneticPr fontId="1" type="noConversion"/>
  </si>
  <si>
    <t>오윤분</t>
    <phoneticPr fontId="1" type="noConversion"/>
  </si>
  <si>
    <t>밝은나무유치원</t>
    <phoneticPr fontId="1" type="noConversion"/>
  </si>
  <si>
    <t>박하늘</t>
    <phoneticPr fontId="1" type="noConversion"/>
  </si>
  <si>
    <t>강창엽</t>
    <phoneticPr fontId="1" type="noConversion"/>
  </si>
  <si>
    <t>대상</t>
    <phoneticPr fontId="1" type="noConversion"/>
  </si>
  <si>
    <t>010-4230-0069</t>
    <phoneticPr fontId="1" type="noConversion"/>
  </si>
  <si>
    <t>010-3144-7294</t>
    <phoneticPr fontId="1" type="noConversion"/>
  </si>
  <si>
    <t>010-5410-9767</t>
    <phoneticPr fontId="1" type="noConversion"/>
  </si>
  <si>
    <t>010-7746-9181</t>
    <phoneticPr fontId="1" type="noConversion"/>
  </si>
  <si>
    <t>010-2718-0838</t>
    <phoneticPr fontId="1" type="noConversion"/>
  </si>
  <si>
    <t>010-5377-1304</t>
    <phoneticPr fontId="1" type="noConversion"/>
  </si>
  <si>
    <t>010-2116-0516</t>
    <phoneticPr fontId="1" type="noConversion"/>
  </si>
  <si>
    <t>성인 단체</t>
    <phoneticPr fontId="1" type="noConversion"/>
  </si>
  <si>
    <t>장수민</t>
    <phoneticPr fontId="1" type="noConversion"/>
  </si>
  <si>
    <t>010-3993-5005</t>
    <phoneticPr fontId="1" type="noConversion"/>
  </si>
  <si>
    <t>이하빈</t>
    <phoneticPr fontId="1" type="noConversion"/>
  </si>
  <si>
    <t>010-5586-8174</t>
    <phoneticPr fontId="1" type="noConversion"/>
  </si>
  <si>
    <t>조영주</t>
    <phoneticPr fontId="1" type="noConversion"/>
  </si>
  <si>
    <t>010-9976-0486</t>
    <phoneticPr fontId="1" type="noConversion"/>
  </si>
  <si>
    <t>네이버</t>
    <phoneticPr fontId="1" type="noConversion"/>
  </si>
  <si>
    <t>SIA KINDER</t>
    <phoneticPr fontId="1" type="noConversion"/>
  </si>
  <si>
    <t>최시월,소월</t>
    <phoneticPr fontId="1" type="noConversion"/>
  </si>
  <si>
    <t>이순란</t>
    <phoneticPr fontId="1" type="noConversion"/>
  </si>
  <si>
    <t>010-7298-0479</t>
    <phoneticPr fontId="1" type="noConversion"/>
  </si>
  <si>
    <t>010-3014-5953</t>
    <phoneticPr fontId="1" type="noConversion"/>
  </si>
  <si>
    <t>최명애</t>
    <phoneticPr fontId="1" type="noConversion"/>
  </si>
  <si>
    <t>010-4664-1609</t>
    <phoneticPr fontId="1" type="noConversion"/>
  </si>
  <si>
    <t>당근</t>
    <phoneticPr fontId="1" type="noConversion"/>
  </si>
  <si>
    <t>010-8909-7717</t>
    <phoneticPr fontId="1" type="noConversion"/>
  </si>
  <si>
    <t>정서윤</t>
    <phoneticPr fontId="1" type="noConversion"/>
  </si>
  <si>
    <t>초빈,초연</t>
    <phoneticPr fontId="1" type="noConversion"/>
  </si>
  <si>
    <t>강호진</t>
    <phoneticPr fontId="1" type="noConversion"/>
  </si>
  <si>
    <t>010-6737-3227</t>
    <phoneticPr fontId="1" type="noConversion"/>
  </si>
  <si>
    <t>GPT</t>
    <phoneticPr fontId="1" type="noConversion"/>
  </si>
  <si>
    <t>010-5008-8456</t>
    <phoneticPr fontId="1" type="noConversion"/>
  </si>
  <si>
    <t>권해인</t>
    <phoneticPr fontId="1" type="noConversion"/>
  </si>
  <si>
    <t>블로그</t>
    <phoneticPr fontId="1" type="noConversion"/>
  </si>
  <si>
    <t>이채원</t>
    <phoneticPr fontId="1" type="noConversion"/>
  </si>
  <si>
    <t>010-2872-9713</t>
    <phoneticPr fontId="1" type="noConversion"/>
  </si>
  <si>
    <t>김미란</t>
    <phoneticPr fontId="1" type="noConversion"/>
  </si>
  <si>
    <t>박문주</t>
    <phoneticPr fontId="1" type="noConversion"/>
  </si>
  <si>
    <t>수강인원</t>
    <phoneticPr fontId="1" type="noConversion"/>
  </si>
  <si>
    <t>어린이 개인</t>
    <phoneticPr fontId="1" type="noConversion"/>
  </si>
  <si>
    <t>성인 개인</t>
    <phoneticPr fontId="1" type="noConversion"/>
  </si>
  <si>
    <t>010-3542-7808</t>
    <phoneticPr fontId="1" type="noConversion"/>
  </si>
  <si>
    <t>강이연</t>
    <phoneticPr fontId="1" type="noConversion"/>
  </si>
  <si>
    <t>010-9048-7358</t>
    <phoneticPr fontId="1" type="noConversion"/>
  </si>
  <si>
    <t>정서빈</t>
    <phoneticPr fontId="1" type="noConversion"/>
  </si>
  <si>
    <t>010-6502-8261</t>
    <phoneticPr fontId="1" type="noConversion"/>
  </si>
  <si>
    <t>11,12</t>
    <phoneticPr fontId="1" type="noConversion"/>
  </si>
  <si>
    <t>추천경로</t>
    <phoneticPr fontId="1" type="noConversion"/>
  </si>
  <si>
    <t>어린이개인</t>
    <phoneticPr fontId="1" type="noConversion"/>
  </si>
  <si>
    <t>카테고리</t>
    <phoneticPr fontId="1" type="noConversion"/>
  </si>
  <si>
    <t>어린이단체</t>
    <phoneticPr fontId="1" type="noConversion"/>
  </si>
  <si>
    <t>성인개인</t>
    <phoneticPr fontId="1" type="noConversion"/>
  </si>
  <si>
    <t>성인단체</t>
    <phoneticPr fontId="1" type="noConversion"/>
  </si>
  <si>
    <t>한옥마을</t>
    <phoneticPr fontId="1" type="noConversion"/>
  </si>
  <si>
    <t>성안개인</t>
    <phoneticPr fontId="1" type="noConversion"/>
  </si>
  <si>
    <t>체험비</t>
    <phoneticPr fontId="1" type="noConversion"/>
  </si>
  <si>
    <t>신정인 전수자</t>
    <phoneticPr fontId="1" type="noConversion"/>
  </si>
  <si>
    <t>강사수수료</t>
    <phoneticPr fontId="1" type="noConversion"/>
  </si>
  <si>
    <t>서도소리보존회 상금</t>
    <phoneticPr fontId="1" type="noConversion"/>
  </si>
  <si>
    <t>이말진 전수자</t>
    <phoneticPr fontId="1" type="noConversion"/>
  </si>
  <si>
    <t>임미경 전수자</t>
    <phoneticPr fontId="1" type="noConversion"/>
  </si>
  <si>
    <t>아이들</t>
    <phoneticPr fontId="1" type="noConversion"/>
  </si>
  <si>
    <t>4,5</t>
    <phoneticPr fontId="1" type="noConversion"/>
  </si>
  <si>
    <t>6,7</t>
    <phoneticPr fontId="1" type="noConversion"/>
  </si>
  <si>
    <t>외부강의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</si>
</sst>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76" formatCode="mm&quot;월&quot;\ dd&quot;일&quot;"/>
    <numFmt numFmtId="177" formatCode="0_);[Red]\(0\)"/>
    <numFmt numFmtId="178" formatCode="0_ ;[Red]\-0\ "/>
    <numFmt numFmtId="179" formatCode="dd&quot;일&quot;"/>
    <numFmt numFmtId="180" formatCode="d&quot;만&quot;"/>
    <numFmt numFmtId="181" formatCode="0.0_ ;[Red]\-0.0\ "/>
    <numFmt numFmtId="182" formatCode="#,##0.0_ "/>
    <numFmt numFmtId="183" formatCode="0;[Red]0"/>
    <numFmt numFmtId="184" formatCode="#,##0_ ;[Red]\-#,##0\ "/>
    <numFmt numFmtId="185" formatCode="0.0_);[Red]\(0.0\)"/>
    <numFmt numFmtId="186" formatCode="@&quot;일&quot;"/>
  </numFmts>
  <fonts count="5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b/>
      <sz val="11"/>
      <color rgb="FF9C0006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1"/>
      <color theme="1" tint="0.249977111117893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4"/>
      <color theme="4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b/>
      <sz val="16"/>
      <name val="맑은 고딕"/>
      <family val="3"/>
      <charset val="129"/>
      <scheme val="minor"/>
    </font>
    <font>
      <b/>
      <sz val="20"/>
      <color theme="5"/>
      <name val="맑은 고딕"/>
      <family val="3"/>
      <charset val="129"/>
      <scheme val="minor"/>
    </font>
    <font>
      <b/>
      <sz val="12"/>
      <color rgb="FF9C0006"/>
      <name val="맑은 고딕"/>
      <family val="3"/>
      <charset val="129"/>
      <scheme val="minor"/>
    </font>
    <font>
      <b/>
      <sz val="12"/>
      <color theme="1" tint="0.249977111117893"/>
      <name val="맑은 고딕"/>
      <family val="3"/>
      <charset val="129"/>
      <scheme val="minor"/>
    </font>
    <font>
      <sz val="11"/>
      <color rgb="FF006100"/>
      <name val="맑은 고딕"/>
      <family val="2"/>
      <charset val="129"/>
      <scheme val="minor"/>
    </font>
    <font>
      <b/>
      <sz val="11"/>
      <color rgb="FF0061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28"/>
      <color theme="1"/>
      <name val="맑은 고딕"/>
      <family val="3"/>
      <charset val="129"/>
      <scheme val="minor"/>
    </font>
    <font>
      <b/>
      <sz val="22"/>
      <color theme="1"/>
      <name val="맑은 고딕"/>
      <family val="3"/>
      <charset val="129"/>
      <scheme val="minor"/>
    </font>
    <font>
      <b/>
      <sz val="20"/>
      <color rgb="FFFF0000"/>
      <name val="맑은 고딕"/>
      <family val="3"/>
      <charset val="129"/>
      <scheme val="minor"/>
    </font>
    <font>
      <b/>
      <sz val="20"/>
      <color rgb="FF002060"/>
      <name val="맑은 고딕"/>
      <family val="3"/>
      <charset val="129"/>
      <scheme val="minor"/>
    </font>
    <font>
      <b/>
      <sz val="20"/>
      <color rgb="FFC00000"/>
      <name val="맑은 고딕"/>
      <family val="3"/>
      <charset val="129"/>
      <scheme val="minor"/>
    </font>
    <font>
      <b/>
      <sz val="14"/>
      <color theme="9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3.5"/>
      <color theme="1"/>
      <name val="맑은 고딕"/>
      <family val="3"/>
      <charset val="129"/>
      <scheme val="minor"/>
    </font>
    <font>
      <b/>
      <sz val="22"/>
      <color rgb="FFFF0000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8"/>
      <color rgb="FFFF0000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rgb="FF9C5700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11"/>
      <color theme="1" tint="0.249977111117893"/>
      <name val="맑은 고딕"/>
      <family val="3"/>
      <charset val="129"/>
      <scheme val="minor"/>
    </font>
    <font>
      <sz val="10"/>
      <color theme="9"/>
      <name val="맑은 고딕"/>
      <family val="3"/>
      <charset val="129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1"/>
      <color theme="1"/>
      <name val="맑은 고딕"/>
      <family val="3"/>
      <charset val="129"/>
      <scheme val="major"/>
    </font>
    <font>
      <b/>
      <sz val="11"/>
      <color theme="4" tint="-0.249977111117893"/>
      <name val="맑은 고딕"/>
      <family val="3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2"/>
      <color rgb="FFFF0000"/>
      <name val="맑은 고딕"/>
      <family val="3"/>
      <charset val="129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b/>
      <sz val="11"/>
      <color rgb="FF1F1F1F"/>
      <name val="맑은 고딕"/>
      <family val="3"/>
      <charset val="129"/>
    </font>
    <font>
      <sz val="11"/>
      <color theme="1"/>
      <name val="Arial"/>
      <family val="2"/>
    </font>
    <font>
      <b/>
      <sz val="11"/>
      <color rgb="FF1F1F1F"/>
      <name val="Arial"/>
      <family val="3"/>
      <charset val="129"/>
    </font>
    <font>
      <sz val="9"/>
      <color theme="1"/>
      <name val="맑은 고딕"/>
      <family val="3"/>
      <charset val="129"/>
      <scheme val="minor"/>
    </font>
  </fonts>
  <fills count="25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EB9C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/>
        <bgColor indexed="64"/>
      </patternFill>
    </fill>
    <fill>
      <gradientFill>
        <stop position="0">
          <color theme="9" tint="0.80001220740379042"/>
        </stop>
        <stop position="1">
          <color theme="7" tint="0.80001220740379042"/>
        </stop>
      </gradientFill>
    </fill>
    <fill>
      <patternFill patternType="solid">
        <fgColor theme="0"/>
        <bgColor auto="1"/>
      </patternFill>
    </fill>
    <fill>
      <patternFill patternType="solid">
        <fgColor theme="3" tint="0.79998168889431442"/>
        <bgColor indexed="64"/>
      </patternFill>
    </fill>
    <fill>
      <gradientFill>
        <stop position="0">
          <color theme="7" tint="0.80001220740379042"/>
        </stop>
        <stop position="1">
          <color theme="6" tint="0.80001220740379042"/>
        </stop>
      </gradient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EE0000"/>
        <bgColor indexed="64"/>
      </patternFill>
    </fill>
    <fill>
      <patternFill patternType="solid">
        <fgColor theme="8" tint="0.59999389629810485"/>
        <bgColor indexed="64"/>
      </patternFill>
    </fill>
  </fills>
  <borders count="18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theme="5"/>
      </left>
      <right/>
      <top style="thick">
        <color theme="5"/>
      </top>
      <bottom style="thick">
        <color theme="5"/>
      </bottom>
      <diagonal/>
    </border>
    <border>
      <left style="thin">
        <color indexed="64"/>
      </left>
      <right style="thin">
        <color indexed="64"/>
      </right>
      <top style="thick">
        <color theme="5"/>
      </top>
      <bottom style="thick">
        <color theme="5"/>
      </bottom>
      <diagonal/>
    </border>
    <border>
      <left style="thick">
        <color theme="5"/>
      </left>
      <right style="thick">
        <color theme="5"/>
      </right>
      <top style="thick">
        <color theme="5"/>
      </top>
      <bottom style="thick">
        <color theme="5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ck">
        <color theme="5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ck">
        <color theme="5"/>
      </bottom>
      <diagonal/>
    </border>
    <border>
      <left style="thin">
        <color auto="1"/>
      </left>
      <right style="thin">
        <color auto="1"/>
      </right>
      <top style="thick">
        <color theme="5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theme="2"/>
      </left>
      <right style="thin">
        <color theme="2"/>
      </right>
      <top style="thin">
        <color indexed="64"/>
      </top>
      <bottom style="thin">
        <color theme="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theme="5"/>
      </bottom>
      <diagonal/>
    </border>
    <border>
      <left style="thin">
        <color indexed="64"/>
      </left>
      <right style="thin">
        <color rgb="FFB2B2B2"/>
      </right>
      <top style="thin">
        <color rgb="FFB2B2B2"/>
      </top>
      <bottom style="thin">
        <color indexed="64"/>
      </bottom>
      <diagonal/>
    </border>
    <border>
      <left style="thin">
        <color rgb="FFB2B2B2"/>
      </left>
      <right style="thin">
        <color indexed="64"/>
      </right>
      <top style="thin">
        <color rgb="FFB2B2B2"/>
      </top>
      <bottom style="thin">
        <color indexed="64"/>
      </bottom>
      <diagonal/>
    </border>
    <border>
      <left style="thin">
        <color theme="2"/>
      </left>
      <right style="thin">
        <color theme="2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theme="5"/>
      </left>
      <right style="thick">
        <color indexed="64"/>
      </right>
      <top style="thick">
        <color theme="5"/>
      </top>
      <bottom/>
      <diagonal/>
    </border>
    <border>
      <left style="thin">
        <color indexed="64"/>
      </left>
      <right style="thin">
        <color indexed="64"/>
      </right>
      <top style="thick">
        <color theme="5"/>
      </top>
      <bottom/>
      <diagonal/>
    </border>
    <border>
      <left style="thin">
        <color indexed="64"/>
      </left>
      <right/>
      <top style="thick">
        <color theme="5"/>
      </top>
      <bottom style="thin">
        <color indexed="64"/>
      </bottom>
      <diagonal/>
    </border>
    <border>
      <left/>
      <right style="thin">
        <color indexed="64"/>
      </right>
      <top style="thick">
        <color theme="5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theme="1"/>
      </left>
      <right style="thin">
        <color theme="1"/>
      </right>
      <top style="thick">
        <color theme="1"/>
      </top>
      <bottom style="thick">
        <color theme="1"/>
      </bottom>
      <diagonal/>
    </border>
    <border>
      <left style="thin">
        <color theme="1"/>
      </left>
      <right style="thick">
        <color theme="1"/>
      </right>
      <top style="thick">
        <color theme="1"/>
      </top>
      <bottom style="thick">
        <color theme="1"/>
      </bottom>
      <diagonal/>
    </border>
    <border>
      <left/>
      <right/>
      <top/>
      <bottom style="thick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auto="1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theme="5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 style="thin">
        <color indexed="64"/>
      </bottom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rgb="FFFF33CC"/>
      </bottom>
      <diagonal/>
    </border>
    <border>
      <left/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7F7F7F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rgb="FFFF33CC"/>
      </left>
      <right style="thick">
        <color rgb="FFFF33CC"/>
      </right>
      <top style="thick">
        <color rgb="FFFF33CC"/>
      </top>
      <bottom style="thick">
        <color rgb="FFFF33CC"/>
      </bottom>
      <diagonal/>
    </border>
    <border>
      <left style="thin">
        <color auto="1"/>
      </left>
      <right style="thin">
        <color rgb="FFB2B2B2"/>
      </right>
      <top style="thick">
        <color theme="5"/>
      </top>
      <bottom style="thin">
        <color rgb="FFB2B2B2"/>
      </bottom>
      <diagonal/>
    </border>
    <border>
      <left style="thin">
        <color rgb="FFB2B2B2"/>
      </left>
      <right style="thin">
        <color auto="1"/>
      </right>
      <top style="thick">
        <color theme="5"/>
      </top>
      <bottom style="thin">
        <color rgb="FFB2B2B2"/>
      </bottom>
      <diagonal/>
    </border>
    <border>
      <left style="thin">
        <color rgb="FFB2B2B2"/>
      </left>
      <right style="thin">
        <color rgb="FFB2B2B2"/>
      </right>
      <top style="thick">
        <color theme="5"/>
      </top>
      <bottom style="thin">
        <color rgb="FFB2B2B2"/>
      </bottom>
      <diagonal/>
    </border>
    <border>
      <left style="thin">
        <color indexed="64"/>
      </left>
      <right style="thin">
        <color auto="1"/>
      </right>
      <top style="thick">
        <color theme="5"/>
      </top>
      <bottom style="thin">
        <color rgb="FFB2B2B2"/>
      </bottom>
      <diagonal/>
    </border>
    <border>
      <left style="thick">
        <color theme="5"/>
      </left>
      <right/>
      <top/>
      <bottom style="thick">
        <color theme="5"/>
      </bottom>
      <diagonal/>
    </border>
    <border>
      <left style="thin">
        <color indexed="64"/>
      </left>
      <right/>
      <top/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indexed="64"/>
      </left>
      <right style="thick">
        <color indexed="64"/>
      </right>
      <top style="thick">
        <color theme="5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thick">
        <color theme="5"/>
      </top>
      <bottom style="thick">
        <color theme="5"/>
      </bottom>
      <diagonal/>
    </border>
    <border>
      <left/>
      <right style="thick">
        <color theme="5"/>
      </right>
      <top style="thick">
        <color theme="5"/>
      </top>
      <bottom style="thick">
        <color theme="5"/>
      </bottom>
      <diagonal/>
    </border>
    <border>
      <left style="thin">
        <color rgb="FFB2B2B2"/>
      </left>
      <right style="thin">
        <color rgb="FFB2B2B2"/>
      </right>
      <top style="thick">
        <color theme="5"/>
      </top>
      <bottom style="thick">
        <color theme="5"/>
      </bottom>
      <diagonal/>
    </border>
    <border>
      <left style="thick">
        <color indexed="64"/>
      </left>
      <right/>
      <top/>
      <bottom style="thick">
        <color theme="5"/>
      </bottom>
      <diagonal/>
    </border>
    <border>
      <left style="thin">
        <color rgb="FFB2B2B2"/>
      </left>
      <right style="thin">
        <color auto="1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/>
      <bottom style="thick">
        <color theme="5"/>
      </bottom>
      <diagonal/>
    </border>
    <border>
      <left/>
      <right style="thin">
        <color theme="2"/>
      </right>
      <top/>
      <bottom style="thick">
        <color theme="5"/>
      </bottom>
      <diagonal/>
    </border>
    <border>
      <left/>
      <right/>
      <top style="thin">
        <color indexed="64"/>
      </top>
      <bottom style="thick">
        <color theme="5"/>
      </bottom>
      <diagonal/>
    </border>
    <border>
      <left/>
      <right/>
      <top style="thick">
        <color theme="9"/>
      </top>
      <bottom/>
      <diagonal/>
    </border>
    <border>
      <left style="thick">
        <color theme="1"/>
      </left>
      <right style="thick">
        <color theme="1"/>
      </right>
      <top style="thick">
        <color theme="1"/>
      </top>
      <bottom style="thick">
        <color theme="1"/>
      </bottom>
      <diagonal/>
    </border>
    <border>
      <left style="thick">
        <color theme="9"/>
      </left>
      <right/>
      <top style="thick">
        <color theme="9"/>
      </top>
      <bottom style="thick">
        <color theme="9"/>
      </bottom>
      <diagonal/>
    </border>
    <border>
      <left/>
      <right/>
      <top style="thick">
        <color theme="9"/>
      </top>
      <bottom style="thick">
        <color theme="9"/>
      </bottom>
      <diagonal/>
    </border>
    <border>
      <left/>
      <right style="thick">
        <color theme="9"/>
      </right>
      <top style="thick">
        <color theme="9"/>
      </top>
      <bottom style="thick">
        <color theme="9"/>
      </bottom>
      <diagonal/>
    </border>
    <border>
      <left style="thick">
        <color theme="9"/>
      </left>
      <right/>
      <top/>
      <bottom style="thick">
        <color theme="9"/>
      </bottom>
      <diagonal/>
    </border>
    <border>
      <left/>
      <right/>
      <top/>
      <bottom style="thick">
        <color theme="9"/>
      </bottom>
      <diagonal/>
    </border>
    <border>
      <left style="thick">
        <color theme="1"/>
      </left>
      <right/>
      <top/>
      <bottom/>
      <diagonal/>
    </border>
    <border>
      <left/>
      <right style="thick">
        <color theme="1"/>
      </right>
      <top/>
      <bottom/>
      <diagonal/>
    </border>
    <border>
      <left style="thick">
        <color theme="9"/>
      </left>
      <right style="thick">
        <color theme="9"/>
      </right>
      <top style="thick">
        <color theme="9"/>
      </top>
      <bottom/>
      <diagonal/>
    </border>
    <border>
      <left style="thick">
        <color theme="9"/>
      </left>
      <right style="thick">
        <color theme="9"/>
      </right>
      <top style="thick">
        <color theme="9"/>
      </top>
      <bottom style="thick">
        <color theme="9"/>
      </bottom>
      <diagonal/>
    </border>
    <border>
      <left style="thick">
        <color theme="9"/>
      </left>
      <right style="thick">
        <color theme="9"/>
      </right>
      <top/>
      <bottom style="thick">
        <color theme="9"/>
      </bottom>
      <diagonal/>
    </border>
    <border>
      <left/>
      <right style="thick">
        <color theme="9"/>
      </right>
      <top style="thick">
        <color theme="9"/>
      </top>
      <bottom/>
      <diagonal/>
    </border>
    <border>
      <left style="thick">
        <color theme="9"/>
      </left>
      <right style="thick">
        <color theme="9"/>
      </right>
      <top/>
      <bottom style="thick">
        <color theme="7"/>
      </bottom>
      <diagonal/>
    </border>
    <border>
      <left style="thick">
        <color theme="9"/>
      </left>
      <right style="thick">
        <color theme="9"/>
      </right>
      <top/>
      <bottom/>
      <diagonal/>
    </border>
    <border>
      <left/>
      <right style="thick">
        <color theme="9"/>
      </right>
      <top/>
      <bottom/>
      <diagonal/>
    </border>
    <border>
      <left style="thick">
        <color rgb="FF00B050"/>
      </left>
      <right/>
      <top style="thick">
        <color rgb="FF00B050"/>
      </top>
      <bottom/>
      <diagonal/>
    </border>
    <border>
      <left/>
      <right style="thick">
        <color rgb="FF00B050"/>
      </right>
      <top style="thick">
        <color rgb="FF00B050"/>
      </top>
      <bottom/>
      <diagonal/>
    </border>
    <border>
      <left style="thick">
        <color rgb="FF00B050"/>
      </left>
      <right/>
      <top/>
      <bottom/>
      <diagonal/>
    </border>
    <border>
      <left/>
      <right style="thick">
        <color rgb="FF00B050"/>
      </right>
      <top/>
      <bottom/>
      <diagonal/>
    </border>
    <border>
      <left style="thick">
        <color theme="1"/>
      </left>
      <right/>
      <top/>
      <bottom style="thick">
        <color theme="1"/>
      </bottom>
      <diagonal/>
    </border>
    <border>
      <left/>
      <right/>
      <top/>
      <bottom style="thick">
        <color theme="1"/>
      </bottom>
      <diagonal/>
    </border>
    <border>
      <left style="thick">
        <color rgb="FF00B050"/>
      </left>
      <right/>
      <top/>
      <bottom style="thick">
        <color theme="1"/>
      </bottom>
      <diagonal/>
    </border>
    <border>
      <left/>
      <right style="thick">
        <color rgb="FF00B050"/>
      </right>
      <top/>
      <bottom style="thick">
        <color theme="1"/>
      </bottom>
      <diagonal/>
    </border>
    <border>
      <left/>
      <right style="thick">
        <color theme="1"/>
      </right>
      <top/>
      <bottom style="thick">
        <color theme="1"/>
      </bottom>
      <diagonal/>
    </border>
    <border>
      <left/>
      <right style="thick">
        <color theme="9"/>
      </right>
      <top/>
      <bottom style="thick">
        <color theme="9"/>
      </bottom>
      <diagonal/>
    </border>
    <border>
      <left style="thick">
        <color theme="9"/>
      </left>
      <right/>
      <top style="thick">
        <color theme="9"/>
      </top>
      <bottom/>
      <diagonal/>
    </border>
    <border>
      <left style="thick">
        <color theme="9"/>
      </left>
      <right/>
      <top/>
      <bottom/>
      <diagonal/>
    </border>
    <border>
      <left style="thick">
        <color theme="9"/>
      </left>
      <right style="thick">
        <color theme="9"/>
      </right>
      <top style="thick">
        <color theme="9"/>
      </top>
      <bottom style="thick">
        <color theme="7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theme="9"/>
      </left>
      <right/>
      <top/>
      <bottom style="thick">
        <color auto="1"/>
      </bottom>
      <diagonal/>
    </border>
    <border>
      <left/>
      <right style="thick">
        <color theme="9"/>
      </right>
      <top/>
      <bottom style="thick">
        <color auto="1"/>
      </bottom>
      <diagonal/>
    </border>
    <border>
      <left/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medium">
        <color auto="1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dotted">
        <color auto="1"/>
      </right>
      <top/>
      <bottom style="medium">
        <color auto="1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ck">
        <color theme="5"/>
      </bottom>
      <diagonal/>
    </border>
    <border>
      <left style="thick">
        <color theme="5"/>
      </left>
      <right style="thin">
        <color indexed="64"/>
      </right>
      <top style="thick">
        <color theme="5"/>
      </top>
      <bottom style="thick">
        <color theme="5"/>
      </bottom>
      <diagonal/>
    </border>
    <border>
      <left/>
      <right/>
      <top style="thick">
        <color theme="5"/>
      </top>
      <bottom/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rgb="FFB2B2B2"/>
      </left>
      <right style="thin">
        <color auto="1"/>
      </right>
      <top/>
      <bottom style="thin">
        <color rgb="FFB2B2B2"/>
      </bottom>
      <diagonal/>
    </border>
    <border>
      <left style="thin">
        <color auto="1"/>
      </left>
      <right style="thin">
        <color theme="1"/>
      </right>
      <top/>
      <bottom style="thin">
        <color auto="1"/>
      </bottom>
      <diagonal/>
    </border>
    <border>
      <left/>
      <right style="thick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/>
      <diagonal/>
    </border>
    <border>
      <left style="thin">
        <color rgb="FFB2B2B2"/>
      </left>
      <right/>
      <top style="thin">
        <color indexed="64"/>
      </top>
      <bottom/>
      <diagonal/>
    </border>
    <border>
      <left style="thin">
        <color indexed="64"/>
      </left>
      <right/>
      <top style="thick">
        <color theme="5"/>
      </top>
      <bottom style="thick">
        <color theme="5"/>
      </bottom>
      <diagonal/>
    </border>
    <border>
      <left style="thin">
        <color indexed="64"/>
      </left>
      <right style="thin">
        <color indexed="64"/>
      </right>
      <top style="thick">
        <color rgb="FFFF33CC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rgb="FFFF33CC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ck">
        <color rgb="FFFF33CC"/>
      </top>
      <bottom style="thin">
        <color indexed="64"/>
      </bottom>
      <diagonal/>
    </border>
    <border>
      <left style="thin">
        <color indexed="64"/>
      </left>
      <right style="thin">
        <color theme="1"/>
      </right>
      <top/>
      <bottom/>
      <diagonal/>
    </border>
    <border>
      <left/>
      <right style="thick">
        <color auto="1"/>
      </right>
      <top/>
      <bottom style="thick">
        <color theme="5"/>
      </bottom>
      <diagonal/>
    </border>
    <border>
      <left/>
      <right style="thick">
        <color auto="1"/>
      </right>
      <top style="thick">
        <color theme="5"/>
      </top>
      <bottom/>
      <diagonal/>
    </border>
    <border>
      <left/>
      <right style="thin">
        <color indexed="64"/>
      </right>
      <top style="thin">
        <color rgb="FFB2B2B2"/>
      </top>
      <bottom style="thin">
        <color rgb="FFB2B2B2"/>
      </bottom>
      <diagonal/>
    </border>
    <border>
      <left style="thin">
        <color rgb="FFB2B2B2"/>
      </left>
      <right style="thick">
        <color auto="1"/>
      </right>
      <top style="thin">
        <color rgb="FFB2B2B2"/>
      </top>
      <bottom style="thin">
        <color indexed="64"/>
      </bottom>
      <diagonal/>
    </border>
    <border>
      <left style="thick">
        <color rgb="FFFF33CC"/>
      </left>
      <right/>
      <top style="thick">
        <color rgb="FFFF33CC"/>
      </top>
      <bottom/>
      <diagonal/>
    </border>
    <border>
      <left/>
      <right style="thick">
        <color rgb="FFFF33CC"/>
      </right>
      <top style="thick">
        <color rgb="FFFF33CC"/>
      </top>
      <bottom/>
      <diagonal/>
    </border>
    <border>
      <left style="thin">
        <color theme="1"/>
      </left>
      <right style="thin">
        <color theme="1"/>
      </right>
      <top style="thick">
        <color theme="5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rgb="FFB2B2B2"/>
      </right>
      <top/>
      <bottom/>
      <diagonal/>
    </border>
    <border>
      <left/>
      <right/>
      <top style="thin">
        <color rgb="FFB2B2B2"/>
      </top>
      <bottom/>
      <diagonal/>
    </border>
    <border>
      <left/>
      <right/>
      <top/>
      <bottom style="thin">
        <color rgb="FFB2B2B2"/>
      </bottom>
      <diagonal/>
    </border>
    <border>
      <left style="thin">
        <color theme="1"/>
      </left>
      <right/>
      <top style="thick">
        <color theme="5"/>
      </top>
      <bottom style="thin">
        <color theme="1"/>
      </bottom>
      <diagonal/>
    </border>
    <border>
      <left style="thin">
        <color indexed="64"/>
      </left>
      <right style="thin">
        <color rgb="FFB2B2B2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theme="1"/>
      </left>
      <right/>
      <top/>
      <bottom/>
      <diagonal/>
    </border>
    <border>
      <left/>
      <right/>
      <top/>
      <bottom style="thin">
        <color theme="1"/>
      </bottom>
      <diagonal/>
    </border>
    <border>
      <left style="thin">
        <color indexed="64"/>
      </left>
      <right style="thin">
        <color rgb="FFB2B2B2"/>
      </right>
      <top/>
      <bottom style="thin">
        <color rgb="FFB2B2B2"/>
      </bottom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rgb="FFB2B2B2"/>
      </left>
      <right style="thin">
        <color rgb="FFB2B2B2"/>
      </right>
      <top style="thick">
        <color theme="5"/>
      </top>
      <bottom/>
      <diagonal/>
    </border>
    <border>
      <left style="thick">
        <color theme="1"/>
      </left>
      <right style="thick">
        <color theme="1"/>
      </right>
      <top style="thick">
        <color theme="1"/>
      </top>
      <bottom/>
      <diagonal/>
    </border>
    <border>
      <left style="thick">
        <color theme="1"/>
      </left>
      <right style="thick">
        <color theme="1"/>
      </right>
      <top/>
      <bottom style="thick">
        <color theme="1"/>
      </bottom>
      <diagonal/>
    </border>
    <border>
      <left style="thin">
        <color theme="1"/>
      </left>
      <right/>
      <top style="thick">
        <color theme="5"/>
      </top>
      <bottom/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 style="thick">
        <color auto="1"/>
      </top>
      <bottom style="thick">
        <color theme="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theme="1"/>
      </bottom>
      <diagonal/>
    </border>
    <border>
      <left style="thin">
        <color rgb="FFB2B2B2"/>
      </left>
      <right style="thin">
        <color indexed="64"/>
      </right>
      <top style="thin">
        <color rgb="FFB2B2B2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/>
      <right style="thin">
        <color rgb="FFB2B2B2"/>
      </right>
      <top style="thin">
        <color rgb="FFB2B2B2"/>
      </top>
      <bottom style="thin">
        <color theme="1"/>
      </bottom>
      <diagonal/>
    </border>
    <border>
      <left style="thin">
        <color rgb="FFB2B2B2"/>
      </left>
      <right style="thin">
        <color rgb="FFB2B2B2"/>
      </right>
      <top style="thin">
        <color auto="1"/>
      </top>
      <bottom/>
      <diagonal/>
    </border>
    <border>
      <left style="thick">
        <color theme="5"/>
      </left>
      <right/>
      <top style="thick">
        <color theme="5"/>
      </top>
      <bottom/>
      <diagonal/>
    </border>
    <border>
      <left/>
      <right style="thick">
        <color theme="5"/>
      </right>
      <top style="thick">
        <color theme="5"/>
      </top>
      <bottom/>
      <diagonal/>
    </border>
    <border>
      <left/>
      <right style="thick">
        <color indexed="64"/>
      </right>
      <top style="thick">
        <color theme="5"/>
      </top>
      <bottom style="thin">
        <color auto="1"/>
      </bottom>
      <diagonal/>
    </border>
    <border>
      <left/>
      <right style="thick">
        <color indexed="64"/>
      </right>
      <top/>
      <bottom style="thin">
        <color auto="1"/>
      </bottom>
      <diagonal/>
    </border>
    <border>
      <left/>
      <right/>
      <top style="thick">
        <color theme="5"/>
      </top>
      <bottom style="thin">
        <color theme="1"/>
      </bottom>
      <diagonal/>
    </border>
    <border>
      <left style="thin">
        <color rgb="FFB2B2B2"/>
      </left>
      <right style="thin">
        <color rgb="FFB2B2B2"/>
      </right>
      <top style="thick">
        <color theme="5"/>
      </top>
      <bottom style="thin">
        <color theme="1"/>
      </bottom>
      <diagonal/>
    </border>
    <border>
      <left/>
      <right/>
      <top style="thick">
        <color theme="5"/>
      </top>
      <bottom style="thin">
        <color indexed="64"/>
      </bottom>
      <diagonal/>
    </border>
    <border>
      <left style="thin">
        <color rgb="FFB2B2B2"/>
      </left>
      <right style="thick">
        <color auto="1"/>
      </right>
      <top style="thick">
        <color theme="5"/>
      </top>
      <bottom style="thin">
        <color rgb="FFB2B2B2"/>
      </bottom>
      <diagonal/>
    </border>
    <border>
      <left/>
      <right/>
      <top style="thin">
        <color theme="1"/>
      </top>
      <bottom/>
      <diagonal/>
    </border>
    <border>
      <left style="thick">
        <color auto="1"/>
      </left>
      <right/>
      <top style="thick">
        <color indexed="64"/>
      </top>
      <bottom/>
      <diagonal/>
    </border>
    <border>
      <left style="thick">
        <color auto="1"/>
      </left>
      <right/>
      <top/>
      <bottom style="thin">
        <color indexed="64"/>
      </bottom>
      <diagonal/>
    </border>
    <border>
      <left/>
      <right/>
      <top style="thick">
        <color theme="1"/>
      </top>
      <bottom/>
      <diagonal/>
    </border>
    <border>
      <left style="thin">
        <color rgb="FFB2B2B2"/>
      </left>
      <right style="thick">
        <color theme="1"/>
      </right>
      <top style="thick">
        <color theme="5"/>
      </top>
      <bottom style="thin">
        <color rgb="FFB2B2B2"/>
      </bottom>
      <diagonal/>
    </border>
    <border>
      <left style="thin">
        <color rgb="FFB2B2B2"/>
      </left>
      <right style="thick">
        <color theme="1"/>
      </right>
      <top style="thin">
        <color rgb="FFB2B2B2"/>
      </top>
      <bottom style="thin">
        <color rgb="FFB2B2B2"/>
      </bottom>
      <diagonal/>
    </border>
    <border>
      <left style="thin">
        <color rgb="FFB2B2B2"/>
      </left>
      <right style="thick">
        <color theme="1"/>
      </right>
      <top style="thin">
        <color rgb="FFB2B2B2"/>
      </top>
      <bottom style="thin">
        <color theme="1"/>
      </bottom>
      <diagonal/>
    </border>
    <border>
      <left style="thin">
        <color rgb="FFB2B2B2"/>
      </left>
      <right style="thick">
        <color theme="1"/>
      </right>
      <top style="thin">
        <color rgb="FFB2B2B2"/>
      </top>
      <bottom style="thin">
        <color indexed="64"/>
      </bottom>
      <diagonal/>
    </border>
  </borders>
  <cellStyleXfs count="5">
    <xf numFmtId="0" fontId="0" fillId="0" borderId="0">
      <alignment vertical="center"/>
    </xf>
    <xf numFmtId="0" fontId="3" fillId="2" borderId="0" applyNumberFormat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</cellStyleXfs>
  <cellXfs count="730">
    <xf numFmtId="0" fontId="0" fillId="0" borderId="0" xfId="0">
      <alignment vertical="center"/>
    </xf>
    <xf numFmtId="0" fontId="0" fillId="0" borderId="2" xfId="0" applyBorder="1" applyAlignment="1">
      <alignment horizontal="center" vertical="center"/>
    </xf>
    <xf numFmtId="176" fontId="0" fillId="0" borderId="2" xfId="0" applyNumberFormat="1" applyBorder="1" applyAlignment="1">
      <alignment horizontal="center" vertical="center"/>
    </xf>
    <xf numFmtId="0" fontId="4" fillId="2" borderId="2" xfId="1" applyFont="1" applyBorder="1" applyAlignment="1">
      <alignment horizontal="center" vertical="center"/>
    </xf>
    <xf numFmtId="0" fontId="0" fillId="0" borderId="2" xfId="0" applyBorder="1">
      <alignment vertical="center"/>
    </xf>
    <xf numFmtId="176" fontId="0" fillId="4" borderId="2" xfId="0" applyNumberFormat="1" applyFill="1" applyBorder="1" applyAlignment="1">
      <alignment horizontal="center" vertical="center"/>
    </xf>
    <xf numFmtId="176" fontId="0" fillId="5" borderId="2" xfId="0" applyNumberForma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176" fontId="5" fillId="5" borderId="2" xfId="2" applyNumberFormat="1" applyFont="1" applyFill="1" applyBorder="1" applyAlignment="1">
      <alignment horizontal="center" vertical="center"/>
    </xf>
    <xf numFmtId="176" fontId="0" fillId="5" borderId="2" xfId="2" applyNumberFormat="1" applyFont="1" applyFill="1" applyBorder="1" applyAlignment="1">
      <alignment horizontal="center" vertical="center"/>
    </xf>
    <xf numFmtId="176" fontId="0" fillId="4" borderId="2" xfId="2" applyNumberFormat="1" applyFont="1" applyFill="1" applyBorder="1" applyAlignment="1">
      <alignment horizontal="center" vertical="center"/>
    </xf>
    <xf numFmtId="176" fontId="5" fillId="4" borderId="2" xfId="2" applyNumberFormat="1" applyFont="1" applyFill="1" applyBorder="1" applyAlignment="1">
      <alignment horizontal="center" vertical="center"/>
    </xf>
    <xf numFmtId="176" fontId="5" fillId="4" borderId="2" xfId="0" applyNumberFormat="1" applyFont="1" applyFill="1" applyBorder="1" applyAlignment="1">
      <alignment horizontal="center" vertical="center"/>
    </xf>
    <xf numFmtId="176" fontId="6" fillId="0" borderId="2" xfId="0" applyNumberFormat="1" applyFont="1" applyBorder="1" applyAlignment="1">
      <alignment horizontal="center" vertical="center"/>
    </xf>
    <xf numFmtId="176" fontId="7" fillId="5" borderId="2" xfId="0" applyNumberFormat="1" applyFont="1" applyFill="1" applyBorder="1" applyAlignment="1">
      <alignment horizontal="center" vertical="center"/>
    </xf>
    <xf numFmtId="176" fontId="7" fillId="4" borderId="2" xfId="0" applyNumberFormat="1" applyFont="1" applyFill="1" applyBorder="1" applyAlignment="1">
      <alignment horizontal="center" vertical="center"/>
    </xf>
    <xf numFmtId="176" fontId="6" fillId="4" borderId="2" xfId="0" applyNumberFormat="1" applyFont="1" applyFill="1" applyBorder="1" applyAlignment="1">
      <alignment horizontal="center" vertical="center"/>
    </xf>
    <xf numFmtId="176" fontId="0" fillId="6" borderId="2" xfId="0" applyNumberFormat="1" applyFill="1" applyBorder="1" applyAlignment="1">
      <alignment horizontal="center" vertical="center"/>
    </xf>
    <xf numFmtId="176" fontId="5" fillId="6" borderId="2" xfId="0" applyNumberFormat="1" applyFont="1" applyFill="1" applyBorder="1" applyAlignment="1">
      <alignment horizontal="center" vertical="center"/>
    </xf>
    <xf numFmtId="176" fontId="5" fillId="6" borderId="2" xfId="2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176" fontId="9" fillId="5" borderId="2" xfId="0" applyNumberFormat="1" applyFont="1" applyFill="1" applyBorder="1" applyAlignment="1">
      <alignment horizontal="center" vertical="center"/>
    </xf>
    <xf numFmtId="176" fontId="9" fillId="5" borderId="2" xfId="2" applyNumberFormat="1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78" fontId="0" fillId="0" borderId="2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4" fillId="2" borderId="4" xfId="1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78" fontId="0" fillId="4" borderId="0" xfId="0" applyNumberFormat="1" applyFill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0" fontId="0" fillId="0" borderId="13" xfId="0" applyBorder="1" applyAlignment="1">
      <alignment horizontal="center" vertical="center"/>
    </xf>
    <xf numFmtId="178" fontId="0" fillId="4" borderId="13" xfId="0" applyNumberFormat="1" applyFill="1" applyBorder="1" applyAlignment="1">
      <alignment horizontal="center" vertical="center"/>
    </xf>
    <xf numFmtId="178" fontId="0" fillId="0" borderId="13" xfId="0" applyNumberForma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78" fontId="0" fillId="4" borderId="14" xfId="0" applyNumberFormat="1" applyFill="1" applyBorder="1" applyAlignment="1">
      <alignment horizontal="center" vertical="center"/>
    </xf>
    <xf numFmtId="178" fontId="0" fillId="0" borderId="14" xfId="0" applyNumberFormat="1" applyBorder="1" applyAlignment="1">
      <alignment horizontal="center" vertical="center"/>
    </xf>
    <xf numFmtId="0" fontId="4" fillId="2" borderId="8" xfId="1" applyFont="1" applyBorder="1" applyAlignment="1">
      <alignment horizontal="center" vertical="center"/>
    </xf>
    <xf numFmtId="0" fontId="4" fillId="2" borderId="9" xfId="1" applyFon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4" borderId="23" xfId="0" applyFill="1" applyBorder="1" applyAlignment="1">
      <alignment horizontal="center" vertical="center"/>
    </xf>
    <xf numFmtId="178" fontId="0" fillId="4" borderId="23" xfId="0" applyNumberFormat="1" applyFill="1" applyBorder="1" applyAlignment="1">
      <alignment horizontal="center" vertical="center"/>
    </xf>
    <xf numFmtId="178" fontId="4" fillId="3" borderId="25" xfId="2" applyNumberFormat="1" applyFont="1" applyBorder="1" applyAlignment="1">
      <alignment horizontal="center" vertical="center"/>
    </xf>
    <xf numFmtId="0" fontId="0" fillId="0" borderId="28" xfId="0" applyBorder="1">
      <alignment vertical="center"/>
    </xf>
    <xf numFmtId="178" fontId="13" fillId="0" borderId="30" xfId="0" applyNumberFormat="1" applyFont="1" applyBorder="1" applyAlignment="1">
      <alignment horizontal="center" vertical="center"/>
    </xf>
    <xf numFmtId="0" fontId="4" fillId="2" borderId="10" xfId="1" applyFont="1" applyBorder="1" applyAlignment="1">
      <alignment horizontal="center" vertical="center"/>
    </xf>
    <xf numFmtId="178" fontId="4" fillId="3" borderId="12" xfId="2" applyNumberFormat="1" applyFont="1" applyBorder="1" applyAlignment="1">
      <alignment horizontal="center" vertical="center"/>
    </xf>
    <xf numFmtId="0" fontId="11" fillId="0" borderId="29" xfId="0" applyFont="1" applyBorder="1" applyAlignment="1">
      <alignment horizontal="center" vertical="center"/>
    </xf>
    <xf numFmtId="178" fontId="16" fillId="0" borderId="30" xfId="0" applyNumberFormat="1" applyFont="1" applyBorder="1" applyAlignment="1">
      <alignment horizontal="center" vertical="center"/>
    </xf>
    <xf numFmtId="178" fontId="17" fillId="0" borderId="2" xfId="0" applyNumberFormat="1" applyFont="1" applyBorder="1" applyAlignment="1">
      <alignment horizontal="center" vertical="center"/>
    </xf>
    <xf numFmtId="0" fontId="4" fillId="2" borderId="31" xfId="1" applyFont="1" applyBorder="1" applyAlignment="1">
      <alignment horizontal="center" vertical="center"/>
    </xf>
    <xf numFmtId="0" fontId="4" fillId="2" borderId="32" xfId="1" applyFont="1" applyBorder="1" applyAlignment="1">
      <alignment horizontal="center" vertical="center"/>
    </xf>
    <xf numFmtId="178" fontId="4" fillId="2" borderId="6" xfId="1" applyNumberFormat="1" applyFont="1" applyBorder="1" applyAlignment="1">
      <alignment horizontal="center" vertical="center"/>
    </xf>
    <xf numFmtId="0" fontId="15" fillId="4" borderId="8" xfId="3" applyFont="1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11" fillId="0" borderId="36" xfId="0" applyFont="1" applyBorder="1" applyAlignment="1">
      <alignment horizontal="center" vertical="center"/>
    </xf>
    <xf numFmtId="178" fontId="4" fillId="2" borderId="37" xfId="1" applyNumberFormat="1" applyFon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4" borderId="19" xfId="0" applyFill="1" applyBorder="1" applyAlignment="1">
      <alignment horizontal="center" vertical="center"/>
    </xf>
    <xf numFmtId="176" fontId="0" fillId="4" borderId="9" xfId="0" applyNumberFormat="1" applyFill="1" applyBorder="1" applyAlignment="1">
      <alignment horizontal="center" vertical="center"/>
    </xf>
    <xf numFmtId="0" fontId="12" fillId="0" borderId="33" xfId="0" applyFont="1" applyBorder="1" applyAlignment="1">
      <alignment horizontal="center" vertical="center"/>
    </xf>
    <xf numFmtId="0" fontId="12" fillId="0" borderId="34" xfId="0" applyFont="1" applyBorder="1" applyAlignment="1">
      <alignment horizontal="center" vertical="center"/>
    </xf>
    <xf numFmtId="0" fontId="12" fillId="0" borderId="40" xfId="0" applyFont="1" applyBorder="1" applyAlignment="1">
      <alignment horizontal="center" vertical="center"/>
    </xf>
    <xf numFmtId="0" fontId="12" fillId="0" borderId="35" xfId="0" applyFont="1" applyBorder="1" applyAlignment="1">
      <alignment horizontal="center" vertical="center"/>
    </xf>
    <xf numFmtId="0" fontId="0" fillId="0" borderId="14" xfId="0" applyBorder="1">
      <alignment vertical="center"/>
    </xf>
    <xf numFmtId="0" fontId="17" fillId="0" borderId="3" xfId="0" applyFont="1" applyBorder="1" applyAlignment="1">
      <alignment horizontal="center" vertical="center"/>
    </xf>
    <xf numFmtId="178" fontId="17" fillId="0" borderId="3" xfId="0" applyNumberFormat="1" applyFont="1" applyBorder="1" applyAlignment="1">
      <alignment horizontal="center" vertical="center"/>
    </xf>
    <xf numFmtId="0" fontId="11" fillId="0" borderId="41" xfId="0" applyFont="1" applyBorder="1" applyAlignment="1">
      <alignment horizontal="center" vertical="center"/>
    </xf>
    <xf numFmtId="178" fontId="13" fillId="0" borderId="42" xfId="0" applyNumberFormat="1" applyFont="1" applyBorder="1" applyAlignment="1">
      <alignment horizontal="center" vertical="center"/>
    </xf>
    <xf numFmtId="0" fontId="0" fillId="9" borderId="8" xfId="0" applyFill="1" applyBorder="1" applyAlignment="1">
      <alignment horizontal="center" vertical="center"/>
    </xf>
    <xf numFmtId="178" fontId="12" fillId="3" borderId="20" xfId="2" applyNumberFormat="1" applyFont="1" applyBorder="1" applyAlignment="1">
      <alignment horizontal="center" vertical="center"/>
    </xf>
    <xf numFmtId="178" fontId="12" fillId="3" borderId="0" xfId="2" applyNumberFormat="1" applyFont="1" applyBorder="1" applyAlignment="1">
      <alignment horizontal="center" vertical="center"/>
    </xf>
    <xf numFmtId="178" fontId="12" fillId="3" borderId="1" xfId="2" applyNumberFormat="1" applyFont="1" applyAlignment="1">
      <alignment horizontal="center" vertical="center"/>
    </xf>
    <xf numFmtId="178" fontId="12" fillId="3" borderId="21" xfId="2" applyNumberFormat="1" applyFont="1" applyBorder="1" applyAlignment="1">
      <alignment horizontal="center" vertical="center"/>
    </xf>
    <xf numFmtId="178" fontId="12" fillId="3" borderId="24" xfId="2" applyNumberFormat="1" applyFont="1" applyBorder="1" applyAlignment="1">
      <alignment horizontal="center" vertical="center"/>
    </xf>
    <xf numFmtId="179" fontId="12" fillId="4" borderId="4" xfId="2" applyNumberFormat="1" applyFont="1" applyFill="1" applyBorder="1" applyAlignment="1">
      <alignment horizontal="center" vertical="center"/>
    </xf>
    <xf numFmtId="179" fontId="0" fillId="0" borderId="2" xfId="0" applyNumberFormat="1" applyBorder="1" applyAlignment="1">
      <alignment horizontal="center" vertical="center"/>
    </xf>
    <xf numFmtId="179" fontId="12" fillId="4" borderId="2" xfId="2" applyNumberFormat="1" applyFont="1" applyFill="1" applyBorder="1" applyAlignment="1">
      <alignment horizontal="center" vertical="center"/>
    </xf>
    <xf numFmtId="179" fontId="12" fillId="4" borderId="2" xfId="0" applyNumberFormat="1" applyFont="1" applyFill="1" applyBorder="1" applyAlignment="1">
      <alignment horizontal="center" vertical="center"/>
    </xf>
    <xf numFmtId="179" fontId="12" fillId="0" borderId="2" xfId="0" applyNumberFormat="1" applyFont="1" applyBorder="1" applyAlignment="1">
      <alignment horizontal="center" vertical="center"/>
    </xf>
    <xf numFmtId="179" fontId="12" fillId="4" borderId="4" xfId="0" applyNumberFormat="1" applyFont="1" applyFill="1" applyBorder="1" applyAlignment="1">
      <alignment horizontal="center" vertical="center"/>
    </xf>
    <xf numFmtId="179" fontId="19" fillId="4" borderId="2" xfId="0" applyNumberFormat="1" applyFont="1" applyFill="1" applyBorder="1" applyAlignment="1">
      <alignment horizontal="center" vertical="center"/>
    </xf>
    <xf numFmtId="179" fontId="12" fillId="0" borderId="4" xfId="0" applyNumberFormat="1" applyFont="1" applyBorder="1" applyAlignment="1">
      <alignment horizontal="center" vertical="center"/>
    </xf>
    <xf numFmtId="180" fontId="0" fillId="0" borderId="2" xfId="0" applyNumberFormat="1" applyBorder="1" applyAlignment="1">
      <alignment horizontal="center" vertical="center"/>
    </xf>
    <xf numFmtId="179" fontId="21" fillId="12" borderId="2" xfId="4" applyNumberFormat="1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178" fontId="12" fillId="3" borderId="26" xfId="2" applyNumberFormat="1" applyFont="1" applyBorder="1" applyAlignment="1">
      <alignment horizontal="center" vertical="center"/>
    </xf>
    <xf numFmtId="178" fontId="12" fillId="3" borderId="27" xfId="2" applyNumberFormat="1" applyFont="1" applyBorder="1" applyAlignment="1">
      <alignment horizontal="center" vertical="center"/>
    </xf>
    <xf numFmtId="179" fontId="12" fillId="4" borderId="15" xfId="2" applyNumberFormat="1" applyFont="1" applyFill="1" applyBorder="1" applyAlignment="1">
      <alignment horizontal="center" vertical="center"/>
    </xf>
    <xf numFmtId="179" fontId="12" fillId="4" borderId="15" xfId="0" applyNumberFormat="1" applyFont="1" applyFill="1" applyBorder="1" applyAlignment="1">
      <alignment horizontal="center" vertical="center"/>
    </xf>
    <xf numFmtId="179" fontId="12" fillId="0" borderId="15" xfId="0" applyNumberFormat="1" applyFont="1" applyBorder="1" applyAlignment="1">
      <alignment horizontal="center" vertical="center"/>
    </xf>
    <xf numFmtId="179" fontId="0" fillId="0" borderId="0" xfId="0" applyNumberFormat="1">
      <alignment vertical="center"/>
    </xf>
    <xf numFmtId="0" fontId="20" fillId="12" borderId="25" xfId="4" applyNumberFormat="1" applyBorder="1" applyAlignment="1">
      <alignment horizontal="center" vertical="center"/>
    </xf>
    <xf numFmtId="0" fontId="21" fillId="12" borderId="25" xfId="4" applyNumberFormat="1" applyFont="1" applyBorder="1" applyAlignment="1">
      <alignment horizontal="center" vertical="center"/>
    </xf>
    <xf numFmtId="178" fontId="8" fillId="7" borderId="1" xfId="3" applyNumberFormat="1" applyBorder="1" applyAlignment="1">
      <alignment horizontal="center" vertical="center"/>
    </xf>
    <xf numFmtId="0" fontId="12" fillId="0" borderId="46" xfId="0" applyFont="1" applyBorder="1" applyAlignment="1">
      <alignment horizontal="center" vertical="center"/>
    </xf>
    <xf numFmtId="181" fontId="12" fillId="3" borderId="20" xfId="2" applyNumberFormat="1" applyFont="1" applyBorder="1" applyAlignment="1">
      <alignment horizontal="center" vertical="center"/>
    </xf>
    <xf numFmtId="0" fontId="12" fillId="0" borderId="47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178" fontId="8" fillId="3" borderId="1" xfId="2" applyNumberFormat="1" applyFont="1" applyAlignment="1">
      <alignment horizontal="center" vertical="center"/>
    </xf>
    <xf numFmtId="0" fontId="0" fillId="10" borderId="45" xfId="0" applyFill="1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178" fontId="0" fillId="0" borderId="49" xfId="0" applyNumberFormat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11" borderId="45" xfId="0" applyFill="1" applyBorder="1" applyAlignment="1">
      <alignment horizontal="center" vertical="center"/>
    </xf>
    <xf numFmtId="0" fontId="12" fillId="15" borderId="4" xfId="0" applyFont="1" applyFill="1" applyBorder="1" applyAlignment="1">
      <alignment horizontal="center" vertical="center"/>
    </xf>
    <xf numFmtId="178" fontId="3" fillId="2" borderId="1" xfId="1" applyNumberFormat="1" applyBorder="1" applyAlignment="1">
      <alignment horizontal="center" vertical="center"/>
    </xf>
    <xf numFmtId="0" fontId="15" fillId="4" borderId="2" xfId="1" applyFont="1" applyFill="1" applyBorder="1" applyAlignment="1">
      <alignment horizontal="center" vertical="center"/>
    </xf>
    <xf numFmtId="0" fontId="10" fillId="4" borderId="2" xfId="1" applyFont="1" applyFill="1" applyBorder="1" applyAlignment="1">
      <alignment horizontal="center" vertical="center"/>
    </xf>
    <xf numFmtId="179" fontId="8" fillId="4" borderId="2" xfId="3" applyNumberFormat="1" applyFill="1" applyBorder="1" applyAlignment="1">
      <alignment horizontal="center" vertical="center"/>
    </xf>
    <xf numFmtId="179" fontId="8" fillId="4" borderId="4" xfId="3" applyNumberFormat="1" applyFill="1" applyBorder="1" applyAlignment="1">
      <alignment horizontal="center" vertical="center"/>
    </xf>
    <xf numFmtId="0" fontId="12" fillId="0" borderId="52" xfId="0" applyFont="1" applyBorder="1" applyAlignment="1">
      <alignment horizontal="center" vertical="center"/>
    </xf>
    <xf numFmtId="0" fontId="11" fillId="0" borderId="49" xfId="0" applyFont="1" applyBorder="1" applyAlignment="1">
      <alignment horizontal="center" vertical="center"/>
    </xf>
    <xf numFmtId="178" fontId="0" fillId="4" borderId="49" xfId="0" applyNumberFormat="1" applyFill="1" applyBorder="1" applyAlignment="1">
      <alignment horizontal="center" vertical="center"/>
    </xf>
    <xf numFmtId="179" fontId="0" fillId="4" borderId="49" xfId="0" applyNumberFormat="1" applyFill="1" applyBorder="1" applyAlignment="1">
      <alignment horizontal="center" vertical="center"/>
    </xf>
    <xf numFmtId="0" fontId="11" fillId="0" borderId="53" xfId="0" applyFont="1" applyBorder="1" applyAlignment="1">
      <alignment horizontal="center" vertical="center"/>
    </xf>
    <xf numFmtId="179" fontId="3" fillId="2" borderId="1" xfId="1" applyNumberFormat="1" applyBorder="1" applyAlignment="1">
      <alignment horizontal="center" vertical="center"/>
    </xf>
    <xf numFmtId="179" fontId="8" fillId="7" borderId="1" xfId="3" applyNumberFormat="1" applyBorder="1" applyAlignment="1">
      <alignment horizontal="center" vertical="center"/>
    </xf>
    <xf numFmtId="0" fontId="22" fillId="0" borderId="34" xfId="0" applyFont="1" applyBorder="1" applyAlignment="1">
      <alignment horizontal="center" vertical="center"/>
    </xf>
    <xf numFmtId="0" fontId="22" fillId="0" borderId="32" xfId="0" applyFont="1" applyBorder="1" applyAlignment="1">
      <alignment horizontal="center" vertical="center"/>
    </xf>
    <xf numFmtId="0" fontId="15" fillId="16" borderId="8" xfId="3" applyFont="1" applyFill="1" applyBorder="1" applyAlignment="1">
      <alignment horizontal="center" vertical="center"/>
    </xf>
    <xf numFmtId="179" fontId="8" fillId="4" borderId="15" xfId="3" applyNumberFormat="1" applyFill="1" applyBorder="1" applyAlignment="1">
      <alignment horizontal="center" vertical="center"/>
    </xf>
    <xf numFmtId="178" fontId="12" fillId="3" borderId="54" xfId="2" applyNumberFormat="1" applyFont="1" applyBorder="1" applyAlignment="1">
      <alignment horizontal="center" vertical="center"/>
    </xf>
    <xf numFmtId="178" fontId="12" fillId="3" borderId="55" xfId="2" applyNumberFormat="1" applyFont="1" applyBorder="1" applyAlignment="1">
      <alignment horizontal="center" vertical="center"/>
    </xf>
    <xf numFmtId="178" fontId="12" fillId="3" borderId="56" xfId="2" applyNumberFormat="1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179" fontId="8" fillId="7" borderId="4" xfId="3" applyNumberFormat="1" applyBorder="1" applyAlignment="1">
      <alignment horizontal="center" vertical="center"/>
    </xf>
    <xf numFmtId="181" fontId="8" fillId="7" borderId="20" xfId="3" applyNumberFormat="1" applyBorder="1" applyAlignment="1">
      <alignment horizontal="center" vertical="center"/>
    </xf>
    <xf numFmtId="181" fontId="4" fillId="3" borderId="12" xfId="2" applyNumberFormat="1" applyFont="1" applyBorder="1" applyAlignment="1">
      <alignment horizontal="center" vertical="center"/>
    </xf>
    <xf numFmtId="179" fontId="3" fillId="2" borderId="0" xfId="1" applyNumberFormat="1" applyBorder="1" applyAlignment="1">
      <alignment horizontal="center" vertical="center"/>
    </xf>
    <xf numFmtId="0" fontId="15" fillId="17" borderId="8" xfId="3" applyFont="1" applyFill="1" applyBorder="1" applyAlignment="1">
      <alignment horizontal="center" vertical="center"/>
    </xf>
    <xf numFmtId="178" fontId="12" fillId="3" borderId="57" xfId="2" applyNumberFormat="1" applyFont="1" applyBorder="1" applyAlignment="1">
      <alignment horizontal="center" vertical="center"/>
    </xf>
    <xf numFmtId="181" fontId="8" fillId="3" borderId="1" xfId="2" applyNumberFormat="1" applyFont="1" applyAlignment="1">
      <alignment horizontal="center" vertical="center"/>
    </xf>
    <xf numFmtId="0" fontId="11" fillId="0" borderId="58" xfId="0" applyFont="1" applyBorder="1" applyAlignment="1">
      <alignment horizontal="center" vertical="center"/>
    </xf>
    <xf numFmtId="178" fontId="13" fillId="0" borderId="14" xfId="0" applyNumberFormat="1" applyFont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178" fontId="0" fillId="0" borderId="24" xfId="0" applyNumberFormat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0" fontId="0" fillId="0" borderId="61" xfId="0" applyBorder="1" applyAlignment="1">
      <alignment horizontal="center" vertical="center"/>
    </xf>
    <xf numFmtId="0" fontId="0" fillId="0" borderId="62" xfId="0" applyBorder="1" applyAlignment="1">
      <alignment horizontal="center" vertical="center"/>
    </xf>
    <xf numFmtId="0" fontId="0" fillId="9" borderId="45" xfId="0" applyFill="1" applyBorder="1" applyAlignment="1">
      <alignment horizontal="center" vertical="center"/>
    </xf>
    <xf numFmtId="0" fontId="0" fillId="14" borderId="45" xfId="0" applyFill="1" applyBorder="1" applyAlignment="1">
      <alignment horizontal="center" vertical="center"/>
    </xf>
    <xf numFmtId="0" fontId="0" fillId="8" borderId="45" xfId="0" applyFill="1" applyBorder="1" applyAlignment="1">
      <alignment horizontal="center" vertical="center"/>
    </xf>
    <xf numFmtId="0" fontId="0" fillId="11" borderId="63" xfId="0" applyFill="1" applyBorder="1" applyAlignment="1">
      <alignment horizontal="center" vertical="center"/>
    </xf>
    <xf numFmtId="0" fontId="0" fillId="9" borderId="64" xfId="0" applyFill="1" applyBorder="1" applyAlignment="1">
      <alignment horizontal="center" vertical="center"/>
    </xf>
    <xf numFmtId="0" fontId="0" fillId="13" borderId="45" xfId="0" applyFill="1" applyBorder="1" applyAlignment="1">
      <alignment horizontal="center" vertical="center"/>
    </xf>
    <xf numFmtId="0" fontId="0" fillId="14" borderId="65" xfId="0" applyFill="1" applyBorder="1" applyAlignment="1">
      <alignment horizontal="center" vertical="center"/>
    </xf>
    <xf numFmtId="0" fontId="11" fillId="0" borderId="66" xfId="0" applyFont="1" applyBorder="1" applyAlignment="1">
      <alignment horizontal="center" vertical="center"/>
    </xf>
    <xf numFmtId="0" fontId="11" fillId="0" borderId="67" xfId="0" applyFont="1" applyBorder="1" applyAlignment="1">
      <alignment horizontal="center" vertical="center"/>
    </xf>
    <xf numFmtId="0" fontId="24" fillId="0" borderId="68" xfId="0" applyFont="1" applyBorder="1" applyAlignment="1">
      <alignment horizontal="center" vertical="center"/>
    </xf>
    <xf numFmtId="0" fontId="11" fillId="0" borderId="69" xfId="0" applyFont="1" applyBorder="1" applyAlignment="1">
      <alignment horizontal="center" vertical="center"/>
    </xf>
    <xf numFmtId="0" fontId="0" fillId="0" borderId="70" xfId="0" applyBorder="1">
      <alignment vertical="center"/>
    </xf>
    <xf numFmtId="0" fontId="0" fillId="0" borderId="71" xfId="0" applyBorder="1">
      <alignment vertical="center"/>
    </xf>
    <xf numFmtId="183" fontId="11" fillId="0" borderId="73" xfId="0" applyNumberFormat="1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178" fontId="0" fillId="4" borderId="72" xfId="0" applyNumberForma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19" borderId="45" xfId="0" applyFill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178" fontId="12" fillId="3" borderId="76" xfId="2" applyNumberFormat="1" applyFont="1" applyBorder="1" applyAlignment="1">
      <alignment horizontal="center" vertical="center"/>
    </xf>
    <xf numFmtId="178" fontId="12" fillId="3" borderId="19" xfId="2" applyNumberFormat="1" applyFont="1" applyBorder="1" applyAlignment="1">
      <alignment horizontal="center" vertical="center"/>
    </xf>
    <xf numFmtId="178" fontId="0" fillId="4" borderId="59" xfId="0" applyNumberFormat="1" applyFill="1" applyBorder="1" applyAlignment="1">
      <alignment horizontal="center" vertical="center"/>
    </xf>
    <xf numFmtId="178" fontId="0" fillId="4" borderId="78" xfId="0" applyNumberFormat="1" applyFill="1" applyBorder="1" applyAlignment="1">
      <alignment horizontal="center" vertical="center"/>
    </xf>
    <xf numFmtId="178" fontId="0" fillId="4" borderId="77" xfId="0" applyNumberFormat="1" applyFill="1" applyBorder="1" applyAlignment="1">
      <alignment horizontal="center" vertical="center"/>
    </xf>
    <xf numFmtId="0" fontId="0" fillId="4" borderId="79" xfId="2" applyNumberFormat="1" applyFont="1" applyFill="1" applyBorder="1" applyAlignment="1">
      <alignment horizontal="center" vertical="center"/>
    </xf>
    <xf numFmtId="179" fontId="12" fillId="0" borderId="9" xfId="0" applyNumberFormat="1" applyFont="1" applyBorder="1" applyAlignment="1">
      <alignment horizontal="center" vertical="center"/>
    </xf>
    <xf numFmtId="0" fontId="22" fillId="0" borderId="81" xfId="0" applyFont="1" applyBorder="1" applyAlignment="1">
      <alignment horizontal="center" vertical="center"/>
    </xf>
    <xf numFmtId="0" fontId="0" fillId="0" borderId="81" xfId="0" applyBorder="1" applyAlignment="1">
      <alignment horizontal="center" vertical="center"/>
    </xf>
    <xf numFmtId="0" fontId="28" fillId="0" borderId="81" xfId="0" quotePrefix="1" applyFont="1" applyBorder="1" applyAlignment="1">
      <alignment horizontal="center" vertical="center"/>
    </xf>
    <xf numFmtId="0" fontId="0" fillId="0" borderId="85" xfId="0" applyBorder="1">
      <alignment vertical="center"/>
    </xf>
    <xf numFmtId="0" fontId="0" fillId="0" borderId="86" xfId="0" applyBorder="1">
      <alignment vertical="center"/>
    </xf>
    <xf numFmtId="0" fontId="0" fillId="0" borderId="87" xfId="0" applyBorder="1" applyAlignment="1">
      <alignment horizontal="center" vertical="center"/>
    </xf>
    <xf numFmtId="0" fontId="0" fillId="0" borderId="88" xfId="0" applyBorder="1" applyAlignment="1">
      <alignment horizontal="center" vertical="center"/>
    </xf>
    <xf numFmtId="0" fontId="0" fillId="0" borderId="89" xfId="0" applyBorder="1">
      <alignment vertical="center"/>
    </xf>
    <xf numFmtId="0" fontId="0" fillId="0" borderId="91" xfId="0" applyBorder="1" applyAlignment="1">
      <alignment horizontal="center" vertical="center"/>
    </xf>
    <xf numFmtId="0" fontId="0" fillId="0" borderId="96" xfId="0" applyBorder="1" applyAlignment="1">
      <alignment horizontal="center" vertical="center"/>
    </xf>
    <xf numFmtId="0" fontId="0" fillId="0" borderId="97" xfId="0" applyBorder="1" applyAlignment="1">
      <alignment horizontal="center" vertical="center"/>
    </xf>
    <xf numFmtId="0" fontId="0" fillId="0" borderId="98" xfId="0" applyBorder="1" applyAlignment="1">
      <alignment horizontal="center" vertical="center"/>
    </xf>
    <xf numFmtId="0" fontId="0" fillId="0" borderId="99" xfId="0" applyBorder="1" applyAlignment="1">
      <alignment horizontal="center" vertical="center"/>
    </xf>
    <xf numFmtId="0" fontId="0" fillId="0" borderId="60" xfId="0" applyBorder="1" applyAlignment="1">
      <alignment horizontal="center" vertical="center"/>
    </xf>
    <xf numFmtId="0" fontId="0" fillId="0" borderId="60" xfId="0" applyBorder="1">
      <alignment vertical="center"/>
    </xf>
    <xf numFmtId="0" fontId="0" fillId="0" borderId="100" xfId="0" applyBorder="1" applyAlignment="1">
      <alignment horizontal="center" vertical="center"/>
    </xf>
    <xf numFmtId="0" fontId="0" fillId="0" borderId="101" xfId="0" applyBorder="1" applyAlignment="1">
      <alignment horizontal="center" vertical="center"/>
    </xf>
    <xf numFmtId="0" fontId="0" fillId="0" borderId="102" xfId="0" applyBorder="1" applyAlignment="1">
      <alignment horizontal="center" vertical="center"/>
    </xf>
    <xf numFmtId="0" fontId="0" fillId="0" borderId="103" xfId="0" applyBorder="1" applyAlignment="1">
      <alignment horizontal="center" vertical="center"/>
    </xf>
    <xf numFmtId="0" fontId="0" fillId="0" borderId="104" xfId="0" applyBorder="1" applyAlignment="1">
      <alignment horizontal="center" vertical="center"/>
    </xf>
    <xf numFmtId="0" fontId="30" fillId="0" borderId="80" xfId="0" applyFont="1" applyBorder="1" applyAlignment="1">
      <alignment horizontal="center" vertical="center"/>
    </xf>
    <xf numFmtId="0" fontId="30" fillId="0" borderId="92" xfId="0" applyFont="1" applyBorder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30" fillId="0" borderId="95" xfId="0" applyFont="1" applyBorder="1" applyAlignment="1">
      <alignment horizontal="center" vertical="center"/>
    </xf>
    <xf numFmtId="0" fontId="30" fillId="0" borderId="95" xfId="0" applyFont="1" applyBorder="1">
      <alignment vertical="center"/>
    </xf>
    <xf numFmtId="0" fontId="30" fillId="0" borderId="86" xfId="0" applyFont="1" applyBorder="1" applyAlignment="1">
      <alignment horizontal="center" vertical="center"/>
    </xf>
    <xf numFmtId="0" fontId="30" fillId="0" borderId="105" xfId="0" applyFont="1" applyBorder="1" applyAlignment="1">
      <alignment horizontal="center" vertical="center"/>
    </xf>
    <xf numFmtId="0" fontId="30" fillId="0" borderId="106" xfId="0" applyFont="1" applyBorder="1" applyAlignment="1">
      <alignment horizontal="center" vertical="center"/>
    </xf>
    <xf numFmtId="0" fontId="30" fillId="0" borderId="85" xfId="0" applyFont="1" applyBorder="1" applyAlignment="1">
      <alignment horizontal="center" vertical="center"/>
    </xf>
    <xf numFmtId="0" fontId="30" fillId="0" borderId="107" xfId="0" applyFont="1" applyBorder="1" applyAlignment="1">
      <alignment horizontal="center" vertical="center"/>
    </xf>
    <xf numFmtId="0" fontId="31" fillId="0" borderId="0" xfId="0" applyFont="1">
      <alignment vertical="center"/>
    </xf>
    <xf numFmtId="0" fontId="31" fillId="0" borderId="85" xfId="0" applyFont="1" applyBorder="1">
      <alignment vertical="center"/>
    </xf>
    <xf numFmtId="0" fontId="31" fillId="0" borderId="86" xfId="0" applyFont="1" applyBorder="1">
      <alignment vertical="center"/>
    </xf>
    <xf numFmtId="0" fontId="30" fillId="0" borderId="86" xfId="0" applyFont="1" applyBorder="1">
      <alignment vertical="center"/>
    </xf>
    <xf numFmtId="0" fontId="30" fillId="0" borderId="105" xfId="0" applyFont="1" applyBorder="1">
      <alignment vertical="center"/>
    </xf>
    <xf numFmtId="0" fontId="30" fillId="0" borderId="0" xfId="0" applyFont="1">
      <alignment vertical="center"/>
    </xf>
    <xf numFmtId="0" fontId="0" fillId="0" borderId="90" xfId="0" applyBorder="1">
      <alignment vertical="center"/>
    </xf>
    <xf numFmtId="0" fontId="31" fillId="0" borderId="107" xfId="0" applyFont="1" applyBorder="1">
      <alignment vertical="center"/>
    </xf>
    <xf numFmtId="0" fontId="0" fillId="0" borderId="43" xfId="0" applyBorder="1">
      <alignment vertical="center"/>
    </xf>
    <xf numFmtId="0" fontId="0" fillId="0" borderId="109" xfId="0" applyBorder="1">
      <alignment vertical="center"/>
    </xf>
    <xf numFmtId="0" fontId="0" fillId="0" borderId="110" xfId="0" applyBorder="1">
      <alignment vertical="center"/>
    </xf>
    <xf numFmtId="0" fontId="0" fillId="0" borderId="111" xfId="0" applyBorder="1">
      <alignment vertical="center"/>
    </xf>
    <xf numFmtId="0" fontId="0" fillId="11" borderId="0" xfId="0" applyFill="1" applyAlignment="1">
      <alignment horizontal="center" vertical="center"/>
    </xf>
    <xf numFmtId="0" fontId="0" fillId="11" borderId="87" xfId="0" applyFill="1" applyBorder="1" applyAlignment="1">
      <alignment horizontal="center" vertical="center"/>
    </xf>
    <xf numFmtId="0" fontId="0" fillId="11" borderId="100" xfId="0" applyFill="1" applyBorder="1" applyAlignment="1">
      <alignment horizontal="center" vertical="center"/>
    </xf>
    <xf numFmtId="0" fontId="0" fillId="11" borderId="103" xfId="0" applyFill="1" applyBorder="1" applyAlignment="1">
      <alignment horizontal="center" vertical="center"/>
    </xf>
    <xf numFmtId="179" fontId="12" fillId="0" borderId="0" xfId="0" applyNumberFormat="1" applyFont="1" applyAlignment="1">
      <alignment horizontal="center" vertical="center"/>
    </xf>
    <xf numFmtId="178" fontId="12" fillId="0" borderId="0" xfId="0" applyNumberFormat="1" applyFont="1" applyAlignment="1">
      <alignment horizontal="center" vertical="center"/>
    </xf>
    <xf numFmtId="180" fontId="12" fillId="0" borderId="0" xfId="0" applyNumberFormat="1" applyFont="1" applyAlignment="1">
      <alignment horizontal="center" vertical="center"/>
    </xf>
    <xf numFmtId="182" fontId="23" fillId="5" borderId="114" xfId="0" applyNumberFormat="1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17" xfId="0" applyFont="1" applyBorder="1" applyAlignment="1">
      <alignment horizontal="center" vertical="center"/>
    </xf>
    <xf numFmtId="182" fontId="11" fillId="0" borderId="116" xfId="0" applyNumberFormat="1" applyFont="1" applyBorder="1" applyAlignment="1">
      <alignment horizontal="center" vertical="center"/>
    </xf>
    <xf numFmtId="182" fontId="11" fillId="0" borderId="115" xfId="0" applyNumberFormat="1" applyFont="1" applyBorder="1" applyAlignment="1">
      <alignment horizontal="center" vertical="center"/>
    </xf>
    <xf numFmtId="182" fontId="11" fillId="0" borderId="117" xfId="0" applyNumberFormat="1" applyFont="1" applyBorder="1" applyAlignment="1">
      <alignment horizontal="center" vertical="center"/>
    </xf>
    <xf numFmtId="0" fontId="11" fillId="0" borderId="118" xfId="0" applyFont="1" applyBorder="1" applyAlignment="1">
      <alignment horizontal="center" vertical="center"/>
    </xf>
    <xf numFmtId="182" fontId="11" fillId="0" borderId="119" xfId="0" applyNumberFormat="1" applyFont="1" applyBorder="1" applyAlignment="1">
      <alignment horizontal="center" vertical="center"/>
    </xf>
    <xf numFmtId="182" fontId="11" fillId="0" borderId="120" xfId="0" applyNumberFormat="1" applyFont="1" applyBorder="1" applyAlignment="1">
      <alignment horizontal="center" vertical="center"/>
    </xf>
    <xf numFmtId="0" fontId="11" fillId="0" borderId="121" xfId="0" applyFont="1" applyBorder="1" applyAlignment="1">
      <alignment horizontal="center" vertical="center"/>
    </xf>
    <xf numFmtId="0" fontId="11" fillId="0" borderId="122" xfId="0" applyFont="1" applyBorder="1" applyAlignment="1">
      <alignment horizontal="center" vertical="center"/>
    </xf>
    <xf numFmtId="0" fontId="11" fillId="0" borderId="123" xfId="0" applyFont="1" applyBorder="1" applyAlignment="1">
      <alignment horizontal="center" vertical="center"/>
    </xf>
    <xf numFmtId="182" fontId="11" fillId="0" borderId="124" xfId="0" applyNumberFormat="1" applyFont="1" applyBorder="1" applyAlignment="1">
      <alignment horizontal="center" vertical="center"/>
    </xf>
    <xf numFmtId="0" fontId="0" fillId="4" borderId="14" xfId="2" applyNumberFormat="1" applyFont="1" applyFill="1" applyBorder="1" applyAlignment="1">
      <alignment horizontal="center" vertical="center"/>
    </xf>
    <xf numFmtId="0" fontId="30" fillId="9" borderId="0" xfId="0" applyFont="1" applyFill="1" applyAlignment="1">
      <alignment horizontal="center" vertical="center"/>
    </xf>
    <xf numFmtId="0" fontId="30" fillId="9" borderId="95" xfId="0" applyFont="1" applyFill="1" applyBorder="1" applyAlignment="1">
      <alignment horizontal="center" vertical="center"/>
    </xf>
    <xf numFmtId="0" fontId="30" fillId="9" borderId="86" xfId="0" applyFont="1" applyFill="1" applyBorder="1" applyAlignment="1">
      <alignment horizontal="center" vertical="center"/>
    </xf>
    <xf numFmtId="0" fontId="30" fillId="9" borderId="105" xfId="0" applyFont="1" applyFill="1" applyBorder="1" applyAlignment="1">
      <alignment horizontal="center" vertical="center"/>
    </xf>
    <xf numFmtId="0" fontId="30" fillId="4" borderId="0" xfId="0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30" fillId="4" borderId="80" xfId="0" applyFont="1" applyFill="1" applyBorder="1" applyAlignment="1">
      <alignment horizontal="center" vertical="center"/>
    </xf>
    <xf numFmtId="0" fontId="30" fillId="4" borderId="105" xfId="0" applyFont="1" applyFill="1" applyBorder="1" applyAlignment="1">
      <alignment horizontal="center" vertical="center"/>
    </xf>
    <xf numFmtId="0" fontId="30" fillId="4" borderId="86" xfId="0" applyFont="1" applyFill="1" applyBorder="1" applyAlignment="1">
      <alignment horizontal="center" vertical="center"/>
    </xf>
    <xf numFmtId="0" fontId="30" fillId="4" borderId="95" xfId="0" applyFont="1" applyFill="1" applyBorder="1" applyAlignment="1">
      <alignment horizontal="center" vertical="center"/>
    </xf>
    <xf numFmtId="0" fontId="30" fillId="11" borderId="80" xfId="0" applyFont="1" applyFill="1" applyBorder="1" applyAlignment="1">
      <alignment horizontal="center" vertical="center"/>
    </xf>
    <xf numFmtId="0" fontId="30" fillId="11" borderId="92" xfId="0" applyFont="1" applyFill="1" applyBorder="1" applyAlignment="1">
      <alignment horizontal="center" vertical="center"/>
    </xf>
    <xf numFmtId="0" fontId="30" fillId="11" borderId="86" xfId="0" applyFont="1" applyFill="1" applyBorder="1" applyAlignment="1">
      <alignment horizontal="center" vertical="center"/>
    </xf>
    <xf numFmtId="0" fontId="30" fillId="11" borderId="105" xfId="0" applyFont="1" applyFill="1" applyBorder="1" applyAlignment="1">
      <alignment horizontal="center" vertical="center"/>
    </xf>
    <xf numFmtId="0" fontId="30" fillId="11" borderId="0" xfId="0" applyFont="1" applyFill="1" applyAlignment="1">
      <alignment horizontal="center" vertical="center"/>
    </xf>
    <xf numFmtId="0" fontId="30" fillId="11" borderId="95" xfId="0" applyFont="1" applyFill="1" applyBorder="1" applyAlignment="1">
      <alignment horizontal="center" vertical="center"/>
    </xf>
    <xf numFmtId="0" fontId="30" fillId="9" borderId="106" xfId="0" applyFont="1" applyFill="1" applyBorder="1" applyAlignment="1">
      <alignment horizontal="center" vertical="center"/>
    </xf>
    <xf numFmtId="0" fontId="30" fillId="9" borderId="92" xfId="0" applyFont="1" applyFill="1" applyBorder="1" applyAlignment="1">
      <alignment horizontal="center" vertical="center"/>
    </xf>
    <xf numFmtId="0" fontId="30" fillId="9" borderId="80" xfId="0" applyFont="1" applyFill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44" xfId="0" applyFont="1" applyBorder="1" applyAlignment="1">
      <alignment horizontal="center" vertical="center"/>
    </xf>
    <xf numFmtId="178" fontId="9" fillId="4" borderId="49" xfId="0" applyNumberFormat="1" applyFont="1" applyFill="1" applyBorder="1" applyAlignment="1">
      <alignment horizontal="center" vertical="center"/>
    </xf>
    <xf numFmtId="0" fontId="0" fillId="8" borderId="125" xfId="0" applyFill="1" applyBorder="1" applyAlignment="1">
      <alignment horizontal="center" vertical="center"/>
    </xf>
    <xf numFmtId="0" fontId="15" fillId="9" borderId="18" xfId="3" applyFont="1" applyFill="1" applyBorder="1" applyAlignment="1">
      <alignment horizontal="center" vertical="center"/>
    </xf>
    <xf numFmtId="0" fontId="0" fillId="18" borderId="18" xfId="0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22" fillId="15" borderId="2" xfId="0" applyFont="1" applyFill="1" applyBorder="1" applyAlignment="1">
      <alignment horizontal="center" vertical="center"/>
    </xf>
    <xf numFmtId="0" fontId="14" fillId="0" borderId="44" xfId="0" applyFont="1" applyBorder="1" applyAlignment="1">
      <alignment horizontal="center" vertical="center"/>
    </xf>
    <xf numFmtId="0" fontId="12" fillId="15" borderId="129" xfId="0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4" fillId="2" borderId="11" xfId="1" applyFont="1" applyBorder="1" applyAlignment="1">
      <alignment horizontal="center" vertical="center"/>
    </xf>
    <xf numFmtId="177" fontId="0" fillId="0" borderId="3" xfId="0" applyNumberFormat="1" applyBorder="1" applyAlignment="1">
      <alignment horizontal="center" vertical="center"/>
    </xf>
    <xf numFmtId="0" fontId="30" fillId="4" borderId="92" xfId="0" applyFont="1" applyFill="1" applyBorder="1" applyAlignment="1">
      <alignment horizontal="center" vertical="center"/>
    </xf>
    <xf numFmtId="0" fontId="30" fillId="4" borderId="95" xfId="0" applyFont="1" applyFill="1" applyBorder="1">
      <alignment vertical="center"/>
    </xf>
    <xf numFmtId="0" fontId="30" fillId="4" borderId="86" xfId="0" applyFont="1" applyFill="1" applyBorder="1">
      <alignment vertical="center"/>
    </xf>
    <xf numFmtId="0" fontId="30" fillId="4" borderId="105" xfId="0" applyFont="1" applyFill="1" applyBorder="1">
      <alignment vertical="center"/>
    </xf>
    <xf numFmtId="0" fontId="30" fillId="4" borderId="106" xfId="0" applyFont="1" applyFill="1" applyBorder="1" applyAlignment="1">
      <alignment horizontal="center" vertical="center"/>
    </xf>
    <xf numFmtId="0" fontId="30" fillId="4" borderId="107" xfId="0" applyFont="1" applyFill="1" applyBorder="1" applyAlignment="1">
      <alignment horizontal="center" vertical="center"/>
    </xf>
    <xf numFmtId="0" fontId="30" fillId="4" borderId="85" xfId="0" applyFont="1" applyFill="1" applyBorder="1" applyAlignment="1">
      <alignment horizontal="center" vertical="center"/>
    </xf>
    <xf numFmtId="0" fontId="0" fillId="4" borderId="87" xfId="0" applyFill="1" applyBorder="1" applyAlignment="1">
      <alignment horizontal="center" vertical="center"/>
    </xf>
    <xf numFmtId="0" fontId="0" fillId="4" borderId="0" xfId="0" applyFill="1">
      <alignment vertical="center"/>
    </xf>
    <xf numFmtId="0" fontId="0" fillId="4" borderId="100" xfId="0" applyFill="1" applyBorder="1" applyAlignment="1">
      <alignment horizontal="center" vertical="center"/>
    </xf>
    <xf numFmtId="0" fontId="0" fillId="4" borderId="103" xfId="0" applyFill="1" applyBorder="1" applyAlignment="1">
      <alignment horizontal="center" vertical="center"/>
    </xf>
    <xf numFmtId="0" fontId="22" fillId="4" borderId="0" xfId="0" applyFont="1" applyFill="1" applyAlignment="1">
      <alignment horizontal="center" vertical="center"/>
    </xf>
    <xf numFmtId="0" fontId="28" fillId="4" borderId="0" xfId="0" quotePrefix="1" applyFont="1" applyFill="1" applyAlignment="1">
      <alignment horizontal="center" vertical="center"/>
    </xf>
    <xf numFmtId="0" fontId="0" fillId="10" borderId="8" xfId="0" applyFill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0" borderId="107" xfId="0" applyBorder="1" applyAlignment="1">
      <alignment horizontal="center" vertical="center"/>
    </xf>
    <xf numFmtId="0" fontId="0" fillId="0" borderId="95" xfId="0" applyBorder="1" applyAlignment="1">
      <alignment horizontal="center" vertical="center"/>
    </xf>
    <xf numFmtId="0" fontId="0" fillId="0" borderId="59" xfId="0" applyBorder="1" applyAlignment="1">
      <alignment horizontal="center" vertical="center"/>
    </xf>
    <xf numFmtId="178" fontId="12" fillId="3" borderId="131" xfId="2" applyNumberFormat="1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0" fillId="0" borderId="64" xfId="0" applyBorder="1">
      <alignment vertical="center"/>
    </xf>
    <xf numFmtId="0" fontId="0" fillId="0" borderId="45" xfId="0" applyBorder="1">
      <alignment vertical="center"/>
    </xf>
    <xf numFmtId="0" fontId="0" fillId="4" borderId="101" xfId="0" applyFill="1" applyBorder="1" applyAlignment="1">
      <alignment horizontal="center" vertical="center"/>
    </xf>
    <xf numFmtId="0" fontId="0" fillId="10" borderId="63" xfId="0" applyFill="1" applyBorder="1" applyAlignment="1">
      <alignment horizontal="center" vertical="center"/>
    </xf>
    <xf numFmtId="180" fontId="4" fillId="3" borderId="8" xfId="2" applyNumberFormat="1" applyFont="1" applyBorder="1" applyAlignment="1">
      <alignment horizontal="center" vertical="center"/>
    </xf>
    <xf numFmtId="179" fontId="12" fillId="0" borderId="60" xfId="0" applyNumberFormat="1" applyFont="1" applyBorder="1" applyAlignment="1">
      <alignment horizontal="center" vertical="center"/>
    </xf>
    <xf numFmtId="178" fontId="0" fillId="0" borderId="60" xfId="0" applyNumberFormat="1" applyBorder="1" applyAlignment="1">
      <alignment horizontal="center" vertical="center"/>
    </xf>
    <xf numFmtId="179" fontId="5" fillId="0" borderId="0" xfId="0" applyNumberFormat="1" applyFont="1">
      <alignment vertical="center"/>
    </xf>
    <xf numFmtId="178" fontId="5" fillId="4" borderId="14" xfId="0" applyNumberFormat="1" applyFont="1" applyFill="1" applyBorder="1" applyAlignment="1">
      <alignment horizontal="center" vertical="center"/>
    </xf>
    <xf numFmtId="179" fontId="5" fillId="4" borderId="14" xfId="0" applyNumberFormat="1" applyFont="1" applyFill="1" applyBorder="1" applyAlignment="1">
      <alignment horizontal="center" vertical="center"/>
    </xf>
    <xf numFmtId="179" fontId="22" fillId="4" borderId="127" xfId="0" applyNumberFormat="1" applyFont="1" applyFill="1" applyBorder="1" applyAlignment="1">
      <alignment horizontal="center" vertical="center"/>
    </xf>
    <xf numFmtId="178" fontId="22" fillId="3" borderId="74" xfId="2" applyNumberFormat="1" applyFont="1" applyBorder="1" applyAlignment="1">
      <alignment horizontal="center" vertical="center"/>
    </xf>
    <xf numFmtId="179" fontId="22" fillId="4" borderId="6" xfId="0" applyNumberFormat="1" applyFont="1" applyFill="1" applyBorder="1" applyAlignment="1">
      <alignment horizontal="center" vertical="center"/>
    </xf>
    <xf numFmtId="179" fontId="22" fillId="0" borderId="6" xfId="0" applyNumberFormat="1" applyFont="1" applyBorder="1" applyAlignment="1">
      <alignment horizontal="center" vertical="center"/>
    </xf>
    <xf numFmtId="179" fontId="22" fillId="4" borderId="4" xfId="2" applyNumberFormat="1" applyFont="1" applyFill="1" applyBorder="1" applyAlignment="1">
      <alignment horizontal="center" vertical="center"/>
    </xf>
    <xf numFmtId="178" fontId="37" fillId="3" borderId="1" xfId="2" applyNumberFormat="1" applyFont="1" applyAlignment="1">
      <alignment horizontal="center" vertical="center"/>
    </xf>
    <xf numFmtId="178" fontId="22" fillId="3" borderId="1" xfId="2" applyNumberFormat="1" applyFont="1" applyAlignment="1">
      <alignment horizontal="center" vertical="center"/>
    </xf>
    <xf numFmtId="179" fontId="22" fillId="4" borderId="4" xfId="0" applyNumberFormat="1" applyFont="1" applyFill="1" applyBorder="1" applyAlignment="1">
      <alignment horizontal="center" vertical="center"/>
    </xf>
    <xf numFmtId="179" fontId="22" fillId="0" borderId="4" xfId="0" applyNumberFormat="1" applyFont="1" applyBorder="1" applyAlignment="1">
      <alignment horizontal="center" vertical="center"/>
    </xf>
    <xf numFmtId="179" fontId="38" fillId="2" borderId="1" xfId="1" applyNumberFormat="1" applyFont="1" applyBorder="1" applyAlignment="1">
      <alignment horizontal="center" vertical="center"/>
    </xf>
    <xf numFmtId="178" fontId="38" fillId="2" borderId="1" xfId="1" applyNumberFormat="1" applyFont="1" applyBorder="1" applyAlignment="1">
      <alignment horizontal="center" vertical="center"/>
    </xf>
    <xf numFmtId="179" fontId="22" fillId="4" borderId="2" xfId="0" applyNumberFormat="1" applyFont="1" applyFill="1" applyBorder="1" applyAlignment="1">
      <alignment horizontal="center" vertical="center"/>
    </xf>
    <xf numFmtId="179" fontId="39" fillId="7" borderId="26" xfId="3" applyNumberFormat="1" applyFont="1" applyBorder="1" applyAlignment="1">
      <alignment horizontal="center" vertical="center"/>
    </xf>
    <xf numFmtId="178" fontId="39" fillId="7" borderId="1" xfId="3" applyNumberFormat="1" applyFont="1" applyBorder="1" applyAlignment="1">
      <alignment horizontal="center" vertical="center"/>
    </xf>
    <xf numFmtId="0" fontId="38" fillId="2" borderId="1" xfId="1" applyFont="1" applyBorder="1" applyAlignment="1">
      <alignment horizontal="center" vertical="center"/>
    </xf>
    <xf numFmtId="179" fontId="22" fillId="4" borderId="3" xfId="0" applyNumberFormat="1" applyFont="1" applyFill="1" applyBorder="1" applyAlignment="1">
      <alignment horizontal="center" vertical="center"/>
    </xf>
    <xf numFmtId="179" fontId="22" fillId="0" borderId="3" xfId="0" applyNumberFormat="1" applyFont="1" applyBorder="1" applyAlignment="1">
      <alignment horizontal="center" vertical="center"/>
    </xf>
    <xf numFmtId="179" fontId="40" fillId="4" borderId="2" xfId="0" applyNumberFormat="1" applyFont="1" applyFill="1" applyBorder="1" applyAlignment="1">
      <alignment horizontal="center" vertical="center"/>
    </xf>
    <xf numFmtId="178" fontId="22" fillId="21" borderId="1" xfId="2" applyNumberFormat="1" applyFont="1" applyFill="1" applyAlignment="1">
      <alignment horizontal="center" vertical="center"/>
    </xf>
    <xf numFmtId="178" fontId="38" fillId="2" borderId="50" xfId="1" applyNumberFormat="1" applyFont="1" applyBorder="1" applyAlignment="1">
      <alignment horizontal="center" vertical="center"/>
    </xf>
    <xf numFmtId="179" fontId="37" fillId="4" borderId="2" xfId="0" applyNumberFormat="1" applyFont="1" applyFill="1" applyBorder="1" applyAlignment="1">
      <alignment horizontal="center" vertical="center"/>
    </xf>
    <xf numFmtId="179" fontId="22" fillId="0" borderId="2" xfId="0" applyNumberFormat="1" applyFont="1" applyBorder="1" applyAlignment="1">
      <alignment horizontal="center" vertical="center"/>
    </xf>
    <xf numFmtId="178" fontId="40" fillId="21" borderId="1" xfId="2" applyNumberFormat="1" applyFont="1" applyFill="1" applyAlignment="1">
      <alignment horizontal="center" vertical="center"/>
    </xf>
    <xf numFmtId="179" fontId="22" fillId="4" borderId="2" xfId="2" applyNumberFormat="1" applyFont="1" applyFill="1" applyBorder="1" applyAlignment="1">
      <alignment horizontal="center" vertical="center"/>
    </xf>
    <xf numFmtId="179" fontId="38" fillId="2" borderId="20" xfId="1" applyNumberFormat="1" applyFont="1" applyBorder="1" applyAlignment="1">
      <alignment horizontal="center" vertical="center"/>
    </xf>
    <xf numFmtId="179" fontId="22" fillId="4" borderId="3" xfId="2" applyNumberFormat="1" applyFont="1" applyFill="1" applyBorder="1" applyAlignment="1">
      <alignment horizontal="center" vertical="center"/>
    </xf>
    <xf numFmtId="179" fontId="39" fillId="7" borderId="1" xfId="3" applyNumberFormat="1" applyFont="1" applyBorder="1" applyAlignment="1">
      <alignment horizontal="center" vertical="center"/>
    </xf>
    <xf numFmtId="179" fontId="37" fillId="0" borderId="2" xfId="0" applyNumberFormat="1" applyFont="1" applyBorder="1" applyAlignment="1">
      <alignment horizontal="center" vertical="center"/>
    </xf>
    <xf numFmtId="179" fontId="38" fillId="2" borderId="0" xfId="1" applyNumberFormat="1" applyFont="1" applyBorder="1" applyAlignment="1">
      <alignment horizontal="center" vertical="center"/>
    </xf>
    <xf numFmtId="179" fontId="5" fillId="0" borderId="4" xfId="0" applyNumberFormat="1" applyFont="1" applyBorder="1" applyAlignment="1">
      <alignment horizontal="center" vertical="center"/>
    </xf>
    <xf numFmtId="180" fontId="5" fillId="0" borderId="4" xfId="0" applyNumberFormat="1" applyFont="1" applyBorder="1" applyAlignment="1">
      <alignment horizontal="center" vertical="center"/>
    </xf>
    <xf numFmtId="179" fontId="22" fillId="4" borderId="51" xfId="2" applyNumberFormat="1" applyFont="1" applyFill="1" applyBorder="1" applyAlignment="1">
      <alignment horizontal="center" vertical="center"/>
    </xf>
    <xf numFmtId="179" fontId="41" fillId="4" borderId="2" xfId="0" applyNumberFormat="1" applyFont="1" applyFill="1" applyBorder="1" applyAlignment="1">
      <alignment horizontal="center" vertical="center"/>
    </xf>
    <xf numFmtId="180" fontId="39" fillId="7" borderId="1" xfId="3" applyNumberFormat="1" applyFont="1" applyBorder="1" applyAlignment="1">
      <alignment horizontal="center" vertical="center"/>
    </xf>
    <xf numFmtId="178" fontId="22" fillId="22" borderId="1" xfId="2" applyNumberFormat="1" applyFont="1" applyFill="1" applyAlignment="1">
      <alignment horizontal="center" vertical="center"/>
    </xf>
    <xf numFmtId="178" fontId="22" fillId="0" borderId="2" xfId="0" applyNumberFormat="1" applyFont="1" applyBorder="1" applyAlignment="1">
      <alignment horizontal="center" vertical="center"/>
    </xf>
    <xf numFmtId="177" fontId="18" fillId="2" borderId="132" xfId="1" applyNumberFormat="1" applyFont="1" applyBorder="1" applyAlignment="1">
      <alignment horizontal="center" vertical="center"/>
    </xf>
    <xf numFmtId="179" fontId="5" fillId="0" borderId="2" xfId="0" applyNumberFormat="1" applyFont="1" applyBorder="1" applyAlignment="1">
      <alignment horizontal="center" vertical="center"/>
    </xf>
    <xf numFmtId="180" fontId="5" fillId="3" borderId="21" xfId="2" applyNumberFormat="1" applyFont="1" applyBorder="1" applyAlignment="1">
      <alignment horizontal="center" vertical="center"/>
    </xf>
    <xf numFmtId="178" fontId="22" fillId="3" borderId="21" xfId="2" applyNumberFormat="1" applyFont="1" applyBorder="1" applyAlignment="1">
      <alignment horizontal="center" vertical="center"/>
    </xf>
    <xf numFmtId="0" fontId="5" fillId="3" borderId="21" xfId="2" applyFont="1" applyBorder="1" applyAlignment="1">
      <alignment horizontal="center" vertical="center"/>
    </xf>
    <xf numFmtId="0" fontId="0" fillId="14" borderId="125" xfId="0" applyFill="1" applyBorder="1" applyAlignment="1">
      <alignment horizontal="center" vertical="center"/>
    </xf>
    <xf numFmtId="0" fontId="0" fillId="11" borderId="0" xfId="0" applyFill="1">
      <alignment vertical="center"/>
    </xf>
    <xf numFmtId="0" fontId="30" fillId="11" borderId="95" xfId="0" applyFont="1" applyFill="1" applyBorder="1">
      <alignment vertical="center"/>
    </xf>
    <xf numFmtId="0" fontId="30" fillId="11" borderId="86" xfId="0" applyFont="1" applyFill="1" applyBorder="1">
      <alignment vertical="center"/>
    </xf>
    <xf numFmtId="0" fontId="30" fillId="11" borderId="105" xfId="0" applyFont="1" applyFill="1" applyBorder="1">
      <alignment vertical="center"/>
    </xf>
    <xf numFmtId="0" fontId="30" fillId="11" borderId="107" xfId="0" applyFont="1" applyFill="1" applyBorder="1" applyAlignment="1">
      <alignment horizontal="center" vertical="center"/>
    </xf>
    <xf numFmtId="0" fontId="0" fillId="0" borderId="107" xfId="0" applyBorder="1">
      <alignment vertical="center"/>
    </xf>
    <xf numFmtId="0" fontId="0" fillId="0" borderId="95" xfId="0" applyBorder="1">
      <alignment vertical="center"/>
    </xf>
    <xf numFmtId="0" fontId="0" fillId="0" borderId="133" xfId="0" applyBorder="1">
      <alignment vertical="center"/>
    </xf>
    <xf numFmtId="0" fontId="0" fillId="13" borderId="16" xfId="0" applyFill="1" applyBorder="1" applyAlignment="1">
      <alignment horizontal="center" vertical="center"/>
    </xf>
    <xf numFmtId="0" fontId="8" fillId="7" borderId="0" xfId="3">
      <alignment vertical="center"/>
    </xf>
    <xf numFmtId="178" fontId="12" fillId="14" borderId="18" xfId="2" applyNumberFormat="1" applyFont="1" applyFill="1" applyBorder="1" applyAlignment="1">
      <alignment horizontal="center" vertical="center"/>
    </xf>
    <xf numFmtId="178" fontId="38" fillId="2" borderId="134" xfId="1" applyNumberFormat="1" applyFont="1" applyBorder="1" applyAlignment="1">
      <alignment horizontal="center" vertical="center"/>
    </xf>
    <xf numFmtId="0" fontId="0" fillId="8" borderId="63" xfId="0" applyFill="1" applyBorder="1" applyAlignment="1">
      <alignment horizontal="center" vertical="center"/>
    </xf>
    <xf numFmtId="0" fontId="22" fillId="0" borderId="40" xfId="0" applyFont="1" applyBorder="1" applyAlignment="1">
      <alignment horizontal="center" vertical="center"/>
    </xf>
    <xf numFmtId="178" fontId="0" fillId="4" borderId="13" xfId="0" applyNumberFormat="1" applyFill="1" applyBorder="1">
      <alignment vertical="center"/>
    </xf>
    <xf numFmtId="178" fontId="0" fillId="4" borderId="14" xfId="0" applyNumberFormat="1" applyFill="1" applyBorder="1">
      <alignment vertical="center"/>
    </xf>
    <xf numFmtId="178" fontId="0" fillId="4" borderId="0" xfId="0" applyNumberFormat="1" applyFill="1">
      <alignment vertical="center"/>
    </xf>
    <xf numFmtId="178" fontId="22" fillId="3" borderId="136" xfId="2" applyNumberFormat="1" applyFont="1" applyBorder="1" applyAlignment="1">
      <alignment horizontal="center" vertical="center"/>
    </xf>
    <xf numFmtId="185" fontId="37" fillId="3" borderId="1" xfId="2" applyNumberFormat="1" applyFont="1" applyAlignment="1">
      <alignment horizontal="center" vertical="center"/>
    </xf>
    <xf numFmtId="185" fontId="22" fillId="4" borderId="4" xfId="2" applyNumberFormat="1" applyFont="1" applyFill="1" applyBorder="1" applyAlignment="1">
      <alignment horizontal="center" vertical="center"/>
    </xf>
    <xf numFmtId="185" fontId="22" fillId="4" borderId="4" xfId="0" applyNumberFormat="1" applyFont="1" applyFill="1" applyBorder="1" applyAlignment="1">
      <alignment horizontal="center" vertical="center"/>
    </xf>
    <xf numFmtId="185" fontId="22" fillId="0" borderId="4" xfId="0" applyNumberFormat="1" applyFont="1" applyBorder="1" applyAlignment="1">
      <alignment horizontal="center" vertical="center"/>
    </xf>
    <xf numFmtId="185" fontId="4" fillId="3" borderId="135" xfId="2" applyNumberFormat="1" applyFont="1" applyBorder="1" applyAlignment="1">
      <alignment horizontal="center" vertical="center"/>
    </xf>
    <xf numFmtId="185" fontId="5" fillId="0" borderId="0" xfId="0" applyNumberFormat="1" applyFont="1">
      <alignment vertical="center"/>
    </xf>
    <xf numFmtId="0" fontId="10" fillId="4" borderId="3" xfId="1" applyFont="1" applyFill="1" applyBorder="1" applyAlignment="1">
      <alignment horizontal="center" vertical="center"/>
    </xf>
    <xf numFmtId="0" fontId="0" fillId="0" borderId="137" xfId="0" applyBorder="1" applyAlignment="1">
      <alignment horizontal="center" vertical="center"/>
    </xf>
    <xf numFmtId="0" fontId="12" fillId="0" borderId="138" xfId="0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4" fillId="2" borderId="59" xfId="1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0" fontId="34" fillId="0" borderId="139" xfId="0" applyFont="1" applyBorder="1" applyAlignment="1">
      <alignment horizontal="center" vertical="center"/>
    </xf>
    <xf numFmtId="0" fontId="34" fillId="0" borderId="13" xfId="0" applyFont="1" applyBorder="1" applyAlignment="1">
      <alignment horizontal="center" vertical="center"/>
    </xf>
    <xf numFmtId="0" fontId="9" fillId="4" borderId="139" xfId="0" applyFont="1" applyFill="1" applyBorder="1" applyAlignment="1">
      <alignment horizontal="center" vertical="center"/>
    </xf>
    <xf numFmtId="0" fontId="9" fillId="4" borderId="13" xfId="0" applyFont="1" applyFill="1" applyBorder="1" applyAlignment="1">
      <alignment horizontal="center" vertical="center"/>
    </xf>
    <xf numFmtId="0" fontId="9" fillId="0" borderId="129" xfId="0" applyFont="1" applyBorder="1" applyAlignment="1">
      <alignment horizontal="center" vertical="center"/>
    </xf>
    <xf numFmtId="0" fontId="34" fillId="4" borderId="13" xfId="0" applyFont="1" applyFill="1" applyBorder="1" applyAlignment="1">
      <alignment horizontal="center" vertical="center"/>
    </xf>
    <xf numFmtId="0" fontId="34" fillId="0" borderId="24" xfId="0" applyFont="1" applyBorder="1" applyAlignment="1">
      <alignment horizontal="center" vertical="center"/>
    </xf>
    <xf numFmtId="0" fontId="34" fillId="4" borderId="139" xfId="0" applyFont="1" applyFill="1" applyBorder="1" applyAlignment="1">
      <alignment horizontal="center" vertical="center"/>
    </xf>
    <xf numFmtId="0" fontId="9" fillId="0" borderId="140" xfId="0" applyFont="1" applyBorder="1" applyAlignment="1">
      <alignment horizontal="center" vertical="center"/>
    </xf>
    <xf numFmtId="0" fontId="35" fillId="0" borderId="13" xfId="0" applyFont="1" applyBorder="1" applyAlignment="1">
      <alignment horizontal="center" vertical="center"/>
    </xf>
    <xf numFmtId="0" fontId="34" fillId="0" borderId="45" xfId="0" applyFont="1" applyBorder="1" applyAlignment="1">
      <alignment horizontal="center" vertical="center"/>
    </xf>
    <xf numFmtId="0" fontId="34" fillId="4" borderId="45" xfId="0" applyFont="1" applyFill="1" applyBorder="1" applyAlignment="1">
      <alignment horizontal="center" vertical="center"/>
    </xf>
    <xf numFmtId="0" fontId="34" fillId="0" borderId="8" xfId="0" applyFont="1" applyBorder="1" applyAlignment="1">
      <alignment horizontal="center" vertical="center"/>
    </xf>
    <xf numFmtId="179" fontId="38" fillId="2" borderId="50" xfId="1" applyNumberFormat="1" applyFont="1" applyBorder="1" applyAlignment="1">
      <alignment horizontal="center" vertical="center"/>
    </xf>
    <xf numFmtId="0" fontId="22" fillId="0" borderId="47" xfId="0" applyFont="1" applyBorder="1" applyAlignment="1">
      <alignment horizontal="center" vertical="center"/>
    </xf>
    <xf numFmtId="179" fontId="8" fillId="7" borderId="8" xfId="3" applyNumberFormat="1" applyBorder="1" applyAlignment="1">
      <alignment horizontal="center" vertical="center"/>
    </xf>
    <xf numFmtId="178" fontId="8" fillId="7" borderId="144" xfId="3" applyNumberFormat="1" applyBorder="1" applyAlignment="1">
      <alignment horizontal="center" vertical="center"/>
    </xf>
    <xf numFmtId="0" fontId="42" fillId="4" borderId="13" xfId="0" applyFont="1" applyFill="1" applyBorder="1" applyAlignment="1">
      <alignment horizontal="center" vertical="center"/>
    </xf>
    <xf numFmtId="0" fontId="42" fillId="0" borderId="139" xfId="0" applyFont="1" applyBorder="1" applyAlignment="1">
      <alignment horizontal="center" vertical="center"/>
    </xf>
    <xf numFmtId="0" fontId="42" fillId="0" borderId="13" xfId="0" applyFont="1" applyBorder="1" applyAlignment="1">
      <alignment horizontal="center" vertical="center"/>
    </xf>
    <xf numFmtId="186" fontId="34" fillId="4" borderId="3" xfId="0" applyNumberFormat="1" applyFont="1" applyFill="1" applyBorder="1" applyAlignment="1">
      <alignment horizontal="center" vertical="center"/>
    </xf>
    <xf numFmtId="186" fontId="34" fillId="4" borderId="2" xfId="0" applyNumberFormat="1" applyFont="1" applyFill="1" applyBorder="1" applyAlignment="1">
      <alignment horizontal="center" vertical="center"/>
    </xf>
    <xf numFmtId="179" fontId="22" fillId="11" borderId="3" xfId="0" applyNumberFormat="1" applyFont="1" applyFill="1" applyBorder="1" applyAlignment="1">
      <alignment horizontal="center" vertical="center"/>
    </xf>
    <xf numFmtId="178" fontId="22" fillId="7" borderId="1" xfId="3" applyNumberFormat="1" applyFont="1" applyBorder="1" applyAlignment="1">
      <alignment horizontal="center" vertical="center"/>
    </xf>
    <xf numFmtId="178" fontId="22" fillId="3" borderId="134" xfId="2" applyNumberFormat="1" applyFont="1" applyBorder="1" applyAlignment="1">
      <alignment horizontal="center" vertical="center"/>
    </xf>
    <xf numFmtId="178" fontId="22" fillId="3" borderId="145" xfId="2" applyNumberFormat="1" applyFont="1" applyBorder="1" applyAlignment="1">
      <alignment horizontal="center" vertical="center"/>
    </xf>
    <xf numFmtId="0" fontId="42" fillId="0" borderId="0" xfId="0" applyFont="1" applyAlignment="1">
      <alignment horizontal="center" vertical="center"/>
    </xf>
    <xf numFmtId="179" fontId="38" fillId="0" borderId="0" xfId="1" applyNumberFormat="1" applyFont="1" applyFill="1" applyBorder="1" applyAlignment="1">
      <alignment horizontal="center" vertical="center"/>
    </xf>
    <xf numFmtId="178" fontId="38" fillId="0" borderId="0" xfId="1" applyNumberFormat="1" applyFont="1" applyFill="1" applyBorder="1" applyAlignment="1">
      <alignment horizontal="center" vertical="center"/>
    </xf>
    <xf numFmtId="179" fontId="22" fillId="0" borderId="0" xfId="0" applyNumberFormat="1" applyFont="1" applyAlignment="1">
      <alignment horizontal="center" vertical="center"/>
    </xf>
    <xf numFmtId="178" fontId="22" fillId="0" borderId="0" xfId="2" applyNumberFormat="1" applyFont="1" applyFill="1" applyBorder="1" applyAlignment="1">
      <alignment horizontal="center" vertical="center"/>
    </xf>
    <xf numFmtId="0" fontId="8" fillId="0" borderId="0" xfId="3" applyFill="1" applyBorder="1">
      <alignment vertical="center"/>
    </xf>
    <xf numFmtId="0" fontId="42" fillId="0" borderId="45" xfId="0" applyFont="1" applyBorder="1" applyAlignment="1">
      <alignment horizontal="center" vertical="center"/>
    </xf>
    <xf numFmtId="0" fontId="42" fillId="4" borderId="45" xfId="0" applyFont="1" applyFill="1" applyBorder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8" fontId="22" fillId="15" borderId="35" xfId="0" applyNumberFormat="1" applyFont="1" applyFill="1" applyBorder="1" applyAlignment="1">
      <alignment horizontal="center" vertical="center"/>
    </xf>
    <xf numFmtId="0" fontId="0" fillId="13" borderId="2" xfId="0" applyFill="1" applyBorder="1" applyAlignment="1">
      <alignment horizontal="center" vertical="center"/>
    </xf>
    <xf numFmtId="0" fontId="0" fillId="13" borderId="3" xfId="0" applyFill="1" applyBorder="1" applyAlignment="1">
      <alignment horizontal="center" vertical="center"/>
    </xf>
    <xf numFmtId="0" fontId="15" fillId="13" borderId="2" xfId="1" applyFont="1" applyFill="1" applyBorder="1" applyAlignment="1">
      <alignment horizontal="center" vertical="center"/>
    </xf>
    <xf numFmtId="0" fontId="0" fillId="13" borderId="4" xfId="0" applyFill="1" applyBorder="1" applyAlignment="1">
      <alignment horizontal="center" vertical="center"/>
    </xf>
    <xf numFmtId="0" fontId="0" fillId="13" borderId="9" xfId="0" applyFill="1" applyBorder="1" applyAlignment="1">
      <alignment horizontal="center" vertical="center"/>
    </xf>
    <xf numFmtId="179" fontId="5" fillId="0" borderId="139" xfId="0" applyNumberFormat="1" applyFont="1" applyBorder="1">
      <alignment vertical="center"/>
    </xf>
    <xf numFmtId="179" fontId="46" fillId="4" borderId="3" xfId="0" applyNumberFormat="1" applyFont="1" applyFill="1" applyBorder="1" applyAlignment="1">
      <alignment horizontal="center" vertical="center"/>
    </xf>
    <xf numFmtId="179" fontId="46" fillId="4" borderId="2" xfId="0" applyNumberFormat="1" applyFont="1" applyFill="1" applyBorder="1" applyAlignment="1">
      <alignment horizontal="center" vertical="center"/>
    </xf>
    <xf numFmtId="179" fontId="46" fillId="4" borderId="2" xfId="2" applyNumberFormat="1" applyFont="1" applyFill="1" applyBorder="1" applyAlignment="1">
      <alignment horizontal="center" vertical="center"/>
    </xf>
    <xf numFmtId="179" fontId="46" fillId="4" borderId="148" xfId="0" applyNumberFormat="1" applyFont="1" applyFill="1" applyBorder="1" applyAlignment="1">
      <alignment horizontal="center" vertical="center"/>
    </xf>
    <xf numFmtId="179" fontId="46" fillId="4" borderId="149" xfId="0" applyNumberFormat="1" applyFont="1" applyFill="1" applyBorder="1" applyAlignment="1">
      <alignment horizontal="center" vertical="center"/>
    </xf>
    <xf numFmtId="179" fontId="46" fillId="4" borderId="2" xfId="1" applyNumberFormat="1" applyFont="1" applyFill="1" applyBorder="1" applyAlignment="1">
      <alignment horizontal="center" vertical="center"/>
    </xf>
    <xf numFmtId="179" fontId="46" fillId="4" borderId="149" xfId="1" applyNumberFormat="1" applyFont="1" applyFill="1" applyBorder="1" applyAlignment="1">
      <alignment horizontal="center" vertical="center"/>
    </xf>
    <xf numFmtId="179" fontId="46" fillId="4" borderId="148" xfId="3" applyNumberFormat="1" applyFont="1" applyFill="1" applyBorder="1" applyAlignment="1">
      <alignment horizontal="center" vertical="center"/>
    </xf>
    <xf numFmtId="179" fontId="46" fillId="4" borderId="149" xfId="3" applyNumberFormat="1" applyFont="1" applyFill="1" applyBorder="1" applyAlignment="1">
      <alignment horizontal="center" vertical="center"/>
    </xf>
    <xf numFmtId="179" fontId="46" fillId="4" borderId="2" xfId="3" applyNumberFormat="1" applyFont="1" applyFill="1" applyBorder="1" applyAlignment="1">
      <alignment horizontal="center" vertical="center"/>
    </xf>
    <xf numFmtId="0" fontId="21" fillId="12" borderId="2" xfId="4" applyNumberFormat="1" applyFont="1" applyBorder="1" applyAlignment="1">
      <alignment horizontal="center" vertical="center"/>
    </xf>
    <xf numFmtId="0" fontId="47" fillId="0" borderId="33" xfId="0" applyFont="1" applyBorder="1" applyAlignment="1">
      <alignment horizontal="center" vertical="center"/>
    </xf>
    <xf numFmtId="177" fontId="47" fillId="0" borderId="35" xfId="0" applyNumberFormat="1" applyFont="1" applyBorder="1" applyAlignment="1">
      <alignment horizontal="center" vertical="center"/>
    </xf>
    <xf numFmtId="180" fontId="4" fillId="3" borderId="1" xfId="2" applyNumberFormat="1" applyFont="1" applyAlignment="1">
      <alignment horizontal="center" vertical="center"/>
    </xf>
    <xf numFmtId="185" fontId="4" fillId="3" borderId="1" xfId="2" applyNumberFormat="1" applyFont="1" applyAlignment="1">
      <alignment horizontal="center" vertical="center"/>
    </xf>
    <xf numFmtId="178" fontId="46" fillId="3" borderId="1" xfId="2" applyNumberFormat="1" applyFont="1" applyAlignment="1">
      <alignment horizontal="center" vertical="center"/>
    </xf>
    <xf numFmtId="180" fontId="46" fillId="3" borderId="1" xfId="2" applyNumberFormat="1" applyFont="1" applyAlignment="1">
      <alignment horizontal="center" vertical="center"/>
    </xf>
    <xf numFmtId="0" fontId="0" fillId="3" borderId="1" xfId="2" applyFont="1">
      <alignment vertical="center"/>
    </xf>
    <xf numFmtId="0" fontId="46" fillId="3" borderId="1" xfId="2" applyFont="1" applyAlignment="1">
      <alignment horizontal="center" vertical="center"/>
    </xf>
    <xf numFmtId="180" fontId="46" fillId="3" borderId="134" xfId="2" applyNumberFormat="1" applyFont="1" applyBorder="1" applyAlignment="1">
      <alignment horizontal="center" vertical="center"/>
    </xf>
    <xf numFmtId="0" fontId="22" fillId="15" borderId="9" xfId="0" applyFont="1" applyFill="1" applyBorder="1" applyAlignment="1">
      <alignment horizontal="center" vertical="center"/>
    </xf>
    <xf numFmtId="178" fontId="13" fillId="3" borderId="1" xfId="2" applyNumberFormat="1" applyFont="1" applyAlignment="1">
      <alignment horizontal="center" vertical="center"/>
    </xf>
    <xf numFmtId="179" fontId="46" fillId="4" borderId="3" xfId="1" applyNumberFormat="1" applyFont="1" applyFill="1" applyBorder="1" applyAlignment="1">
      <alignment horizontal="center" vertical="center"/>
    </xf>
    <xf numFmtId="179" fontId="46" fillId="4" borderId="3" xfId="3" applyNumberFormat="1" applyFont="1" applyFill="1" applyBorder="1" applyAlignment="1">
      <alignment horizontal="center" vertical="center"/>
    </xf>
    <xf numFmtId="0" fontId="8" fillId="7" borderId="153" xfId="3" applyBorder="1">
      <alignment vertical="center"/>
    </xf>
    <xf numFmtId="179" fontId="5" fillId="0" borderId="154" xfId="0" applyNumberFormat="1" applyFont="1" applyBorder="1">
      <alignment vertical="center"/>
    </xf>
    <xf numFmtId="0" fontId="8" fillId="7" borderId="155" xfId="3" applyBorder="1">
      <alignment vertical="center"/>
    </xf>
    <xf numFmtId="0" fontId="3" fillId="2" borderId="0" xfId="1">
      <alignment vertical="center"/>
    </xf>
    <xf numFmtId="0" fontId="22" fillId="0" borderId="52" xfId="0" applyFont="1" applyBorder="1" applyAlignment="1">
      <alignment horizontal="center" vertical="center"/>
    </xf>
    <xf numFmtId="178" fontId="46" fillId="3" borderId="20" xfId="2" applyNumberFormat="1" applyFont="1" applyBorder="1" applyAlignment="1">
      <alignment horizontal="center" vertical="center"/>
    </xf>
    <xf numFmtId="179" fontId="46" fillId="4" borderId="130" xfId="0" applyNumberFormat="1" applyFont="1" applyFill="1" applyBorder="1" applyAlignment="1">
      <alignment horizontal="center" vertical="center"/>
    </xf>
    <xf numFmtId="179" fontId="46" fillId="4" borderId="130" xfId="3" applyNumberFormat="1" applyFont="1" applyFill="1" applyBorder="1">
      <alignment vertical="center"/>
    </xf>
    <xf numFmtId="0" fontId="8" fillId="7" borderId="156" xfId="3" applyBorder="1">
      <alignment vertical="center"/>
    </xf>
    <xf numFmtId="0" fontId="8" fillId="7" borderId="0" xfId="3" applyBorder="1">
      <alignment vertical="center"/>
    </xf>
    <xf numFmtId="0" fontId="8" fillId="7" borderId="152" xfId="3" applyBorder="1">
      <alignment vertical="center"/>
    </xf>
    <xf numFmtId="0" fontId="8" fillId="7" borderId="157" xfId="3" applyBorder="1">
      <alignment vertical="center"/>
    </xf>
    <xf numFmtId="179" fontId="46" fillId="4" borderId="149" xfId="3" applyNumberFormat="1" applyFont="1" applyFill="1" applyBorder="1">
      <alignment vertical="center"/>
    </xf>
    <xf numFmtId="0" fontId="8" fillId="7" borderId="0" xfId="3" applyAlignment="1">
      <alignment horizontal="center" vertical="center"/>
    </xf>
    <xf numFmtId="0" fontId="0" fillId="3" borderId="1" xfId="2" applyFont="1" applyAlignment="1">
      <alignment horizontal="center" vertical="center"/>
    </xf>
    <xf numFmtId="0" fontId="3" fillId="2" borderId="59" xfId="1" applyBorder="1">
      <alignment vertical="center"/>
    </xf>
    <xf numFmtId="178" fontId="12" fillId="3" borderId="158" xfId="2" applyNumberFormat="1" applyFont="1" applyBorder="1" applyAlignment="1">
      <alignment horizontal="center" vertical="center"/>
    </xf>
    <xf numFmtId="179" fontId="46" fillId="23" borderId="3" xfId="1" applyNumberFormat="1" applyFont="1" applyFill="1" applyBorder="1" applyAlignment="1">
      <alignment horizontal="center" vertical="center"/>
    </xf>
    <xf numFmtId="178" fontId="46" fillId="23" borderId="1" xfId="2" applyNumberFormat="1" applyFont="1" applyFill="1" applyAlignment="1">
      <alignment horizontal="center" vertical="center"/>
    </xf>
    <xf numFmtId="0" fontId="42" fillId="0" borderId="24" xfId="0" applyFont="1" applyBorder="1" applyAlignment="1">
      <alignment horizontal="center" vertical="center"/>
    </xf>
    <xf numFmtId="0" fontId="8" fillId="7" borderId="159" xfId="3" applyBorder="1">
      <alignment vertical="center"/>
    </xf>
    <xf numFmtId="179" fontId="46" fillId="4" borderId="160" xfId="1" applyNumberFormat="1" applyFont="1" applyFill="1" applyBorder="1" applyAlignment="1">
      <alignment horizontal="center" vertical="center"/>
    </xf>
    <xf numFmtId="179" fontId="46" fillId="4" borderId="160" xfId="0" applyNumberFormat="1" applyFont="1" applyFill="1" applyBorder="1" applyAlignment="1">
      <alignment horizontal="center" vertical="center"/>
    </xf>
    <xf numFmtId="179" fontId="46" fillId="4" borderId="160" xfId="2" applyNumberFormat="1" applyFont="1" applyFill="1" applyBorder="1" applyAlignment="1">
      <alignment horizontal="center" vertical="center"/>
    </xf>
    <xf numFmtId="179" fontId="46" fillId="4" borderId="37" xfId="1" applyNumberFormat="1" applyFont="1" applyFill="1" applyBorder="1" applyAlignment="1">
      <alignment horizontal="center" vertical="center"/>
    </xf>
    <xf numFmtId="178" fontId="46" fillId="3" borderId="161" xfId="2" applyNumberFormat="1" applyFont="1" applyBorder="1" applyAlignment="1">
      <alignment horizontal="center" vertical="center"/>
    </xf>
    <xf numFmtId="179" fontId="46" fillId="4" borderId="15" xfId="1" applyNumberFormat="1" applyFont="1" applyFill="1" applyBorder="1" applyAlignment="1">
      <alignment horizontal="center" vertical="center"/>
    </xf>
    <xf numFmtId="179" fontId="46" fillId="4" borderId="15" xfId="0" applyNumberFormat="1" applyFont="1" applyFill="1" applyBorder="1" applyAlignment="1">
      <alignment horizontal="center" vertical="center"/>
    </xf>
    <xf numFmtId="179" fontId="46" fillId="4" borderId="160" xfId="3" applyNumberFormat="1" applyFont="1" applyFill="1" applyBorder="1">
      <alignment vertical="center"/>
    </xf>
    <xf numFmtId="179" fontId="46" fillId="21" borderId="160" xfId="1" applyNumberFormat="1" applyFont="1" applyFill="1" applyBorder="1" applyAlignment="1">
      <alignment horizontal="center" vertical="center"/>
    </xf>
    <xf numFmtId="178" fontId="46" fillId="21" borderId="1" xfId="2" applyNumberFormat="1" applyFont="1" applyFill="1" applyAlignment="1">
      <alignment horizontal="center" vertical="center"/>
    </xf>
    <xf numFmtId="0" fontId="48" fillId="0" borderId="162" xfId="0" applyFont="1" applyBorder="1" applyAlignment="1">
      <alignment horizontal="center" vertical="center"/>
    </xf>
    <xf numFmtId="185" fontId="49" fillId="0" borderId="163" xfId="0" applyNumberFormat="1" applyFont="1" applyBorder="1" applyAlignment="1">
      <alignment horizontal="center" vertical="center"/>
    </xf>
    <xf numFmtId="179" fontId="46" fillId="21" borderId="149" xfId="0" applyNumberFormat="1" applyFont="1" applyFill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0" fillId="4" borderId="13" xfId="0" applyFill="1" applyBorder="1" applyAlignment="1">
      <alignment horizontal="center" vertical="center"/>
    </xf>
    <xf numFmtId="179" fontId="12" fillId="4" borderId="13" xfId="0" applyNumberFormat="1" applyFont="1" applyFill="1" applyBorder="1" applyAlignment="1">
      <alignment horizontal="center" vertical="center"/>
    </xf>
    <xf numFmtId="179" fontId="12" fillId="0" borderId="13" xfId="0" applyNumberFormat="1" applyFont="1" applyBorder="1" applyAlignment="1">
      <alignment horizontal="center" vertical="center"/>
    </xf>
    <xf numFmtId="0" fontId="51" fillId="0" borderId="0" xfId="0" applyFont="1" applyAlignment="1">
      <alignment horizontal="center" vertical="center" wrapText="1" readingOrder="1"/>
    </xf>
    <xf numFmtId="0" fontId="50" fillId="0" borderId="0" xfId="0" applyFont="1" applyAlignment="1">
      <alignment horizontal="center" vertical="center" wrapText="1" readingOrder="1"/>
    </xf>
    <xf numFmtId="14" fontId="50" fillId="0" borderId="0" xfId="0" applyNumberFormat="1" applyFont="1" applyAlignment="1">
      <alignment horizontal="center" vertical="center" wrapText="1" readingOrder="1"/>
    </xf>
    <xf numFmtId="0" fontId="52" fillId="0" borderId="0" xfId="0" applyFont="1" applyAlignment="1">
      <alignment horizontal="center" vertical="center" wrapText="1" readingOrder="1"/>
    </xf>
    <xf numFmtId="0" fontId="0" fillId="0" borderId="0" xfId="0" applyAlignment="1">
      <alignment horizontal="center"/>
    </xf>
    <xf numFmtId="17" fontId="0" fillId="0" borderId="0" xfId="0" applyNumberFormat="1" applyAlignment="1">
      <alignment horizontal="center"/>
    </xf>
    <xf numFmtId="0" fontId="53" fillId="0" borderId="0" xfId="0" applyFont="1" applyAlignment="1">
      <alignment horizontal="center" vertical="center"/>
    </xf>
    <xf numFmtId="49" fontId="51" fillId="0" borderId="0" xfId="0" applyNumberFormat="1" applyFont="1" applyAlignment="1">
      <alignment horizontal="center" vertical="center" wrapText="1" readingOrder="1"/>
    </xf>
    <xf numFmtId="49" fontId="50" fillId="0" borderId="0" xfId="0" applyNumberFormat="1" applyFont="1" applyAlignment="1">
      <alignment horizontal="center" vertical="center" wrapText="1" readingOrder="1"/>
    </xf>
    <xf numFmtId="49" fontId="0" fillId="0" borderId="0" xfId="0" applyNumberFormat="1" applyAlignment="1">
      <alignment horizontal="center" vertical="center"/>
    </xf>
    <xf numFmtId="0" fontId="54" fillId="0" borderId="0" xfId="0" applyFont="1" applyAlignment="1">
      <alignment horizontal="center" vertical="center" wrapText="1" readingOrder="1"/>
    </xf>
    <xf numFmtId="179" fontId="46" fillId="21" borderId="2" xfId="0" applyNumberFormat="1" applyFont="1" applyFill="1" applyBorder="1" applyAlignment="1">
      <alignment horizontal="center" vertical="center"/>
    </xf>
    <xf numFmtId="0" fontId="8" fillId="7" borderId="164" xfId="3" applyBorder="1">
      <alignment vertical="center"/>
    </xf>
    <xf numFmtId="0" fontId="55" fillId="0" borderId="4" xfId="0" applyFont="1" applyBorder="1" applyAlignment="1">
      <alignment horizontal="center" vertical="center"/>
    </xf>
    <xf numFmtId="0" fontId="55" fillId="0" borderId="2" xfId="0" applyFont="1" applyBorder="1" applyAlignment="1">
      <alignment horizontal="center" vertical="center"/>
    </xf>
    <xf numFmtId="178" fontId="13" fillId="0" borderId="165" xfId="0" applyNumberFormat="1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0" fillId="24" borderId="2" xfId="0" applyFill="1" applyBorder="1" applyAlignment="1">
      <alignment horizontal="center" vertical="center"/>
    </xf>
    <xf numFmtId="0" fontId="0" fillId="24" borderId="3" xfId="0" applyFill="1" applyBorder="1" applyAlignment="1">
      <alignment horizontal="center" vertical="center"/>
    </xf>
    <xf numFmtId="0" fontId="0" fillId="0" borderId="151" xfId="0" applyBorder="1">
      <alignment vertical="center"/>
    </xf>
    <xf numFmtId="186" fontId="34" fillId="4" borderId="45" xfId="0" applyNumberFormat="1" applyFont="1" applyFill="1" applyBorder="1" applyAlignment="1">
      <alignment horizontal="center" vertical="center"/>
    </xf>
    <xf numFmtId="0" fontId="8" fillId="7" borderId="128" xfId="3" applyBorder="1">
      <alignment vertical="center"/>
    </xf>
    <xf numFmtId="0" fontId="31" fillId="4" borderId="3" xfId="0" applyFont="1" applyFill="1" applyBorder="1" applyAlignment="1">
      <alignment horizontal="center" vertical="center"/>
    </xf>
    <xf numFmtId="0" fontId="31" fillId="4" borderId="2" xfId="0" applyFont="1" applyFill="1" applyBorder="1" applyAlignment="1">
      <alignment horizontal="center" vertical="center"/>
    </xf>
    <xf numFmtId="178" fontId="13" fillId="3" borderId="20" xfId="2" applyNumberFormat="1" applyFont="1" applyBorder="1" applyAlignment="1">
      <alignment horizontal="center" vertical="center"/>
    </xf>
    <xf numFmtId="0" fontId="8" fillId="7" borderId="166" xfId="3" applyBorder="1">
      <alignment vertical="center"/>
    </xf>
    <xf numFmtId="186" fontId="34" fillId="4" borderId="16" xfId="0" applyNumberFormat="1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22" fillId="0" borderId="46" xfId="0" applyFont="1" applyBorder="1" applyAlignment="1">
      <alignment horizontal="center" vertical="center"/>
    </xf>
    <xf numFmtId="0" fontId="22" fillId="0" borderId="35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163" xfId="0" applyBorder="1" applyAlignment="1">
      <alignment horizontal="center" vertical="center"/>
    </xf>
    <xf numFmtId="0" fontId="22" fillId="0" borderId="162" xfId="0" applyFont="1" applyBorder="1" applyAlignment="1">
      <alignment horizontal="center" vertical="center"/>
    </xf>
    <xf numFmtId="178" fontId="46" fillId="3" borderId="168" xfId="2" applyNumberFormat="1" applyFont="1" applyBorder="1" applyAlignment="1">
      <alignment horizontal="center" vertical="center"/>
    </xf>
    <xf numFmtId="178" fontId="46" fillId="3" borderId="169" xfId="2" applyNumberFormat="1" applyFont="1" applyBorder="1" applyAlignment="1">
      <alignment horizontal="center" vertical="center"/>
    </xf>
    <xf numFmtId="179" fontId="46" fillId="4" borderId="170" xfId="1" applyNumberFormat="1" applyFont="1" applyFill="1" applyBorder="1" applyAlignment="1">
      <alignment horizontal="center" vertical="center"/>
    </xf>
    <xf numFmtId="179" fontId="46" fillId="4" borderId="170" xfId="0" applyNumberFormat="1" applyFont="1" applyFill="1" applyBorder="1" applyAlignment="1">
      <alignment horizontal="center" vertical="center"/>
    </xf>
    <xf numFmtId="0" fontId="8" fillId="7" borderId="171" xfId="3" applyBorder="1">
      <alignment vertical="center"/>
    </xf>
    <xf numFmtId="0" fontId="0" fillId="0" borderId="0" xfId="0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0" fillId="0" borderId="14" xfId="0" applyBorder="1">
      <alignment vertical="center"/>
    </xf>
    <xf numFmtId="178" fontId="46" fillId="3" borderId="134" xfId="2" applyNumberFormat="1" applyFont="1" applyBorder="1" applyAlignment="1">
      <alignment horizontal="center" vertical="center"/>
    </xf>
    <xf numFmtId="178" fontId="46" fillId="3" borderId="172" xfId="2" applyNumberFormat="1" applyFont="1" applyBorder="1" applyAlignment="1">
      <alignment horizontal="center" vertical="center"/>
    </xf>
    <xf numFmtId="178" fontId="46" fillId="3" borderId="56" xfId="2" applyNumberFormat="1" applyFont="1" applyBorder="1" applyAlignment="1">
      <alignment horizontal="center" vertical="center"/>
    </xf>
    <xf numFmtId="179" fontId="46" fillId="4" borderId="148" xfId="1" applyNumberFormat="1" applyFont="1" applyFill="1" applyBorder="1" applyAlignment="1">
      <alignment horizontal="center" vertical="center"/>
    </xf>
    <xf numFmtId="179" fontId="46" fillId="4" borderId="148" xfId="2" applyNumberFormat="1" applyFont="1" applyFill="1" applyBorder="1" applyAlignment="1">
      <alignment horizontal="center" vertical="center"/>
    </xf>
    <xf numFmtId="0" fontId="0" fillId="0" borderId="13" xfId="0" applyBorder="1" applyAlignment="1">
      <alignment vertical="center"/>
    </xf>
    <xf numFmtId="0" fontId="0" fillId="0" borderId="14" xfId="0" applyBorder="1" applyAlignment="1">
      <alignment vertical="center"/>
    </xf>
    <xf numFmtId="0" fontId="4" fillId="2" borderId="11" xfId="1" applyNumberFormat="1" applyFont="1" applyBorder="1" applyAlignment="1">
      <alignment horizontal="center" vertical="center"/>
    </xf>
    <xf numFmtId="0" fontId="0" fillId="4" borderId="0" xfId="0" applyNumberFormat="1" applyFill="1" applyAlignment="1">
      <alignment horizontal="center" vertical="center"/>
    </xf>
    <xf numFmtId="0" fontId="9" fillId="0" borderId="4" xfId="0" applyNumberFormat="1" applyFont="1" applyBorder="1" applyAlignment="1">
      <alignment horizontal="center" vertical="center"/>
    </xf>
    <xf numFmtId="0" fontId="9" fillId="0" borderId="2" xfId="0" applyNumberFormat="1" applyFont="1" applyBorder="1" applyAlignment="1">
      <alignment horizontal="center" vertical="center"/>
    </xf>
    <xf numFmtId="0" fontId="31" fillId="4" borderId="2" xfId="0" applyNumberFormat="1" applyFont="1" applyFill="1" applyBorder="1" applyAlignment="1">
      <alignment horizontal="center" vertical="center"/>
    </xf>
    <xf numFmtId="0" fontId="31" fillId="4" borderId="3" xfId="0" applyNumberFormat="1" applyFont="1" applyFill="1" applyBorder="1" applyAlignment="1">
      <alignment horizontal="center" vertical="center"/>
    </xf>
    <xf numFmtId="0" fontId="9" fillId="0" borderId="44" xfId="0" applyNumberFormat="1" applyFont="1" applyBorder="1" applyAlignment="1">
      <alignment horizontal="center" vertical="center"/>
    </xf>
    <xf numFmtId="0" fontId="34" fillId="4" borderId="3" xfId="0" applyNumberFormat="1" applyFont="1" applyFill="1" applyBorder="1" applyAlignment="1">
      <alignment horizontal="center" vertical="center"/>
    </xf>
    <xf numFmtId="0" fontId="34" fillId="4" borderId="2" xfId="0" applyNumberFormat="1" applyFont="1" applyFill="1" applyBorder="1" applyAlignment="1">
      <alignment horizontal="center" vertical="center"/>
    </xf>
    <xf numFmtId="0" fontId="0" fillId="0" borderId="0" xfId="0" applyNumberFormat="1">
      <alignment vertical="center"/>
    </xf>
    <xf numFmtId="178" fontId="0" fillId="4" borderId="48" xfId="0" applyNumberFormat="1" applyFill="1" applyBorder="1" applyAlignment="1">
      <alignment vertical="center"/>
    </xf>
    <xf numFmtId="178" fontId="0" fillId="4" borderId="14" xfId="0" applyNumberFormat="1" applyFill="1" applyBorder="1" applyAlignment="1">
      <alignment vertical="center"/>
    </xf>
    <xf numFmtId="178" fontId="0" fillId="4" borderId="0" xfId="0" applyNumberFormat="1" applyFill="1" applyBorder="1" applyAlignment="1">
      <alignment vertical="center"/>
    </xf>
    <xf numFmtId="179" fontId="0" fillId="0" borderId="0" xfId="0" applyNumberFormat="1" applyAlignment="1">
      <alignment vertical="center"/>
    </xf>
    <xf numFmtId="179" fontId="0" fillId="0" borderId="14" xfId="0" applyNumberFormat="1" applyBorder="1" applyAlignment="1">
      <alignment vertical="center"/>
    </xf>
    <xf numFmtId="0" fontId="0" fillId="13" borderId="15" xfId="0" applyFill="1" applyBorder="1" applyAlignment="1">
      <alignment horizontal="center" vertical="center"/>
    </xf>
    <xf numFmtId="0" fontId="31" fillId="4" borderId="15" xfId="0" applyNumberFormat="1" applyFont="1" applyFill="1" applyBorder="1" applyAlignment="1">
      <alignment horizontal="center" vertical="center"/>
    </xf>
    <xf numFmtId="0" fontId="0" fillId="0" borderId="151" xfId="0" applyBorder="1" applyAlignment="1">
      <alignment vertical="center"/>
    </xf>
    <xf numFmtId="0" fontId="0" fillId="0" borderId="0" xfId="0" applyBorder="1" applyAlignment="1">
      <alignment vertical="center"/>
    </xf>
    <xf numFmtId="0" fontId="31" fillId="4" borderId="4" xfId="0" applyNumberFormat="1" applyFont="1" applyFill="1" applyBorder="1" applyAlignment="1">
      <alignment horizontal="center" vertical="center"/>
    </xf>
    <xf numFmtId="0" fontId="42" fillId="4" borderId="176" xfId="0" applyFont="1" applyFill="1" applyBorder="1" applyAlignment="1">
      <alignment horizontal="center" vertical="center"/>
    </xf>
    <xf numFmtId="0" fontId="34" fillId="0" borderId="175" xfId="0" applyFont="1" applyBorder="1" applyAlignment="1">
      <alignment horizontal="center" vertical="center"/>
    </xf>
    <xf numFmtId="179" fontId="46" fillId="4" borderId="4" xfId="1" applyNumberFormat="1" applyFont="1" applyFill="1" applyBorder="1" applyAlignment="1">
      <alignment horizontal="center" vertical="center"/>
    </xf>
    <xf numFmtId="0" fontId="46" fillId="3" borderId="20" xfId="2" applyFont="1" applyBorder="1" applyAlignment="1">
      <alignment horizontal="center" vertical="center"/>
    </xf>
    <xf numFmtId="179" fontId="46" fillId="4" borderId="4" xfId="0" applyNumberFormat="1" applyFont="1" applyFill="1" applyBorder="1" applyAlignment="1">
      <alignment horizontal="center" vertical="center"/>
    </xf>
    <xf numFmtId="0" fontId="8" fillId="7" borderId="177" xfId="3" applyBorder="1">
      <alignment vertical="center"/>
    </xf>
    <xf numFmtId="178" fontId="46" fillId="3" borderId="178" xfId="2" applyNumberFormat="1" applyFont="1" applyBorder="1" applyAlignment="1">
      <alignment horizontal="center" vertical="center"/>
    </xf>
    <xf numFmtId="179" fontId="46" fillId="4" borderId="148" xfId="3" applyNumberFormat="1" applyFont="1" applyFill="1" applyBorder="1">
      <alignment vertical="center"/>
    </xf>
    <xf numFmtId="0" fontId="46" fillId="3" borderId="178" xfId="2" applyFont="1" applyBorder="1" applyAlignment="1">
      <alignment horizontal="center" vertical="center"/>
    </xf>
    <xf numFmtId="178" fontId="0" fillId="4" borderId="0" xfId="0" applyNumberFormat="1" applyFill="1" applyBorder="1">
      <alignment vertical="center"/>
    </xf>
    <xf numFmtId="0" fontId="42" fillId="4" borderId="179" xfId="0" applyFont="1" applyFill="1" applyBorder="1" applyAlignment="1">
      <alignment horizontal="center" vertical="center"/>
    </xf>
    <xf numFmtId="179" fontId="38" fillId="2" borderId="56" xfId="1" applyNumberFormat="1" applyFont="1" applyBorder="1" applyAlignment="1">
      <alignment horizontal="center" vertical="center"/>
    </xf>
    <xf numFmtId="178" fontId="38" fillId="2" borderId="56" xfId="1" applyNumberFormat="1" applyFont="1" applyBorder="1" applyAlignment="1">
      <alignment horizontal="center" vertical="center"/>
    </xf>
    <xf numFmtId="179" fontId="22" fillId="0" borderId="37" xfId="0" applyNumberFormat="1" applyFont="1" applyBorder="1" applyAlignment="1">
      <alignment horizontal="center" vertical="center"/>
    </xf>
    <xf numFmtId="178" fontId="22" fillId="3" borderId="56" xfId="2" applyNumberFormat="1" applyFont="1" applyBorder="1" applyAlignment="1">
      <alignment horizontal="center" vertical="center"/>
    </xf>
    <xf numFmtId="178" fontId="22" fillId="3" borderId="180" xfId="2" applyNumberFormat="1" applyFont="1" applyBorder="1" applyAlignment="1">
      <alignment horizontal="center" vertical="center"/>
    </xf>
    <xf numFmtId="0" fontId="42" fillId="0" borderId="179" xfId="0" applyFont="1" applyBorder="1" applyAlignment="1">
      <alignment horizontal="center" vertical="center"/>
    </xf>
    <xf numFmtId="178" fontId="22" fillId="21" borderId="56" xfId="2" applyNumberFormat="1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4" borderId="14" xfId="0" applyNumberFormat="1" applyFill="1" applyBorder="1" applyAlignment="1">
      <alignment horizontal="center" vertical="center"/>
    </xf>
    <xf numFmtId="0" fontId="0" fillId="4" borderId="72" xfId="0" applyNumberFormat="1" applyFill="1" applyBorder="1" applyAlignment="1">
      <alignment horizontal="center" vertical="center"/>
    </xf>
    <xf numFmtId="0" fontId="0" fillId="0" borderId="13" xfId="0" applyNumberFormat="1" applyBorder="1" applyAlignment="1">
      <alignment vertical="center"/>
    </xf>
    <xf numFmtId="0" fontId="0" fillId="0" borderId="14" xfId="0" applyNumberFormat="1" applyBorder="1" applyAlignment="1">
      <alignment vertical="center"/>
    </xf>
    <xf numFmtId="0" fontId="0" fillId="4" borderId="13" xfId="0" applyNumberFormat="1" applyFill="1" applyBorder="1">
      <alignment vertical="center"/>
    </xf>
    <xf numFmtId="0" fontId="0" fillId="4" borderId="0" xfId="0" applyNumberFormat="1" applyFill="1" applyBorder="1">
      <alignment vertical="center"/>
    </xf>
    <xf numFmtId="0" fontId="0" fillId="4" borderId="48" xfId="0" applyNumberFormat="1" applyFill="1" applyBorder="1" applyAlignment="1">
      <alignment vertical="center"/>
    </xf>
    <xf numFmtId="0" fontId="0" fillId="4" borderId="0" xfId="0" applyNumberFormat="1" applyFill="1" applyBorder="1" applyAlignment="1">
      <alignment vertical="center"/>
    </xf>
    <xf numFmtId="0" fontId="0" fillId="4" borderId="0" xfId="0" applyNumberFormat="1" applyFill="1">
      <alignment vertical="center"/>
    </xf>
    <xf numFmtId="0" fontId="0" fillId="4" borderId="14" xfId="0" applyNumberFormat="1" applyFill="1" applyBorder="1">
      <alignment vertical="center"/>
    </xf>
    <xf numFmtId="0" fontId="9" fillId="0" borderId="137" xfId="0" applyNumberFormat="1" applyFont="1" applyBorder="1" applyAlignment="1">
      <alignment horizontal="center" vertical="center"/>
    </xf>
    <xf numFmtId="0" fontId="34" fillId="0" borderId="2" xfId="0" applyNumberFormat="1" applyFont="1" applyBorder="1" applyAlignment="1">
      <alignment horizontal="center" vertical="center"/>
    </xf>
    <xf numFmtId="0" fontId="34" fillId="0" borderId="0" xfId="0" applyNumberFormat="1" applyFont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0" fillId="0" borderId="2" xfId="0" applyNumberFormat="1" applyBorder="1" applyAlignment="1">
      <alignment horizontal="center" vertical="center"/>
    </xf>
    <xf numFmtId="0" fontId="31" fillId="0" borderId="3" xfId="0" applyNumberFormat="1" applyFont="1" applyBorder="1" applyAlignment="1">
      <alignment horizontal="center" vertical="center"/>
    </xf>
    <xf numFmtId="0" fontId="34" fillId="0" borderId="179" xfId="0" applyFont="1" applyBorder="1" applyAlignment="1">
      <alignment horizontal="center" vertical="center"/>
    </xf>
    <xf numFmtId="179" fontId="22" fillId="4" borderId="15" xfId="0" applyNumberFormat="1" applyFont="1" applyFill="1" applyBorder="1" applyAlignment="1">
      <alignment horizontal="center" vertical="center"/>
    </xf>
    <xf numFmtId="178" fontId="37" fillId="3" borderId="56" xfId="2" applyNumberFormat="1" applyFont="1" applyBorder="1" applyAlignment="1">
      <alignment horizontal="center" vertical="center"/>
    </xf>
    <xf numFmtId="179" fontId="40" fillId="4" borderId="15" xfId="0" applyNumberFormat="1" applyFont="1" applyFill="1" applyBorder="1" applyAlignment="1">
      <alignment horizontal="center" vertical="center"/>
    </xf>
    <xf numFmtId="178" fontId="40" fillId="21" borderId="56" xfId="2" applyNumberFormat="1" applyFont="1" applyFill="1" applyBorder="1" applyAlignment="1">
      <alignment horizontal="center" vertical="center"/>
    </xf>
    <xf numFmtId="178" fontId="39" fillId="7" borderId="56" xfId="3" applyNumberFormat="1" applyFont="1" applyBorder="1" applyAlignment="1">
      <alignment horizontal="center" vertical="center"/>
    </xf>
    <xf numFmtId="178" fontId="38" fillId="2" borderId="180" xfId="1" applyNumberFormat="1" applyFont="1" applyBorder="1" applyAlignment="1">
      <alignment horizontal="center" vertical="center"/>
    </xf>
    <xf numFmtId="0" fontId="31" fillId="0" borderId="15" xfId="0" applyNumberFormat="1" applyFont="1" applyBorder="1" applyAlignment="1">
      <alignment horizontal="center" vertical="center"/>
    </xf>
    <xf numFmtId="0" fontId="31" fillId="0" borderId="2" xfId="0" applyNumberFormat="1" applyFont="1" applyBorder="1" applyAlignment="1">
      <alignment horizontal="center" vertical="center"/>
    </xf>
    <xf numFmtId="0" fontId="5" fillId="0" borderId="44" xfId="0" applyNumberFormat="1" applyFont="1" applyBorder="1" applyAlignment="1">
      <alignment horizontal="center" vertical="center"/>
    </xf>
    <xf numFmtId="178" fontId="0" fillId="0" borderId="0" xfId="0" applyNumberFormat="1" applyAlignment="1">
      <alignment vertical="center"/>
    </xf>
    <xf numFmtId="180" fontId="0" fillId="0" borderId="8" xfId="0" applyNumberFormat="1" applyBorder="1" applyAlignment="1">
      <alignment horizontal="center" vertical="center"/>
    </xf>
    <xf numFmtId="178" fontId="22" fillId="3" borderId="185" xfId="2" applyNumberFormat="1" applyFont="1" applyBorder="1" applyAlignment="1">
      <alignment horizontal="center" vertical="center"/>
    </xf>
    <xf numFmtId="178" fontId="22" fillId="3" borderId="186" xfId="2" applyNumberFormat="1" applyFont="1" applyBorder="1" applyAlignment="1">
      <alignment horizontal="center" vertical="center"/>
    </xf>
    <xf numFmtId="0" fontId="8" fillId="7" borderId="88" xfId="3" applyBorder="1">
      <alignment vertical="center"/>
    </xf>
    <xf numFmtId="178" fontId="46" fillId="3" borderId="187" xfId="2" applyNumberFormat="1" applyFont="1" applyBorder="1" applyAlignment="1">
      <alignment horizontal="center" vertical="center"/>
    </xf>
    <xf numFmtId="180" fontId="5" fillId="3" borderId="188" xfId="2" applyNumberFormat="1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43" xfId="0" applyFont="1" applyBorder="1" applyAlignment="1">
      <alignment horizontal="center" vertical="center"/>
    </xf>
    <xf numFmtId="0" fontId="13" fillId="5" borderId="90" xfId="0" applyFont="1" applyFill="1" applyBorder="1" applyAlignment="1">
      <alignment horizontal="center" vertical="center"/>
    </xf>
    <xf numFmtId="0" fontId="13" fillId="0" borderId="90" xfId="0" applyFont="1" applyBorder="1" applyAlignment="1">
      <alignment horizontal="center" vertical="center"/>
    </xf>
    <xf numFmtId="0" fontId="13" fillId="13" borderId="94" xfId="0" applyFont="1" applyFill="1" applyBorder="1" applyAlignment="1">
      <alignment horizontal="center" vertical="center"/>
    </xf>
    <xf numFmtId="0" fontId="13" fillId="13" borderId="91" xfId="0" applyFont="1" applyFill="1" applyBorder="1" applyAlignment="1">
      <alignment horizontal="center" vertical="center"/>
    </xf>
    <xf numFmtId="0" fontId="29" fillId="20" borderId="82" xfId="0" applyFont="1" applyFill="1" applyBorder="1" applyAlignment="1">
      <alignment horizontal="center" vertical="center"/>
    </xf>
    <xf numFmtId="0" fontId="29" fillId="20" borderId="83" xfId="0" applyFont="1" applyFill="1" applyBorder="1" applyAlignment="1">
      <alignment horizontal="center" vertical="center"/>
    </xf>
    <xf numFmtId="0" fontId="29" fillId="20" borderId="84" xfId="0" applyFont="1" applyFill="1" applyBorder="1" applyAlignment="1">
      <alignment horizontal="center" vertical="center"/>
    </xf>
    <xf numFmtId="0" fontId="13" fillId="13" borderId="89" xfId="0" applyFont="1" applyFill="1" applyBorder="1" applyAlignment="1">
      <alignment horizontal="center" vertical="center"/>
    </xf>
    <xf numFmtId="0" fontId="13" fillId="13" borderId="93" xfId="0" applyFont="1" applyFill="1" applyBorder="1" applyAlignment="1">
      <alignment horizontal="center" vertical="center"/>
    </xf>
    <xf numFmtId="0" fontId="13" fillId="5" borderId="91" xfId="0" applyFont="1" applyFill="1" applyBorder="1" applyAlignment="1">
      <alignment horizontal="center" vertical="center"/>
    </xf>
    <xf numFmtId="0" fontId="29" fillId="20" borderId="85" xfId="0" applyFont="1" applyFill="1" applyBorder="1" applyAlignment="1">
      <alignment horizontal="center" vertical="center"/>
    </xf>
    <xf numFmtId="0" fontId="30" fillId="20" borderId="86" xfId="0" applyFont="1" applyFill="1" applyBorder="1" applyAlignment="1">
      <alignment horizontal="center" vertical="center"/>
    </xf>
    <xf numFmtId="0" fontId="30" fillId="20" borderId="105" xfId="0" applyFont="1" applyFill="1" applyBorder="1" applyAlignment="1">
      <alignment horizontal="center" vertical="center"/>
    </xf>
    <xf numFmtId="0" fontId="13" fillId="13" borderId="108" xfId="0" applyFont="1" applyFill="1" applyBorder="1" applyAlignment="1">
      <alignment horizontal="center" vertical="center"/>
    </xf>
    <xf numFmtId="0" fontId="29" fillId="20" borderId="86" xfId="0" applyFont="1" applyFill="1" applyBorder="1" applyAlignment="1">
      <alignment horizontal="center" vertical="center"/>
    </xf>
    <xf numFmtId="0" fontId="29" fillId="20" borderId="105" xfId="0" applyFont="1" applyFill="1" applyBorder="1" applyAlignment="1">
      <alignment horizontal="center" vertical="center"/>
    </xf>
    <xf numFmtId="0" fontId="11" fillId="5" borderId="90" xfId="0" applyFont="1" applyFill="1" applyBorder="1" applyAlignment="1">
      <alignment horizontal="center" vertical="top"/>
    </xf>
    <xf numFmtId="0" fontId="13" fillId="0" borderId="82" xfId="0" applyFont="1" applyBorder="1" applyAlignment="1">
      <alignment horizontal="center" vertical="center"/>
    </xf>
    <xf numFmtId="0" fontId="13" fillId="0" borderId="84" xfId="0" applyFont="1" applyBorder="1" applyAlignment="1">
      <alignment horizontal="center" vertical="center"/>
    </xf>
    <xf numFmtId="0" fontId="32" fillId="5" borderId="82" xfId="0" applyFont="1" applyFill="1" applyBorder="1" applyAlignment="1">
      <alignment horizontal="center" vertical="center"/>
    </xf>
    <xf numFmtId="0" fontId="32" fillId="5" borderId="84" xfId="0" applyFont="1" applyFill="1" applyBorder="1" applyAlignment="1">
      <alignment horizontal="center" vertical="center"/>
    </xf>
    <xf numFmtId="0" fontId="11" fillId="5" borderId="82" xfId="0" applyFont="1" applyFill="1" applyBorder="1" applyAlignment="1">
      <alignment horizontal="center" vertical="top"/>
    </xf>
    <xf numFmtId="0" fontId="11" fillId="5" borderId="84" xfId="0" applyFont="1" applyFill="1" applyBorder="1" applyAlignment="1">
      <alignment horizontal="center" vertical="top"/>
    </xf>
    <xf numFmtId="0" fontId="13" fillId="11" borderId="82" xfId="0" applyFont="1" applyFill="1" applyBorder="1" applyAlignment="1">
      <alignment horizontal="center" vertical="center"/>
    </xf>
    <xf numFmtId="0" fontId="13" fillId="11" borderId="84" xfId="0" applyFont="1" applyFill="1" applyBorder="1" applyAlignment="1">
      <alignment horizontal="center" vertical="center"/>
    </xf>
    <xf numFmtId="0" fontId="11" fillId="11" borderId="82" xfId="0" applyFont="1" applyFill="1" applyBorder="1" applyAlignment="1">
      <alignment horizontal="center" vertical="top"/>
    </xf>
    <xf numFmtId="0" fontId="11" fillId="11" borderId="84" xfId="0" applyFont="1" applyFill="1" applyBorder="1" applyAlignment="1">
      <alignment horizontal="center" vertical="top"/>
    </xf>
    <xf numFmtId="0" fontId="23" fillId="11" borderId="106" xfId="0" applyFont="1" applyFill="1" applyBorder="1" applyAlignment="1">
      <alignment horizontal="center" vertical="center"/>
    </xf>
    <xf numFmtId="0" fontId="23" fillId="11" borderId="92" xfId="0" applyFont="1" applyFill="1" applyBorder="1" applyAlignment="1">
      <alignment horizontal="center" vertical="center"/>
    </xf>
    <xf numFmtId="0" fontId="23" fillId="11" borderId="107" xfId="0" applyFont="1" applyFill="1" applyBorder="1" applyAlignment="1">
      <alignment horizontal="center" vertical="center"/>
    </xf>
    <xf numFmtId="0" fontId="23" fillId="11" borderId="95" xfId="0" applyFont="1" applyFill="1" applyBorder="1" applyAlignment="1">
      <alignment horizontal="center" vertical="center"/>
    </xf>
    <xf numFmtId="0" fontId="23" fillId="11" borderId="85" xfId="0" applyFont="1" applyFill="1" applyBorder="1" applyAlignment="1">
      <alignment horizontal="center" vertical="center"/>
    </xf>
    <xf numFmtId="0" fontId="23" fillId="11" borderId="105" xfId="0" applyFont="1" applyFill="1" applyBorder="1" applyAlignment="1">
      <alignment horizontal="center" vertical="center"/>
    </xf>
    <xf numFmtId="0" fontId="12" fillId="11" borderId="106" xfId="0" applyFont="1" applyFill="1" applyBorder="1" applyAlignment="1">
      <alignment horizontal="center" vertical="center"/>
    </xf>
    <xf numFmtId="0" fontId="12" fillId="11" borderId="92" xfId="0" applyFont="1" applyFill="1" applyBorder="1" applyAlignment="1">
      <alignment horizontal="center" vertical="center"/>
    </xf>
    <xf numFmtId="0" fontId="12" fillId="11" borderId="107" xfId="0" applyFont="1" applyFill="1" applyBorder="1" applyAlignment="1">
      <alignment horizontal="center" vertical="center"/>
    </xf>
    <xf numFmtId="0" fontId="12" fillId="11" borderId="95" xfId="0" applyFont="1" applyFill="1" applyBorder="1" applyAlignment="1">
      <alignment horizontal="center" vertical="center"/>
    </xf>
    <xf numFmtId="0" fontId="12" fillId="11" borderId="85" xfId="0" applyFont="1" applyFill="1" applyBorder="1" applyAlignment="1">
      <alignment horizontal="center" vertical="center"/>
    </xf>
    <xf numFmtId="0" fontId="12" fillId="11" borderId="105" xfId="0" applyFont="1" applyFill="1" applyBorder="1" applyAlignment="1">
      <alignment horizontal="center" vertical="center"/>
    </xf>
    <xf numFmtId="0" fontId="22" fillId="7" borderId="106" xfId="3" applyFont="1" applyBorder="1" applyAlignment="1">
      <alignment horizontal="center" vertical="center"/>
    </xf>
    <xf numFmtId="0" fontId="22" fillId="7" borderId="92" xfId="3" applyFont="1" applyBorder="1" applyAlignment="1">
      <alignment horizontal="center" vertical="center"/>
    </xf>
    <xf numFmtId="0" fontId="22" fillId="7" borderId="107" xfId="3" applyFont="1" applyBorder="1" applyAlignment="1">
      <alignment horizontal="center" vertical="center"/>
    </xf>
    <xf numFmtId="0" fontId="22" fillId="7" borderId="95" xfId="3" applyFont="1" applyBorder="1" applyAlignment="1">
      <alignment horizontal="center" vertical="center"/>
    </xf>
    <xf numFmtId="0" fontId="22" fillId="7" borderId="85" xfId="3" applyFont="1" applyBorder="1" applyAlignment="1">
      <alignment horizontal="center" vertical="center"/>
    </xf>
    <xf numFmtId="0" fontId="22" fillId="7" borderId="105" xfId="3" applyFont="1" applyBorder="1" applyAlignment="1">
      <alignment horizontal="center" vertical="center"/>
    </xf>
    <xf numFmtId="178" fontId="0" fillId="0" borderId="0" xfId="0" applyNumberFormat="1" applyBorder="1" applyAlignment="1">
      <alignment horizontal="center" vertical="center"/>
    </xf>
    <xf numFmtId="178" fontId="0" fillId="0" borderId="182" xfId="0" applyNumberFormat="1" applyBorder="1" applyAlignment="1">
      <alignment horizontal="center" vertical="center"/>
    </xf>
    <xf numFmtId="178" fontId="0" fillId="0" borderId="60" xfId="0" applyNumberFormat="1" applyBorder="1" applyAlignment="1">
      <alignment horizontal="center" vertical="center"/>
    </xf>
    <xf numFmtId="178" fontId="0" fillId="0" borderId="183" xfId="0" applyNumberFormat="1" applyBorder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178" fontId="0" fillId="0" borderId="184" xfId="0" applyNumberForma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73" xfId="0" applyFont="1" applyBorder="1" applyAlignment="1">
      <alignment horizontal="center" vertical="center"/>
    </xf>
    <xf numFmtId="0" fontId="11" fillId="0" borderId="173" xfId="0" applyFont="1" applyBorder="1" applyAlignment="1">
      <alignment horizontal="center" vertical="center"/>
    </xf>
    <xf numFmtId="0" fontId="11" fillId="0" borderId="174" xfId="0" applyFont="1" applyBorder="1" applyAlignment="1">
      <alignment horizontal="center" vertical="center"/>
    </xf>
    <xf numFmtId="178" fontId="0" fillId="4" borderId="48" xfId="0" applyNumberFormat="1" applyFill="1" applyBorder="1" applyAlignment="1">
      <alignment horizontal="center" vertical="center"/>
    </xf>
    <xf numFmtId="178" fontId="0" fillId="4" borderId="0" xfId="0" applyNumberFormat="1" applyFill="1" applyBorder="1" applyAlignment="1">
      <alignment horizontal="center" vertical="center"/>
    </xf>
    <xf numFmtId="178" fontId="0" fillId="4" borderId="24" xfId="0" applyNumberFormat="1" applyFill="1" applyBorder="1" applyAlignment="1">
      <alignment horizontal="center" vertical="center"/>
    </xf>
    <xf numFmtId="178" fontId="5" fillId="4" borderId="0" xfId="0" applyNumberFormat="1" applyFont="1" applyFill="1" applyAlignment="1">
      <alignment horizontal="center" vertical="center"/>
    </xf>
    <xf numFmtId="178" fontId="5" fillId="4" borderId="14" xfId="0" applyNumberFormat="1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22" fillId="0" borderId="13" xfId="0" applyFont="1" applyBorder="1" applyAlignment="1">
      <alignment horizontal="center" vertical="center"/>
    </xf>
    <xf numFmtId="0" fontId="22" fillId="0" borderId="14" xfId="0" applyFont="1" applyBorder="1" applyAlignment="1">
      <alignment horizontal="center" vertical="center"/>
    </xf>
    <xf numFmtId="0" fontId="0" fillId="0" borderId="58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79" fontId="12" fillId="0" borderId="181" xfId="0" applyNumberFormat="1" applyFont="1" applyBorder="1" applyAlignment="1">
      <alignment horizontal="center" vertical="center"/>
    </xf>
    <xf numFmtId="179" fontId="12" fillId="0" borderId="0" xfId="0" applyNumberFormat="1" applyFont="1" applyAlignment="1">
      <alignment horizontal="center" vertical="center"/>
    </xf>
    <xf numFmtId="179" fontId="12" fillId="0" borderId="24" xfId="0" applyNumberFormat="1" applyFont="1" applyBorder="1" applyAlignment="1">
      <alignment horizontal="center" vertical="center"/>
    </xf>
    <xf numFmtId="178" fontId="17" fillId="4" borderId="112" xfId="0" applyNumberFormat="1" applyFont="1" applyFill="1" applyBorder="1" applyAlignment="1">
      <alignment horizontal="center" vertical="center"/>
    </xf>
    <xf numFmtId="178" fontId="17" fillId="4" borderId="10" xfId="0" applyNumberFormat="1" applyFont="1" applyFill="1" applyBorder="1" applyAlignment="1">
      <alignment horizontal="center" vertical="center"/>
    </xf>
    <xf numFmtId="184" fontId="26" fillId="4" borderId="113" xfId="0" applyNumberFormat="1" applyFont="1" applyFill="1" applyBorder="1" applyAlignment="1">
      <alignment horizontal="center" vertical="center"/>
    </xf>
    <xf numFmtId="184" fontId="26" fillId="4" borderId="11" xfId="0" applyNumberFormat="1" applyFont="1" applyFill="1" applyBorder="1" applyAlignment="1">
      <alignment horizontal="center" vertical="center"/>
    </xf>
    <xf numFmtId="178" fontId="17" fillId="0" borderId="113" xfId="0" applyNumberFormat="1" applyFont="1" applyBorder="1" applyAlignment="1">
      <alignment horizontal="center" vertical="center"/>
    </xf>
    <xf numFmtId="178" fontId="17" fillId="0" borderId="11" xfId="0" applyNumberFormat="1" applyFont="1" applyBorder="1" applyAlignment="1">
      <alignment horizontal="center" vertical="center"/>
    </xf>
    <xf numFmtId="0" fontId="27" fillId="0" borderId="113" xfId="0" applyNumberFormat="1" applyFont="1" applyBorder="1" applyAlignment="1">
      <alignment horizontal="center" vertical="center"/>
    </xf>
    <xf numFmtId="0" fontId="27" fillId="0" borderId="11" xfId="0" applyNumberFormat="1" applyFont="1" applyBorder="1" applyAlignment="1">
      <alignment horizontal="center" vertical="center"/>
    </xf>
    <xf numFmtId="178" fontId="27" fillId="0" borderId="141" xfId="0" applyNumberFormat="1" applyFont="1" applyBorder="1" applyAlignment="1">
      <alignment horizontal="center" vertical="center"/>
    </xf>
    <xf numFmtId="184" fontId="25" fillId="4" borderId="0" xfId="3" applyNumberFormat="1" applyFont="1" applyFill="1" applyBorder="1" applyAlignment="1">
      <alignment horizontal="center" vertical="center"/>
    </xf>
    <xf numFmtId="178" fontId="0" fillId="4" borderId="128" xfId="0" applyNumberFormat="1" applyFill="1" applyBorder="1" applyAlignment="1">
      <alignment horizontal="center" vertical="center"/>
    </xf>
    <xf numFmtId="178" fontId="0" fillId="4" borderId="14" xfId="0" applyNumberFormat="1" applyFill="1" applyBorder="1" applyAlignment="1">
      <alignment horizontal="center" vertical="center"/>
    </xf>
    <xf numFmtId="178" fontId="5" fillId="4" borderId="128" xfId="0" applyNumberFormat="1" applyFont="1" applyFill="1" applyBorder="1" applyAlignment="1">
      <alignment horizontal="center" vertical="center"/>
    </xf>
    <xf numFmtId="184" fontId="36" fillId="7" borderId="130" xfId="3" applyNumberFormat="1" applyFont="1" applyBorder="1" applyAlignment="1">
      <alignment horizontal="center" vertical="center"/>
    </xf>
    <xf numFmtId="0" fontId="11" fillId="0" borderId="146" xfId="0" applyFont="1" applyBorder="1" applyAlignment="1">
      <alignment horizontal="center" vertical="center"/>
    </xf>
    <xf numFmtId="0" fontId="11" fillId="0" borderId="147" xfId="0" applyFont="1" applyBorder="1" applyAlignment="1">
      <alignment horizontal="center" vertical="center"/>
    </xf>
    <xf numFmtId="178" fontId="5" fillId="4" borderId="13" xfId="0" applyNumberFormat="1" applyFont="1" applyFill="1" applyBorder="1" applyAlignment="1">
      <alignment horizontal="center" vertical="center"/>
    </xf>
    <xf numFmtId="178" fontId="5" fillId="4" borderId="49" xfId="0" applyNumberFormat="1" applyFont="1" applyFill="1" applyBorder="1" applyAlignment="1">
      <alignment horizontal="center" vertical="center"/>
    </xf>
    <xf numFmtId="178" fontId="5" fillId="4" borderId="143" xfId="0" applyNumberFormat="1" applyFont="1" applyFill="1" applyBorder="1" applyAlignment="1">
      <alignment horizontal="center" vertical="center"/>
    </xf>
    <xf numFmtId="178" fontId="5" fillId="4" borderId="142" xfId="0" applyNumberFormat="1" applyFont="1" applyFill="1" applyBorder="1" applyAlignment="1">
      <alignment horizontal="center" vertical="center"/>
    </xf>
    <xf numFmtId="178" fontId="5" fillId="4" borderId="133" xfId="0" applyNumberFormat="1" applyFont="1" applyFill="1" applyBorder="1" applyAlignment="1">
      <alignment horizontal="center" vertical="center"/>
    </xf>
    <xf numFmtId="179" fontId="0" fillId="0" borderId="181" xfId="0" applyNumberFormat="1" applyBorder="1" applyAlignment="1">
      <alignment horizontal="center" vertical="center"/>
    </xf>
    <xf numFmtId="179" fontId="0" fillId="0" borderId="0" xfId="0" applyNumberFormat="1" applyAlignment="1">
      <alignment horizontal="center" vertical="center"/>
    </xf>
    <xf numFmtId="179" fontId="0" fillId="0" borderId="14" xfId="0" applyNumberFormat="1" applyBorder="1" applyAlignment="1">
      <alignment horizontal="center" vertical="center"/>
    </xf>
    <xf numFmtId="178" fontId="27" fillId="0" borderId="113" xfId="0" applyNumberFormat="1" applyFont="1" applyBorder="1" applyAlignment="1">
      <alignment horizontal="center" vertical="center"/>
    </xf>
    <xf numFmtId="178" fontId="0" fillId="4" borderId="49" xfId="0" applyNumberFormat="1" applyFill="1" applyBorder="1" applyAlignment="1">
      <alignment horizontal="center" vertical="center"/>
    </xf>
    <xf numFmtId="179" fontId="5" fillId="4" borderId="0" xfId="0" applyNumberFormat="1" applyFont="1" applyFill="1" applyAlignment="1">
      <alignment horizontal="center" vertical="center"/>
    </xf>
    <xf numFmtId="179" fontId="5" fillId="4" borderId="14" xfId="0" applyNumberFormat="1" applyFont="1" applyFill="1" applyBorder="1" applyAlignment="1">
      <alignment horizontal="center" vertical="center"/>
    </xf>
    <xf numFmtId="179" fontId="0" fillId="0" borderId="13" xfId="0" applyNumberFormat="1" applyBorder="1" applyAlignment="1">
      <alignment horizontal="center" vertical="center"/>
    </xf>
    <xf numFmtId="179" fontId="0" fillId="0" borderId="150" xfId="0" applyNumberFormat="1" applyBorder="1" applyAlignment="1">
      <alignment horizontal="center" vertical="center"/>
    </xf>
    <xf numFmtId="0" fontId="0" fillId="0" borderId="15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52" xfId="0" applyBorder="1" applyAlignment="1">
      <alignment horizontal="center" vertical="center"/>
    </xf>
    <xf numFmtId="179" fontId="5" fillId="4" borderId="49" xfId="0" applyNumberFormat="1" applyFont="1" applyFill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184" fontId="36" fillId="7" borderId="130" xfId="3" applyNumberFormat="1" applyFont="1" applyBorder="1" applyAlignment="1">
      <alignment vertical="center"/>
    </xf>
    <xf numFmtId="178" fontId="0" fillId="4" borderId="167" xfId="0" applyNumberFormat="1" applyFill="1" applyBorder="1" applyAlignment="1">
      <alignment horizontal="center" vertical="center"/>
    </xf>
    <xf numFmtId="0" fontId="0" fillId="0" borderId="167" xfId="0" applyBorder="1" applyAlignment="1">
      <alignment horizontal="center" vertical="center"/>
    </xf>
    <xf numFmtId="0" fontId="0" fillId="0" borderId="79" xfId="0" applyBorder="1" applyAlignment="1">
      <alignment horizontal="center" vertical="center"/>
    </xf>
    <xf numFmtId="178" fontId="27" fillId="0" borderId="11" xfId="0" applyNumberFormat="1" applyFont="1" applyBorder="1" applyAlignment="1">
      <alignment horizontal="center" vertical="center"/>
    </xf>
    <xf numFmtId="178" fontId="0" fillId="4" borderId="75" xfId="0" applyNumberFormat="1" applyFill="1" applyBorder="1" applyAlignment="1">
      <alignment horizontal="center" vertical="center"/>
    </xf>
    <xf numFmtId="178" fontId="0" fillId="4" borderId="126" xfId="0" applyNumberFormat="1" applyFill="1" applyBorder="1" applyAlignment="1">
      <alignment horizontal="center" vertical="center"/>
    </xf>
    <xf numFmtId="178" fontId="0" fillId="4" borderId="13" xfId="0" applyNumberFormat="1" applyFill="1" applyBorder="1" applyAlignment="1">
      <alignment horizontal="center" vertical="center"/>
    </xf>
    <xf numFmtId="178" fontId="0" fillId="4" borderId="0" xfId="0" applyNumberFormat="1" applyFill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178" fontId="17" fillId="0" borderId="3" xfId="0" applyNumberFormat="1" applyFont="1" applyBorder="1" applyAlignment="1">
      <alignment horizontal="center" vertical="center"/>
    </xf>
    <xf numFmtId="178" fontId="17" fillId="0" borderId="4" xfId="0" applyNumberFormat="1" applyFont="1" applyBorder="1" applyAlignment="1">
      <alignment horizontal="center" vertical="center"/>
    </xf>
    <xf numFmtId="178" fontId="25" fillId="4" borderId="16" xfId="0" applyNumberFormat="1" applyFont="1" applyFill="1" applyBorder="1" applyAlignment="1">
      <alignment horizontal="center" vertical="center"/>
    </xf>
    <xf numFmtId="178" fontId="25" fillId="4" borderId="18" xfId="0" applyNumberFormat="1" applyFont="1" applyFill="1" applyBorder="1" applyAlignment="1">
      <alignment horizontal="center" vertical="center"/>
    </xf>
    <xf numFmtId="178" fontId="33" fillId="4" borderId="3" xfId="0" applyNumberFormat="1" applyFont="1" applyFill="1" applyBorder="1" applyAlignment="1">
      <alignment horizontal="center" vertical="center"/>
    </xf>
    <xf numFmtId="178" fontId="33" fillId="4" borderId="4" xfId="0" applyNumberFormat="1" applyFont="1" applyFill="1" applyBorder="1" applyAlignment="1">
      <alignment horizontal="center" vertical="center"/>
    </xf>
    <xf numFmtId="178" fontId="0" fillId="4" borderId="16" xfId="0" applyNumberFormat="1" applyFill="1" applyBorder="1" applyAlignment="1">
      <alignment horizontal="center" vertical="center"/>
    </xf>
    <xf numFmtId="178" fontId="0" fillId="4" borderId="18" xfId="0" applyNumberFormat="1" applyFill="1" applyBorder="1" applyAlignment="1">
      <alignment horizontal="center" vertical="center"/>
    </xf>
  </cellXfs>
  <cellStyles count="5">
    <cellStyle name="나쁨" xfId="1" builtinId="27"/>
    <cellStyle name="메모" xfId="2" builtinId="10"/>
    <cellStyle name="보통" xfId="3" builtinId="28"/>
    <cellStyle name="좋음" xfId="4" builtinId="26"/>
    <cellStyle name="표준" xfId="0" builtinId="0"/>
  </cellStyles>
  <dxfs count="0"/>
  <tableStyles count="0" defaultTableStyle="TableStyleMedium2" defaultPivotStyle="PivotStyleLight16"/>
  <colors>
    <mruColors>
      <color rgb="FFFF33CC"/>
      <color rgb="FFEBF01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8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9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0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6EEF8-3750-45FA-9757-1D72AED097B3}">
  <sheetPr>
    <tabColor theme="9" tint="0.39997558519241921"/>
  </sheetPr>
  <dimension ref="A1:I31"/>
  <sheetViews>
    <sheetView showGridLines="0" zoomScale="85" zoomScaleNormal="85" workbookViewId="0">
      <selection activeCell="I3" sqref="I3"/>
    </sheetView>
  </sheetViews>
  <sheetFormatPr defaultRowHeight="17" x14ac:dyDescent="0.45"/>
  <cols>
    <col min="2" max="2" width="15.58203125" customWidth="1"/>
    <col min="3" max="6" width="15.58203125" style="37" customWidth="1"/>
    <col min="7" max="9" width="15.58203125" customWidth="1"/>
  </cols>
  <sheetData>
    <row r="1" spans="1:9" ht="17.25" customHeight="1" x14ac:dyDescent="0.45">
      <c r="B1" s="605" t="s">
        <v>7</v>
      </c>
      <c r="C1" s="605"/>
      <c r="D1" s="605" t="s">
        <v>156</v>
      </c>
      <c r="E1" s="605"/>
      <c r="F1" s="605" t="s">
        <v>9</v>
      </c>
      <c r="G1" s="605"/>
      <c r="H1" s="605" t="s">
        <v>204</v>
      </c>
      <c r="I1" s="605"/>
    </row>
    <row r="2" spans="1:9" ht="24" customHeight="1" thickBot="1" x14ac:dyDescent="0.5">
      <c r="B2" s="606"/>
      <c r="C2" s="606"/>
      <c r="D2" s="606"/>
      <c r="E2" s="606"/>
      <c r="F2" s="606"/>
      <c r="G2" s="606"/>
      <c r="H2" s="606"/>
      <c r="I2" s="606"/>
    </row>
    <row r="3" spans="1:9" ht="40" customHeight="1" thickTop="1" x14ac:dyDescent="0.45">
      <c r="A3" s="378">
        <v>1</v>
      </c>
      <c r="B3" s="155" t="e">
        <f>'24년'!#REF!</f>
        <v>#REF!</v>
      </c>
      <c r="C3" s="158" t="e">
        <f>'24년'!#REF!</f>
        <v>#REF!</v>
      </c>
      <c r="D3" s="154" t="e">
        <f>'24년'!#REF!</f>
        <v>#REF!</v>
      </c>
      <c r="E3" s="158" t="e">
        <f>'24년'!#REF!</f>
        <v>#REF!</v>
      </c>
      <c r="F3" s="154" t="str">
        <f>'24년'!B39</f>
        <v>고영숙</v>
      </c>
      <c r="G3" s="160" t="e">
        <f>'24년'!#REF!</f>
        <v>#REF!</v>
      </c>
      <c r="H3" s="154" t="e">
        <f>'24년'!#REF!</f>
        <v>#REF!</v>
      </c>
      <c r="I3" s="350" t="e">
        <f>'24년'!#REF!</f>
        <v>#REF!</v>
      </c>
    </row>
    <row r="4" spans="1:9" ht="40" customHeight="1" x14ac:dyDescent="0.45">
      <c r="A4" s="378">
        <v>2</v>
      </c>
      <c r="B4" s="155" t="e">
        <f>'24년'!#REF!</f>
        <v>#REF!</v>
      </c>
      <c r="C4" s="158" t="e">
        <f>'24년'!#REF!</f>
        <v>#REF!</v>
      </c>
      <c r="D4" s="155" t="e">
        <f>'24년'!#REF!</f>
        <v>#REF!</v>
      </c>
      <c r="E4" s="363" t="e">
        <f>'24년'!#REF!</f>
        <v>#REF!</v>
      </c>
      <c r="F4" s="155" t="str">
        <f>'24년'!B41</f>
        <v>김용</v>
      </c>
      <c r="G4" s="156" t="e">
        <f>'24년'!#REF!</f>
        <v>#REF!</v>
      </c>
      <c r="H4" s="155" t="e">
        <f>'24년'!#REF!</f>
        <v>#REF!</v>
      </c>
      <c r="I4" s="267" t="e">
        <f>'24년'!#REF!</f>
        <v>#REF!</v>
      </c>
    </row>
    <row r="5" spans="1:9" ht="40" customHeight="1" x14ac:dyDescent="0.45">
      <c r="A5" s="378">
        <v>3</v>
      </c>
      <c r="B5" s="155" t="str">
        <f>'24년'!B13</f>
        <v>임하린</v>
      </c>
      <c r="C5" s="115" t="e">
        <f>'24년'!#REF!</f>
        <v>#REF!</v>
      </c>
      <c r="D5" s="155" t="e">
        <f>'24년'!#REF!</f>
        <v>#REF!</v>
      </c>
      <c r="E5" s="363" t="e">
        <f>'24년'!#REF!</f>
        <v>#REF!</v>
      </c>
      <c r="F5" s="155" t="str">
        <f>'24년'!B43</f>
        <v>윤분숙</v>
      </c>
      <c r="G5" s="156" t="e">
        <f>'24년'!#REF!</f>
        <v>#REF!</v>
      </c>
      <c r="H5" s="155" t="str">
        <f>'24년'!B50</f>
        <v>임하린</v>
      </c>
      <c r="I5" s="158" t="e">
        <f>'24년'!#REF!</f>
        <v>#REF!</v>
      </c>
    </row>
    <row r="6" spans="1:9" ht="40" customHeight="1" x14ac:dyDescent="0.45">
      <c r="A6" s="378">
        <v>4</v>
      </c>
      <c r="B6" s="155" t="str">
        <f>'24년'!B14</f>
        <v>배이준</v>
      </c>
      <c r="C6" s="162" t="e">
        <f>'24년'!#REF!</f>
        <v>#REF!</v>
      </c>
      <c r="D6" s="155" t="e">
        <f>'24년'!#REF!</f>
        <v>#REF!</v>
      </c>
      <c r="E6" s="363" t="e">
        <f>'24년'!#REF!</f>
        <v>#REF!</v>
      </c>
      <c r="F6" s="155" t="str">
        <f>'24년'!B44</f>
        <v>석경남</v>
      </c>
      <c r="G6" s="156" t="e">
        <f>'24년'!#REF!</f>
        <v>#REF!</v>
      </c>
      <c r="H6" s="155" t="e">
        <f>'24년'!#REF!</f>
        <v>#REF!</v>
      </c>
      <c r="I6" s="120" t="e">
        <f>'24년'!#REF!</f>
        <v>#REF!</v>
      </c>
    </row>
    <row r="7" spans="1:9" ht="40" customHeight="1" x14ac:dyDescent="0.45">
      <c r="A7" s="378">
        <v>5</v>
      </c>
      <c r="B7" s="155" t="str">
        <f>'24년'!B15</f>
        <v>변이서</v>
      </c>
      <c r="C7" s="120" t="e">
        <f>'24년'!#REF!</f>
        <v>#REF!</v>
      </c>
      <c r="D7" s="155" t="e">
        <f>'24년'!#REF!</f>
        <v>#REF!</v>
      </c>
      <c r="E7" s="363" t="e">
        <f>'24년'!#REF!</f>
        <v>#REF!</v>
      </c>
      <c r="F7" s="155" t="e">
        <f>'24년'!#REF!</f>
        <v>#REF!</v>
      </c>
      <c r="G7" s="156" t="e">
        <f>'24년'!#REF!</f>
        <v>#REF!</v>
      </c>
      <c r="H7" s="155" t="e">
        <f>'24년'!#REF!</f>
        <v>#REF!</v>
      </c>
      <c r="I7" s="157" t="e">
        <f>'24년'!#REF!</f>
        <v>#REF!</v>
      </c>
    </row>
    <row r="8" spans="1:9" ht="40" customHeight="1" x14ac:dyDescent="0.45">
      <c r="A8" s="378">
        <v>6</v>
      </c>
      <c r="B8" s="155" t="e">
        <f>'24년'!#REF!</f>
        <v>#REF!</v>
      </c>
      <c r="C8" s="173" t="e">
        <f>'24년'!#REF!</f>
        <v>#REF!</v>
      </c>
      <c r="D8" s="155" t="e">
        <f>'24년'!#REF!</f>
        <v>#REF!</v>
      </c>
      <c r="E8" s="363" t="e">
        <f>'24년'!#REF!</f>
        <v>#REF!</v>
      </c>
      <c r="F8" s="155" t="str">
        <f>'24년'!B45</f>
        <v>박상혜</v>
      </c>
      <c r="G8" s="156" t="e">
        <f>'24년'!#REF!</f>
        <v>#REF!</v>
      </c>
      <c r="H8" s="155" t="e">
        <f>'24년'!#REF!</f>
        <v>#REF!</v>
      </c>
      <c r="I8" s="115" t="e">
        <f>'24년'!#REF!</f>
        <v>#REF!</v>
      </c>
    </row>
    <row r="9" spans="1:9" ht="40" customHeight="1" x14ac:dyDescent="0.45">
      <c r="A9" s="378">
        <v>7</v>
      </c>
      <c r="B9" s="155" t="e">
        <f>'24년'!#REF!</f>
        <v>#REF!</v>
      </c>
      <c r="C9" s="159" t="e">
        <f>'24년'!#REF!</f>
        <v>#REF!</v>
      </c>
      <c r="D9" s="155" t="e">
        <f>'24년'!#REF!</f>
        <v>#REF!</v>
      </c>
      <c r="E9" s="363" t="e">
        <f>'24년'!#REF!</f>
        <v>#REF!</v>
      </c>
      <c r="F9" s="155" t="e">
        <f>'24년'!#REF!</f>
        <v>#REF!</v>
      </c>
      <c r="G9" s="156" t="e">
        <f>'24년'!#REF!</f>
        <v>#REF!</v>
      </c>
      <c r="H9" s="155" t="e">
        <f>'24년'!#REF!</f>
        <v>#REF!</v>
      </c>
      <c r="I9" s="161" t="e">
        <f>'24년'!#REF!</f>
        <v>#REF!</v>
      </c>
    </row>
    <row r="10" spans="1:9" ht="40" customHeight="1" x14ac:dyDescent="0.45">
      <c r="A10" s="378">
        <v>8</v>
      </c>
      <c r="B10" s="155" t="e">
        <f>'24년'!#REF!</f>
        <v>#REF!</v>
      </c>
      <c r="C10" s="156" t="e">
        <f>'24년'!#REF!</f>
        <v>#REF!</v>
      </c>
      <c r="D10" s="155" t="e">
        <f>'24년'!#REF!</f>
        <v>#REF!</v>
      </c>
      <c r="E10" s="363" t="e">
        <f>'24년'!#REF!</f>
        <v>#REF!</v>
      </c>
      <c r="F10" s="155" t="e">
        <f>'24년'!#REF!</f>
        <v>#REF!</v>
      </c>
      <c r="G10" s="156" t="e">
        <f>'24년'!#REF!</f>
        <v>#REF!</v>
      </c>
    </row>
    <row r="11" spans="1:9" ht="40" customHeight="1" x14ac:dyDescent="0.45">
      <c r="A11" s="378">
        <v>9</v>
      </c>
      <c r="B11" s="155" t="e">
        <f>'24년'!#REF!</f>
        <v>#REF!</v>
      </c>
      <c r="C11" s="302" t="e">
        <f>'24년'!#REF!</f>
        <v>#REF!</v>
      </c>
      <c r="D11" s="155" t="e">
        <f>'24년'!#REF!</f>
        <v>#REF!</v>
      </c>
      <c r="E11" s="363" t="e">
        <f>'24년'!#REF!</f>
        <v>#REF!</v>
      </c>
      <c r="F11"/>
    </row>
    <row r="12" spans="1:9" ht="40" customHeight="1" x14ac:dyDescent="0.45">
      <c r="A12" s="378">
        <v>10</v>
      </c>
      <c r="B12" s="155" t="e">
        <f>'24년'!#REF!</f>
        <v>#REF!</v>
      </c>
      <c r="C12" s="161" t="e">
        <f>'24년'!#REF!</f>
        <v>#REF!</v>
      </c>
      <c r="D12" s="155" t="e">
        <f>'24년'!#REF!</f>
        <v>#REF!</v>
      </c>
      <c r="E12" s="363" t="e">
        <f>'24년'!#REF!</f>
        <v>#REF!</v>
      </c>
      <c r="F12"/>
    </row>
    <row r="13" spans="1:9" ht="40" customHeight="1" x14ac:dyDescent="0.45">
      <c r="A13" s="378">
        <v>11</v>
      </c>
      <c r="B13" s="155" t="str">
        <f>'24년'!B16</f>
        <v>문도진</v>
      </c>
      <c r="C13" s="359" t="e">
        <f>'24년'!#REF!</f>
        <v>#REF!</v>
      </c>
      <c r="D13" s="155" t="e">
        <f>'24년'!#REF!</f>
        <v>#REF!</v>
      </c>
      <c r="E13" s="363" t="e">
        <f>'24년'!#REF!</f>
        <v>#REF!</v>
      </c>
      <c r="F13"/>
    </row>
    <row r="14" spans="1:9" ht="39" customHeight="1" x14ac:dyDescent="0.45">
      <c r="A14" s="378">
        <v>12</v>
      </c>
      <c r="B14" s="155" t="str">
        <f>'24년'!B17</f>
        <v>박지윤</v>
      </c>
      <c r="C14" s="359" t="e">
        <f>'24년'!#REF!</f>
        <v>#REF!</v>
      </c>
      <c r="D14" s="155" t="e">
        <f>'24년'!#REF!</f>
        <v>#REF!</v>
      </c>
      <c r="E14" s="158" t="e">
        <f>'24년'!#REF!</f>
        <v>#REF!</v>
      </c>
    </row>
    <row r="15" spans="1:9" ht="40" customHeight="1" x14ac:dyDescent="0.45">
      <c r="A15" s="378">
        <v>13</v>
      </c>
      <c r="B15" s="155" t="e">
        <f>'24년'!#REF!</f>
        <v>#REF!</v>
      </c>
      <c r="C15" s="161" t="e">
        <f>'24년'!#REF!</f>
        <v>#REF!</v>
      </c>
      <c r="E15"/>
      <c r="F15"/>
    </row>
    <row r="16" spans="1:9" ht="39" customHeight="1" x14ac:dyDescent="0.45">
      <c r="A16" s="378">
        <v>14</v>
      </c>
      <c r="B16" s="155" t="e">
        <f>'24년'!#REF!</f>
        <v>#REF!</v>
      </c>
      <c r="C16" s="120" t="e">
        <f>'24년'!#REF!</f>
        <v>#REF!</v>
      </c>
      <c r="E16"/>
    </row>
    <row r="17" spans="2:5" ht="39" customHeight="1" x14ac:dyDescent="0.45">
      <c r="B17" s="37"/>
      <c r="C17"/>
      <c r="E17"/>
    </row>
    <row r="18" spans="2:5" ht="39" customHeight="1" x14ac:dyDescent="0.45">
      <c r="B18" s="37"/>
      <c r="C18"/>
      <c r="E18"/>
    </row>
    <row r="19" spans="2:5" ht="39" customHeight="1" x14ac:dyDescent="0.45">
      <c r="B19" s="37"/>
      <c r="C19"/>
      <c r="E19"/>
    </row>
    <row r="20" spans="2:5" ht="39" customHeight="1" x14ac:dyDescent="0.45">
      <c r="B20" s="37"/>
      <c r="C20"/>
      <c r="D20"/>
      <c r="E20"/>
    </row>
    <row r="21" spans="2:5" ht="39" customHeight="1" x14ac:dyDescent="0.45">
      <c r="C21"/>
      <c r="D21"/>
      <c r="E21"/>
    </row>
    <row r="22" spans="2:5" ht="39" customHeight="1" x14ac:dyDescent="0.45">
      <c r="C22"/>
      <c r="D22"/>
      <c r="E22"/>
    </row>
    <row r="23" spans="2:5" ht="39" customHeight="1" x14ac:dyDescent="0.45">
      <c r="C23"/>
    </row>
    <row r="24" spans="2:5" ht="39" customHeight="1" x14ac:dyDescent="0.45"/>
    <row r="25" spans="2:5" ht="39" customHeight="1" x14ac:dyDescent="0.45"/>
    <row r="26" spans="2:5" ht="39" customHeight="1" x14ac:dyDescent="0.45"/>
    <row r="27" spans="2:5" ht="39" customHeight="1" x14ac:dyDescent="0.45"/>
    <row r="28" spans="2:5" ht="39" customHeight="1" x14ac:dyDescent="0.45"/>
    <row r="29" spans="2:5" ht="39" customHeight="1" x14ac:dyDescent="0.45"/>
    <row r="30" spans="2:5" ht="39" customHeight="1" x14ac:dyDescent="0.45"/>
    <row r="31" spans="2:5" ht="39" customHeight="1" x14ac:dyDescent="0.45"/>
  </sheetData>
  <mergeCells count="4">
    <mergeCell ref="B1:C2"/>
    <mergeCell ref="F1:G2"/>
    <mergeCell ref="H1:I2"/>
    <mergeCell ref="D1:E2"/>
  </mergeCells>
  <phoneticPr fontId="1" type="noConversion"/>
  <pageMargins left="0.39370078740157483" right="0.39370078740157483" top="0.39370078740157483" bottom="0.39370078740157483" header="0.39370078740157483" footer="0.39370078740157483"/>
  <pageSetup paperSize="9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8D4C5-DD95-46FA-8ACA-1B863429BD5C}">
  <sheetPr>
    <tabColor theme="9" tint="0.79998168889431442"/>
  </sheetPr>
  <dimension ref="A1:X132"/>
  <sheetViews>
    <sheetView topLeftCell="A22" zoomScaleNormal="100" workbookViewId="0">
      <selection activeCell="J10" sqref="J10"/>
    </sheetView>
  </sheetViews>
  <sheetFormatPr defaultRowHeight="17" x14ac:dyDescent="0.45"/>
  <cols>
    <col min="1" max="1" width="8.58203125" customWidth="1"/>
    <col min="2" max="2" width="4.08203125" customWidth="1"/>
    <col min="3" max="3" width="8.58203125" customWidth="1"/>
    <col min="4" max="4" width="4.08203125" customWidth="1"/>
    <col min="5" max="5" width="8.58203125" customWidth="1"/>
    <col min="6" max="6" width="4.08203125" customWidth="1"/>
    <col min="7" max="7" width="2.58203125" customWidth="1"/>
    <col min="8" max="24" width="7.08203125" customWidth="1"/>
  </cols>
  <sheetData>
    <row r="1" spans="1:24" ht="27" thickTop="1" thickBot="1" x14ac:dyDescent="0.5">
      <c r="A1" s="182" t="s">
        <v>216</v>
      </c>
      <c r="B1" s="183"/>
      <c r="C1" s="182" t="s">
        <v>217</v>
      </c>
      <c r="D1" s="184" t="s">
        <v>218</v>
      </c>
      <c r="E1" s="182" t="s">
        <v>219</v>
      </c>
      <c r="F1" s="184" t="s">
        <v>220</v>
      </c>
      <c r="H1" s="611" t="s">
        <v>221</v>
      </c>
      <c r="I1" s="612"/>
      <c r="J1" s="613"/>
      <c r="K1" s="185"/>
      <c r="L1" s="186"/>
      <c r="M1" s="186"/>
      <c r="N1" s="186"/>
      <c r="O1" s="186"/>
      <c r="P1" s="186"/>
      <c r="Q1" s="186"/>
      <c r="R1" s="186"/>
      <c r="S1" s="186"/>
      <c r="T1" s="186"/>
      <c r="U1" s="186"/>
      <c r="V1" s="186"/>
    </row>
    <row r="2" spans="1:24" ht="26.5" thickTop="1" thickBot="1" x14ac:dyDescent="0.5">
      <c r="A2" s="187" t="s">
        <v>203</v>
      </c>
      <c r="B2" s="37">
        <f>COUNTIF(I:AL,"우리인력")</f>
        <v>8</v>
      </c>
      <c r="C2" s="37" t="s">
        <v>222</v>
      </c>
      <c r="D2" s="37">
        <f>COUNTIF(I:AL,"고영숙;")</f>
        <v>7</v>
      </c>
      <c r="E2" s="37" t="s">
        <v>222</v>
      </c>
      <c r="F2" s="188">
        <f>COUNTIF(I:AL,"고영숙]")</f>
        <v>0</v>
      </c>
      <c r="G2" s="37"/>
      <c r="H2" s="189"/>
      <c r="I2" s="608">
        <v>1</v>
      </c>
      <c r="J2" s="608"/>
      <c r="K2" s="608">
        <v>2</v>
      </c>
      <c r="L2" s="608"/>
      <c r="M2" s="608">
        <v>3</v>
      </c>
      <c r="N2" s="608"/>
      <c r="O2" s="608">
        <v>4</v>
      </c>
      <c r="P2" s="608"/>
      <c r="Q2" s="608">
        <v>5</v>
      </c>
      <c r="R2" s="608"/>
      <c r="S2" s="608">
        <v>6</v>
      </c>
      <c r="T2" s="608"/>
      <c r="U2" s="608">
        <v>7</v>
      </c>
      <c r="V2" s="608"/>
    </row>
    <row r="3" spans="1:24" ht="26.5" thickTop="1" thickBot="1" x14ac:dyDescent="0.5">
      <c r="A3" s="187" t="s">
        <v>138</v>
      </c>
      <c r="B3" s="37">
        <f>COUNTIF(I:AL,"김혜숙")</f>
        <v>9</v>
      </c>
      <c r="C3" s="37" t="s">
        <v>223</v>
      </c>
      <c r="D3" s="37">
        <f>COUNTIF(I:AL,"공하정;")</f>
        <v>4</v>
      </c>
      <c r="E3" s="37" t="s">
        <v>223</v>
      </c>
      <c r="F3" s="188">
        <f>COUNTIF(I:AL,"공하정]")</f>
        <v>0</v>
      </c>
      <c r="H3" s="190"/>
      <c r="I3" s="607" t="s">
        <v>224</v>
      </c>
      <c r="J3" s="607"/>
      <c r="K3" s="607" t="s">
        <v>225</v>
      </c>
      <c r="L3" s="607"/>
      <c r="M3" s="607" t="s">
        <v>226</v>
      </c>
      <c r="N3" s="607"/>
      <c r="O3" s="607" t="s">
        <v>227</v>
      </c>
      <c r="P3" s="607"/>
      <c r="Q3" s="607" t="s">
        <v>228</v>
      </c>
      <c r="R3" s="607"/>
      <c r="S3" s="607" t="s">
        <v>229</v>
      </c>
      <c r="T3" s="607"/>
      <c r="U3" s="607" t="s">
        <v>230</v>
      </c>
      <c r="V3" s="607"/>
    </row>
    <row r="4" spans="1:24" ht="17.5" thickTop="1" x14ac:dyDescent="0.45">
      <c r="A4" s="187" t="s">
        <v>231</v>
      </c>
      <c r="B4" s="37">
        <f>COUNTIF(I:AL,"배이준")</f>
        <v>4</v>
      </c>
      <c r="C4" s="37" t="s">
        <v>232</v>
      </c>
      <c r="D4" s="37">
        <f>COUNTIF(I:AL,"김다정;")</f>
        <v>0</v>
      </c>
      <c r="E4" s="37" t="s">
        <v>233</v>
      </c>
      <c r="F4" s="188">
        <f>COUNTIF(I:AL,"이소영]")</f>
        <v>0</v>
      </c>
      <c r="H4" s="614">
        <v>10</v>
      </c>
      <c r="I4" s="202"/>
      <c r="J4" s="203"/>
      <c r="K4" s="202" t="s">
        <v>203</v>
      </c>
      <c r="L4" s="203"/>
      <c r="M4" s="202"/>
      <c r="N4" s="203"/>
      <c r="O4" s="202" t="s">
        <v>203</v>
      </c>
      <c r="P4" s="203"/>
      <c r="Q4" s="202"/>
      <c r="R4" s="203"/>
      <c r="S4" s="202"/>
      <c r="T4" s="203"/>
      <c r="U4" s="202"/>
      <c r="V4" s="203"/>
      <c r="W4" s="212"/>
      <c r="X4" s="212"/>
    </row>
    <row r="5" spans="1:24" ht="17.5" thickBot="1" x14ac:dyDescent="0.5">
      <c r="A5" s="187" t="s">
        <v>234</v>
      </c>
      <c r="B5" s="37">
        <f>COUNTIF(I:AL,"신하린")</f>
        <v>2</v>
      </c>
      <c r="C5" s="37" t="s">
        <v>235</v>
      </c>
      <c r="D5" s="37">
        <f>COUNTIF(I:AL,"김용;")</f>
        <v>4</v>
      </c>
      <c r="E5" s="37" t="s">
        <v>236</v>
      </c>
      <c r="F5" s="188">
        <f>COUNTIF(I:AL,"임하린]")</f>
        <v>0</v>
      </c>
      <c r="H5" s="610"/>
      <c r="I5" s="207"/>
      <c r="J5" s="208"/>
      <c r="K5" s="207"/>
      <c r="L5" s="208"/>
      <c r="M5" s="207"/>
      <c r="N5" s="208"/>
      <c r="O5" s="207"/>
      <c r="P5" s="208"/>
      <c r="Q5" s="207"/>
      <c r="R5" s="208"/>
      <c r="S5" s="207"/>
      <c r="T5" s="208"/>
      <c r="U5" s="207"/>
      <c r="V5" s="208"/>
      <c r="W5" s="212"/>
      <c r="X5" s="212"/>
    </row>
    <row r="6" spans="1:24" ht="17.5" thickTop="1" x14ac:dyDescent="0.45">
      <c r="A6" s="187" t="s">
        <v>215</v>
      </c>
      <c r="B6" s="37">
        <f>COUNTIF(I:AL,"아름다움")</f>
        <v>7</v>
      </c>
      <c r="C6" s="37" t="s">
        <v>237</v>
      </c>
      <c r="D6" s="37">
        <f>COUNTIF(I:AL,"윤분숙;")</f>
        <v>0</v>
      </c>
      <c r="F6" s="188"/>
      <c r="H6" s="609">
        <v>11</v>
      </c>
      <c r="I6" s="204"/>
      <c r="J6" s="205"/>
      <c r="K6" s="204" t="s">
        <v>138</v>
      </c>
      <c r="L6" s="205"/>
      <c r="M6" s="204"/>
      <c r="N6" s="205"/>
      <c r="O6" s="204" t="s">
        <v>138</v>
      </c>
      <c r="P6" s="205"/>
      <c r="Q6" s="204"/>
      <c r="R6" s="205"/>
      <c r="S6" s="204" t="s">
        <v>74</v>
      </c>
      <c r="T6" s="205"/>
      <c r="U6" s="204"/>
      <c r="V6" s="205"/>
      <c r="W6" s="212"/>
      <c r="X6" s="212"/>
    </row>
    <row r="7" spans="1:24" ht="17.5" thickBot="1" x14ac:dyDescent="0.5">
      <c r="A7" s="187" t="s">
        <v>238</v>
      </c>
      <c r="B7" s="37">
        <f>COUNTIF(I:AL,"이기찬")</f>
        <v>5</v>
      </c>
      <c r="C7" s="37" t="s">
        <v>163</v>
      </c>
      <c r="D7" s="37">
        <f>COUNTIF(I:AL,"이말진;")</f>
        <v>3</v>
      </c>
      <c r="E7" s="37"/>
      <c r="F7" s="188"/>
      <c r="H7" s="610"/>
      <c r="I7" s="207"/>
      <c r="J7" s="208"/>
      <c r="K7" s="207"/>
      <c r="L7" s="208"/>
      <c r="M7" s="207"/>
      <c r="N7" s="208"/>
      <c r="O7" s="207"/>
      <c r="P7" s="208"/>
      <c r="Q7" s="207"/>
      <c r="R7" s="208"/>
      <c r="S7" s="207"/>
      <c r="T7" s="208"/>
      <c r="U7" s="207"/>
      <c r="V7" s="208"/>
      <c r="W7" s="212"/>
      <c r="X7" s="212"/>
    </row>
    <row r="8" spans="1:24" ht="17.5" thickTop="1" x14ac:dyDescent="0.45">
      <c r="A8" s="187" t="s">
        <v>239</v>
      </c>
      <c r="B8" s="37">
        <f>COUNTIF(I:AL,"초빈초연")</f>
        <v>6</v>
      </c>
      <c r="C8" s="37" t="s">
        <v>159</v>
      </c>
      <c r="D8" s="37">
        <f>COUNTIF(I:AL,"최임이;")</f>
        <v>2</v>
      </c>
      <c r="E8" s="37"/>
      <c r="F8" s="188"/>
      <c r="H8" s="609">
        <v>12</v>
      </c>
      <c r="I8" s="204"/>
      <c r="J8" s="205"/>
      <c r="K8" s="204"/>
      <c r="L8" s="205"/>
      <c r="M8" s="204"/>
      <c r="N8" s="205"/>
      <c r="O8" s="204"/>
      <c r="P8" s="205"/>
      <c r="Q8" s="204"/>
      <c r="R8" s="205"/>
      <c r="S8" s="204"/>
      <c r="T8" s="205"/>
      <c r="U8" s="204"/>
      <c r="V8" s="205"/>
      <c r="W8" s="212"/>
      <c r="X8" s="212"/>
    </row>
    <row r="9" spans="1:24" ht="17.5" thickBot="1" x14ac:dyDescent="0.5">
      <c r="A9" s="187" t="s">
        <v>233</v>
      </c>
      <c r="B9" s="37">
        <f>COUNTIF(I:AL,"이소영")</f>
        <v>1</v>
      </c>
      <c r="C9" s="37" t="s">
        <v>12</v>
      </c>
      <c r="D9" s="37">
        <f>COUNTIF(I:AL,"김혜정;")</f>
        <v>1</v>
      </c>
      <c r="E9" s="37"/>
      <c r="F9" s="188"/>
      <c r="H9" s="610"/>
      <c r="I9" s="207"/>
      <c r="J9" s="208"/>
      <c r="K9" s="207"/>
      <c r="L9" s="208"/>
      <c r="M9" s="207"/>
      <c r="N9" s="208"/>
      <c r="O9" s="207"/>
      <c r="P9" s="208"/>
      <c r="Q9" s="207"/>
      <c r="R9" s="208"/>
      <c r="S9" s="207"/>
      <c r="T9" s="208"/>
      <c r="U9" s="207"/>
      <c r="V9" s="208"/>
      <c r="W9" s="212"/>
      <c r="X9" s="212"/>
    </row>
    <row r="10" spans="1:24" ht="17.5" thickTop="1" x14ac:dyDescent="0.45">
      <c r="A10" s="187" t="s">
        <v>240</v>
      </c>
      <c r="B10" s="37">
        <f>COUNTIF(I:AL,"임하령")</f>
        <v>2</v>
      </c>
      <c r="C10" s="191" t="s">
        <v>236</v>
      </c>
      <c r="D10" s="192">
        <f>COUNTIF(K:AN,"임하린;")</f>
        <v>2</v>
      </c>
      <c r="E10" s="37"/>
      <c r="F10" s="188"/>
      <c r="H10" s="609">
        <v>1</v>
      </c>
      <c r="I10" s="204"/>
      <c r="J10" s="205"/>
      <c r="K10" s="204"/>
      <c r="L10" s="205"/>
      <c r="M10" s="204"/>
      <c r="N10" s="205"/>
      <c r="O10" s="204"/>
      <c r="P10" s="205"/>
      <c r="Q10" s="204"/>
      <c r="R10" s="205"/>
      <c r="S10" s="204"/>
      <c r="T10" s="205"/>
      <c r="U10" s="204"/>
      <c r="V10" s="205"/>
      <c r="W10" s="212"/>
      <c r="X10" s="212"/>
    </row>
    <row r="11" spans="1:24" ht="17.5" thickBot="1" x14ac:dyDescent="0.5">
      <c r="A11" s="187" t="s">
        <v>236</v>
      </c>
      <c r="B11" s="37">
        <f>COUNTIF(I:AL,"임하린")</f>
        <v>4</v>
      </c>
      <c r="C11" s="193" t="s">
        <v>241</v>
      </c>
      <c r="D11" s="194">
        <f>COUNTIF(K:AN,"정지원;")</f>
        <v>2</v>
      </c>
      <c r="E11" s="37"/>
      <c r="F11" s="188"/>
      <c r="H11" s="610"/>
      <c r="I11" s="207"/>
      <c r="J11" s="208"/>
      <c r="K11" s="207"/>
      <c r="L11" s="208"/>
      <c r="M11" s="207"/>
      <c r="N11" s="208"/>
      <c r="O11" s="207"/>
      <c r="P11" s="208"/>
      <c r="Q11" s="207"/>
      <c r="R11" s="208"/>
      <c r="S11" s="207"/>
      <c r="T11" s="208"/>
      <c r="U11" s="207"/>
      <c r="V11" s="208"/>
      <c r="W11" s="212"/>
      <c r="X11" s="212"/>
    </row>
    <row r="12" spans="1:24" ht="17.5" thickTop="1" x14ac:dyDescent="0.45">
      <c r="A12" s="195" t="s">
        <v>241</v>
      </c>
      <c r="B12" s="37">
        <f>COUNTIF(I:AL,"정지원")</f>
        <v>3</v>
      </c>
      <c r="C12" s="193" t="s">
        <v>239</v>
      </c>
      <c r="D12" s="194">
        <f>COUNTIF(K:AN,"초빈초연;")</f>
        <v>4</v>
      </c>
      <c r="E12" s="37"/>
      <c r="F12" s="188"/>
      <c r="H12" s="609">
        <v>2</v>
      </c>
      <c r="I12" s="204"/>
      <c r="J12" s="205"/>
      <c r="K12" s="204" t="s">
        <v>134</v>
      </c>
      <c r="L12" s="205"/>
      <c r="M12" s="204"/>
      <c r="N12" s="205"/>
      <c r="O12" s="204" t="s">
        <v>134</v>
      </c>
      <c r="P12" s="205"/>
      <c r="Q12" s="204"/>
      <c r="R12" s="205"/>
      <c r="S12" s="204"/>
      <c r="T12" s="205"/>
      <c r="U12" s="204"/>
      <c r="V12" s="205"/>
      <c r="W12" s="212"/>
      <c r="X12" s="212"/>
    </row>
    <row r="13" spans="1:24" ht="17.5" thickBot="1" x14ac:dyDescent="0.5">
      <c r="A13" s="195" t="s">
        <v>157</v>
      </c>
      <c r="B13" s="37">
        <f>COUNTIF(I:AL,"최은실")</f>
        <v>2</v>
      </c>
      <c r="C13" s="193" t="s">
        <v>215</v>
      </c>
      <c r="D13" s="194">
        <f>COUNTIF(K:AN,"아름다움;")</f>
        <v>3</v>
      </c>
      <c r="E13" s="37"/>
      <c r="F13" s="188"/>
      <c r="H13" s="610"/>
      <c r="I13" s="207"/>
      <c r="J13" s="208"/>
      <c r="K13" s="207"/>
      <c r="L13" s="208"/>
      <c r="M13" s="207"/>
      <c r="N13" s="208"/>
      <c r="O13" s="207"/>
      <c r="P13" s="208"/>
      <c r="Q13" s="207"/>
      <c r="R13" s="208"/>
      <c r="S13" s="207"/>
      <c r="T13" s="208"/>
      <c r="U13" s="207"/>
      <c r="V13" s="208"/>
      <c r="W13" s="212"/>
      <c r="X13" s="212"/>
    </row>
    <row r="14" spans="1:24" ht="17.5" thickTop="1" x14ac:dyDescent="0.45">
      <c r="A14" s="195" t="s">
        <v>242</v>
      </c>
      <c r="B14" s="37">
        <f>COUNTIF(I:AL,"박창민")</f>
        <v>0</v>
      </c>
      <c r="C14" s="193" t="s">
        <v>242</v>
      </c>
      <c r="D14" s="194">
        <f>COUNTIF(K:AN,"박창민;")</f>
        <v>0</v>
      </c>
      <c r="E14" s="37"/>
      <c r="F14" s="188"/>
      <c r="H14" s="609">
        <v>3</v>
      </c>
      <c r="I14" s="204"/>
      <c r="J14" s="205"/>
      <c r="K14" s="204" t="s">
        <v>1</v>
      </c>
      <c r="L14" s="205"/>
      <c r="M14" s="204" t="s">
        <v>243</v>
      </c>
      <c r="N14" s="205" t="s">
        <v>244</v>
      </c>
      <c r="O14" s="204"/>
      <c r="P14" s="205"/>
      <c r="Q14" s="204"/>
      <c r="R14" s="205"/>
      <c r="S14" s="204"/>
      <c r="T14" s="205"/>
      <c r="U14" s="204"/>
      <c r="V14" s="205"/>
      <c r="W14" s="212"/>
      <c r="X14" s="212"/>
    </row>
    <row r="15" spans="1:24" ht="17.5" thickBot="1" x14ac:dyDescent="0.5">
      <c r="A15" s="195" t="s">
        <v>245</v>
      </c>
      <c r="B15" s="37">
        <f>COUNTIF(I:AL,"채린")</f>
        <v>0</v>
      </c>
      <c r="C15" s="193" t="s">
        <v>231</v>
      </c>
      <c r="D15" s="194">
        <f>COUNTIF(K:AN,"배이준;")</f>
        <v>3</v>
      </c>
      <c r="E15" s="37"/>
      <c r="F15" s="188"/>
      <c r="H15" s="610"/>
      <c r="I15" s="207"/>
      <c r="J15" s="208"/>
      <c r="K15" s="207"/>
      <c r="L15" s="208"/>
      <c r="M15" s="207" t="s">
        <v>246</v>
      </c>
      <c r="N15" s="208"/>
      <c r="O15" s="207"/>
      <c r="P15" s="208"/>
      <c r="Q15" s="207"/>
      <c r="R15" s="208"/>
      <c r="S15" s="207"/>
      <c r="T15" s="208"/>
      <c r="U15" s="207"/>
      <c r="V15" s="208"/>
      <c r="W15" s="212"/>
      <c r="X15" s="212"/>
    </row>
    <row r="16" spans="1:24" ht="17.5" thickTop="1" x14ac:dyDescent="0.45">
      <c r="A16" s="195" t="s">
        <v>159</v>
      </c>
      <c r="B16" s="37">
        <f>COUNTIF(I:AL,"최임이")</f>
        <v>0</v>
      </c>
      <c r="C16" s="193" t="s">
        <v>240</v>
      </c>
      <c r="D16" s="194">
        <f>COUNTIF(K:AN,"임하령;")</f>
        <v>0</v>
      </c>
      <c r="E16" s="37"/>
      <c r="F16" s="188"/>
      <c r="H16" s="609">
        <v>4</v>
      </c>
      <c r="I16" s="204"/>
      <c r="J16" s="205"/>
      <c r="K16" s="204" t="s">
        <v>20</v>
      </c>
      <c r="L16" s="205"/>
      <c r="M16" s="204"/>
      <c r="N16" s="205"/>
      <c r="O16" s="204"/>
      <c r="P16" s="205"/>
      <c r="Q16" s="204"/>
      <c r="R16" s="205"/>
      <c r="S16" s="204"/>
      <c r="T16" s="205"/>
      <c r="U16" s="204"/>
      <c r="V16" s="205"/>
      <c r="W16" s="212"/>
      <c r="X16" s="212"/>
    </row>
    <row r="17" spans="1:24" ht="17.5" thickBot="1" x14ac:dyDescent="0.5">
      <c r="A17" s="195" t="s">
        <v>247</v>
      </c>
      <c r="B17" s="37">
        <f>COUNTIF(I:AL,"김혜정")</f>
        <v>1</v>
      </c>
      <c r="C17" s="193" t="s">
        <v>233</v>
      </c>
      <c r="D17" s="194">
        <f>COUNTIF(K:AN,"이소영;")</f>
        <v>1</v>
      </c>
      <c r="E17" s="37"/>
      <c r="F17" s="188"/>
      <c r="H17" s="610"/>
      <c r="I17" s="207"/>
      <c r="J17" s="208"/>
      <c r="K17" s="207"/>
      <c r="L17" s="208"/>
      <c r="M17" s="207"/>
      <c r="N17" s="208"/>
      <c r="O17" s="207"/>
      <c r="P17" s="208"/>
      <c r="Q17" s="207"/>
      <c r="R17" s="208"/>
      <c r="S17" s="207"/>
      <c r="T17" s="208"/>
      <c r="U17" s="207"/>
      <c r="V17" s="208"/>
      <c r="W17" s="212"/>
      <c r="X17" s="212"/>
    </row>
    <row r="18" spans="1:24" ht="17.5" thickTop="1" x14ac:dyDescent="0.45">
      <c r="A18" s="196"/>
      <c r="C18" s="193" t="s">
        <v>238</v>
      </c>
      <c r="D18" s="194">
        <f>COUNTIF(K:AN,"이기찬;")</f>
        <v>1</v>
      </c>
      <c r="E18" s="37"/>
      <c r="F18" s="188"/>
      <c r="H18" s="609">
        <v>5</v>
      </c>
      <c r="I18" s="204"/>
      <c r="J18" s="205"/>
      <c r="K18" s="204" t="s">
        <v>100</v>
      </c>
      <c r="L18" s="205"/>
      <c r="M18" s="204" t="s">
        <v>129</v>
      </c>
      <c r="N18" s="205"/>
      <c r="O18" s="204" t="s">
        <v>239</v>
      </c>
      <c r="P18" s="205"/>
      <c r="Q18" s="204"/>
      <c r="R18" s="205"/>
      <c r="S18" s="204"/>
      <c r="T18" s="205"/>
      <c r="U18" s="204" t="s">
        <v>215</v>
      </c>
      <c r="V18" s="205"/>
      <c r="W18" s="212"/>
      <c r="X18" s="212"/>
    </row>
    <row r="19" spans="1:24" ht="17.5" thickBot="1" x14ac:dyDescent="0.5">
      <c r="A19" s="196"/>
      <c r="C19" s="193" t="s">
        <v>245</v>
      </c>
      <c r="D19" s="194">
        <f>COUNTIF(K:AN,"채린;")</f>
        <v>0</v>
      </c>
      <c r="E19" s="37"/>
      <c r="F19" s="188"/>
      <c r="H19" s="610"/>
      <c r="I19" s="207"/>
      <c r="J19" s="208"/>
      <c r="K19" s="207"/>
      <c r="L19" s="208"/>
      <c r="M19" s="207"/>
      <c r="N19" s="208"/>
      <c r="O19" s="207"/>
      <c r="P19" s="208"/>
      <c r="Q19" s="207"/>
      <c r="R19" s="208"/>
      <c r="S19" s="207"/>
      <c r="T19" s="208"/>
      <c r="U19" s="207"/>
      <c r="V19" s="208"/>
      <c r="W19" s="212"/>
      <c r="X19" s="212"/>
    </row>
    <row r="20" spans="1:24" ht="17.5" thickTop="1" x14ac:dyDescent="0.45">
      <c r="A20" s="195"/>
      <c r="B20" s="37"/>
      <c r="C20" s="193"/>
      <c r="D20" s="194"/>
      <c r="E20" s="37"/>
      <c r="F20" s="188"/>
      <c r="H20" s="609">
        <v>6</v>
      </c>
      <c r="I20" s="204"/>
      <c r="J20" s="205"/>
      <c r="K20" s="204" t="s">
        <v>248</v>
      </c>
      <c r="L20" s="205" t="s">
        <v>249</v>
      </c>
      <c r="M20" s="204" t="s">
        <v>250</v>
      </c>
      <c r="N20" s="205" t="s">
        <v>246</v>
      </c>
      <c r="O20" s="204"/>
      <c r="P20" s="205"/>
      <c r="Q20" s="204"/>
      <c r="R20" s="205"/>
      <c r="S20" s="204"/>
      <c r="T20" s="205"/>
      <c r="U20" s="204"/>
      <c r="V20" s="205"/>
      <c r="W20" s="212"/>
      <c r="X20" s="212"/>
    </row>
    <row r="21" spans="1:24" x14ac:dyDescent="0.45">
      <c r="A21" s="187"/>
      <c r="B21" s="37"/>
      <c r="C21" s="193"/>
      <c r="D21" s="194"/>
      <c r="E21" s="37"/>
      <c r="F21" s="188"/>
      <c r="H21" s="609"/>
      <c r="I21" s="204"/>
      <c r="J21" s="205"/>
      <c r="K21" s="204" t="s">
        <v>251</v>
      </c>
      <c r="L21" s="205" t="s">
        <v>252</v>
      </c>
      <c r="M21" s="204"/>
      <c r="N21" s="205"/>
      <c r="O21" s="204"/>
      <c r="P21" s="205"/>
      <c r="Q21" s="204"/>
      <c r="R21" s="205"/>
      <c r="S21" s="204"/>
      <c r="T21" s="205"/>
      <c r="U21" s="204"/>
      <c r="V21" s="205"/>
      <c r="W21" s="212"/>
      <c r="X21" s="212"/>
    </row>
    <row r="22" spans="1:24" ht="17.5" thickBot="1" x14ac:dyDescent="0.5">
      <c r="A22" s="197"/>
      <c r="B22" s="198"/>
      <c r="C22" s="199"/>
      <c r="D22" s="200"/>
      <c r="E22" s="198"/>
      <c r="F22" s="201"/>
      <c r="H22" s="609"/>
      <c r="I22" s="204"/>
      <c r="J22" s="205"/>
      <c r="K22" s="204" t="s">
        <v>253</v>
      </c>
      <c r="L22" s="205"/>
      <c r="M22" s="204"/>
      <c r="N22" s="205"/>
      <c r="O22" s="204"/>
      <c r="P22" s="205"/>
      <c r="Q22" s="204"/>
      <c r="R22" s="205"/>
      <c r="S22" s="204"/>
      <c r="T22" s="205"/>
      <c r="U22" s="204"/>
      <c r="V22" s="205"/>
      <c r="W22" s="212"/>
      <c r="X22" s="212"/>
    </row>
    <row r="23" spans="1:24" ht="18" thickTop="1" thickBot="1" x14ac:dyDescent="0.5">
      <c r="H23" s="610"/>
      <c r="I23" s="207"/>
      <c r="J23" s="208"/>
      <c r="K23" s="207"/>
      <c r="L23" s="208"/>
      <c r="M23" s="207"/>
      <c r="N23" s="208"/>
      <c r="O23" s="207"/>
      <c r="P23" s="208"/>
      <c r="Q23" s="207"/>
      <c r="R23" s="208"/>
      <c r="S23" s="207"/>
      <c r="T23" s="208"/>
      <c r="U23" s="207"/>
      <c r="V23" s="208"/>
      <c r="W23" s="212"/>
      <c r="X23" s="212"/>
    </row>
    <row r="24" spans="1:24" ht="17.5" thickTop="1" x14ac:dyDescent="0.45">
      <c r="A24" s="37"/>
      <c r="B24" s="37"/>
      <c r="C24" s="37"/>
      <c r="D24" s="37"/>
      <c r="E24" s="37"/>
      <c r="F24" s="37"/>
      <c r="H24" s="609">
        <v>7</v>
      </c>
      <c r="I24" s="204"/>
      <c r="J24" s="205"/>
      <c r="K24" s="204"/>
      <c r="L24" s="205"/>
      <c r="M24" s="204"/>
      <c r="N24" s="205"/>
      <c r="O24" s="204"/>
      <c r="P24" s="205"/>
      <c r="Q24" s="204"/>
      <c r="R24" s="205"/>
      <c r="S24" s="204"/>
      <c r="T24" s="205"/>
      <c r="U24" s="204"/>
      <c r="V24" s="205"/>
      <c r="W24" s="212"/>
      <c r="X24" s="212"/>
    </row>
    <row r="25" spans="1:24" ht="17.5" thickBot="1" x14ac:dyDescent="0.5">
      <c r="A25" s="37"/>
      <c r="B25" s="37"/>
      <c r="C25" s="37"/>
      <c r="D25" s="37"/>
      <c r="E25" s="37"/>
      <c r="F25" s="37"/>
      <c r="H25" s="610"/>
      <c r="I25" s="207"/>
      <c r="J25" s="208"/>
      <c r="K25" s="207"/>
      <c r="L25" s="208"/>
      <c r="M25" s="207"/>
      <c r="N25" s="208"/>
      <c r="O25" s="207"/>
      <c r="P25" s="208"/>
      <c r="Q25" s="207"/>
      <c r="R25" s="208"/>
      <c r="S25" s="207"/>
      <c r="T25" s="208"/>
      <c r="U25" s="207"/>
      <c r="V25" s="208"/>
      <c r="W25" s="212"/>
      <c r="X25" s="212"/>
    </row>
    <row r="26" spans="1:24" ht="17.5" thickTop="1" x14ac:dyDescent="0.45">
      <c r="A26" s="37"/>
      <c r="B26" s="37"/>
      <c r="C26" s="37"/>
      <c r="D26" s="37"/>
      <c r="E26" s="37"/>
      <c r="F26" s="37"/>
    </row>
    <row r="27" spans="1:24" ht="17.5" thickBot="1" x14ac:dyDescent="0.5"/>
    <row r="28" spans="1:24" ht="27" thickTop="1" thickBot="1" x14ac:dyDescent="0.5">
      <c r="A28" s="182" t="s">
        <v>216</v>
      </c>
      <c r="B28" s="183"/>
      <c r="C28" s="182" t="s">
        <v>217</v>
      </c>
      <c r="D28" s="184" t="s">
        <v>218</v>
      </c>
      <c r="E28" s="182" t="s">
        <v>219</v>
      </c>
      <c r="F28" s="184" t="s">
        <v>220</v>
      </c>
      <c r="H28" s="611" t="s">
        <v>254</v>
      </c>
      <c r="I28" s="612"/>
      <c r="J28" s="613"/>
      <c r="K28" s="185"/>
      <c r="L28" s="186"/>
      <c r="M28" s="186"/>
      <c r="N28" s="186"/>
      <c r="O28" s="186"/>
      <c r="P28" s="186"/>
      <c r="Q28" s="186"/>
      <c r="R28" s="186"/>
      <c r="S28" s="186"/>
      <c r="T28" s="186"/>
      <c r="U28" s="186"/>
      <c r="V28" s="186"/>
    </row>
    <row r="29" spans="1:24" ht="26.5" thickTop="1" thickBot="1" x14ac:dyDescent="0.5">
      <c r="A29" s="187" t="s">
        <v>203</v>
      </c>
      <c r="B29" s="37">
        <f>COUNTIF(I:AL,"우리인력")</f>
        <v>8</v>
      </c>
      <c r="C29" s="37" t="s">
        <v>222</v>
      </c>
      <c r="D29" s="37">
        <f>COUNTIF(I:AL,"고영숙;")</f>
        <v>7</v>
      </c>
      <c r="E29" s="37" t="s">
        <v>10</v>
      </c>
      <c r="F29" s="188">
        <f>COUNTIF(I:AL,"고영숙]")</f>
        <v>0</v>
      </c>
      <c r="H29" s="189"/>
      <c r="I29" s="608">
        <v>8</v>
      </c>
      <c r="J29" s="608"/>
      <c r="K29" s="608">
        <v>9</v>
      </c>
      <c r="L29" s="608"/>
      <c r="M29" s="608">
        <v>10</v>
      </c>
      <c r="N29" s="608"/>
      <c r="O29" s="608">
        <v>11</v>
      </c>
      <c r="P29" s="608"/>
      <c r="Q29" s="608">
        <v>12</v>
      </c>
      <c r="R29" s="608"/>
      <c r="S29" s="608">
        <v>13</v>
      </c>
      <c r="T29" s="608"/>
      <c r="U29" s="608">
        <v>14</v>
      </c>
      <c r="V29" s="608"/>
    </row>
    <row r="30" spans="1:24" ht="26.5" thickTop="1" thickBot="1" x14ac:dyDescent="0.5">
      <c r="A30" s="187" t="s">
        <v>255</v>
      </c>
      <c r="B30" s="37">
        <f>COUNTIF(I:AL,"김혜숙")</f>
        <v>9</v>
      </c>
      <c r="C30" s="37" t="s">
        <v>223</v>
      </c>
      <c r="D30" s="37">
        <f>COUNTIF(I:AL,"공하정;")</f>
        <v>4</v>
      </c>
      <c r="E30" s="37" t="s">
        <v>223</v>
      </c>
      <c r="F30" s="188">
        <f>COUNTIF(I:AL,"공하정]")</f>
        <v>0</v>
      </c>
      <c r="H30" s="190"/>
      <c r="I30" s="607" t="s">
        <v>224</v>
      </c>
      <c r="J30" s="607"/>
      <c r="K30" s="607" t="s">
        <v>225</v>
      </c>
      <c r="L30" s="607"/>
      <c r="M30" s="607" t="s">
        <v>226</v>
      </c>
      <c r="N30" s="607"/>
      <c r="O30" s="607" t="s">
        <v>227</v>
      </c>
      <c r="P30" s="607"/>
      <c r="Q30" s="607" t="s">
        <v>228</v>
      </c>
      <c r="R30" s="607"/>
      <c r="S30" s="607" t="s">
        <v>229</v>
      </c>
      <c r="T30" s="607"/>
      <c r="U30" s="607" t="s">
        <v>230</v>
      </c>
      <c r="V30" s="607"/>
    </row>
    <row r="31" spans="1:24" ht="17.5" thickTop="1" x14ac:dyDescent="0.45">
      <c r="A31" s="187" t="s">
        <v>231</v>
      </c>
      <c r="B31" s="37">
        <f>COUNTIF(I:AL,"배이준")</f>
        <v>4</v>
      </c>
      <c r="C31" s="37" t="s">
        <v>232</v>
      </c>
      <c r="D31" s="37">
        <f>COUNTIF(I:AL,"김다정;")</f>
        <v>0</v>
      </c>
      <c r="E31" s="37" t="s">
        <v>233</v>
      </c>
      <c r="F31" s="188">
        <f>COUNTIF(I:AL,"이소영]")</f>
        <v>0</v>
      </c>
      <c r="H31" s="614">
        <v>10</v>
      </c>
      <c r="I31" s="204" t="s">
        <v>203</v>
      </c>
      <c r="J31" s="203"/>
      <c r="K31" s="202"/>
      <c r="L31" s="203"/>
      <c r="M31" s="204"/>
      <c r="N31" s="203"/>
      <c r="O31" s="202" t="s">
        <v>203</v>
      </c>
      <c r="P31" s="203"/>
      <c r="Q31" s="202"/>
      <c r="R31" s="203"/>
      <c r="S31" s="202"/>
      <c r="T31" s="203"/>
      <c r="U31" s="202"/>
      <c r="V31" s="203"/>
    </row>
    <row r="32" spans="1:24" ht="17.5" thickBot="1" x14ac:dyDescent="0.5">
      <c r="A32" s="187" t="s">
        <v>234</v>
      </c>
      <c r="B32" s="37">
        <f>COUNTIF(I:AL,"신하린")</f>
        <v>2</v>
      </c>
      <c r="C32" s="37" t="s">
        <v>235</v>
      </c>
      <c r="D32" s="37">
        <f>COUNTIF(I:AL,"김용;")</f>
        <v>4</v>
      </c>
      <c r="E32" s="37" t="s">
        <v>236</v>
      </c>
      <c r="F32" s="188">
        <f>COUNTIF(I:AL,"임하린]")</f>
        <v>0</v>
      </c>
      <c r="H32" s="610"/>
      <c r="I32" s="207"/>
      <c r="J32" s="208"/>
      <c r="K32" s="207"/>
      <c r="L32" s="208"/>
      <c r="M32" s="207"/>
      <c r="N32" s="208"/>
      <c r="O32" s="207"/>
      <c r="P32" s="208"/>
      <c r="Q32" s="207"/>
      <c r="R32" s="208"/>
      <c r="S32" s="207"/>
      <c r="T32" s="208"/>
      <c r="U32" s="207"/>
      <c r="V32" s="208"/>
    </row>
    <row r="33" spans="1:22" ht="17.5" thickTop="1" x14ac:dyDescent="0.45">
      <c r="A33" s="187" t="s">
        <v>215</v>
      </c>
      <c r="B33" s="37">
        <f>COUNTIF(I:AL,"아름다움")</f>
        <v>7</v>
      </c>
      <c r="C33" s="37" t="s">
        <v>237</v>
      </c>
      <c r="D33" s="37">
        <f>COUNTIF(I:AL,"윤분숙;")</f>
        <v>0</v>
      </c>
      <c r="F33" s="188"/>
      <c r="H33" s="609">
        <v>11</v>
      </c>
      <c r="I33" s="204"/>
      <c r="J33" s="205"/>
      <c r="K33" s="204" t="s">
        <v>138</v>
      </c>
      <c r="L33" s="205"/>
      <c r="M33" s="204"/>
      <c r="N33" s="205"/>
      <c r="O33" s="204" t="s">
        <v>138</v>
      </c>
      <c r="P33" s="205"/>
      <c r="Q33" s="204"/>
      <c r="R33" s="205"/>
      <c r="S33" s="204" t="s">
        <v>74</v>
      </c>
      <c r="T33" s="205"/>
      <c r="U33" s="204"/>
      <c r="V33" s="205"/>
    </row>
    <row r="34" spans="1:22" ht="17.5" thickBot="1" x14ac:dyDescent="0.5">
      <c r="A34" s="187" t="s">
        <v>238</v>
      </c>
      <c r="B34" s="37">
        <f>COUNTIF(I:AL,"이기찬")</f>
        <v>5</v>
      </c>
      <c r="C34" s="37" t="s">
        <v>256</v>
      </c>
      <c r="D34" s="37">
        <f>COUNTIF(I:AL,"이말직;")</f>
        <v>0</v>
      </c>
      <c r="E34" s="37"/>
      <c r="F34" s="188"/>
      <c r="H34" s="610"/>
      <c r="I34" s="207"/>
      <c r="J34" s="208"/>
      <c r="K34" s="207"/>
      <c r="L34" s="208"/>
      <c r="M34" s="207"/>
      <c r="N34" s="208"/>
      <c r="O34" s="207"/>
      <c r="P34" s="208"/>
      <c r="Q34" s="207"/>
      <c r="R34" s="208"/>
      <c r="S34" s="207"/>
      <c r="T34" s="208"/>
      <c r="U34" s="207"/>
      <c r="V34" s="208"/>
    </row>
    <row r="35" spans="1:22" ht="17.5" thickTop="1" x14ac:dyDescent="0.45">
      <c r="A35" s="187" t="s">
        <v>239</v>
      </c>
      <c r="B35" s="37">
        <f>COUNTIF(I:AL,"초빈초연")</f>
        <v>6</v>
      </c>
      <c r="C35" s="37" t="s">
        <v>159</v>
      </c>
      <c r="D35" s="37">
        <f>COUNTIF(I:AL,"최임이;")</f>
        <v>2</v>
      </c>
      <c r="E35" s="37"/>
      <c r="F35" s="188"/>
      <c r="H35" s="609">
        <v>12</v>
      </c>
      <c r="I35" s="204"/>
      <c r="J35" s="205"/>
      <c r="K35" s="204"/>
      <c r="L35" s="205"/>
      <c r="M35" s="204"/>
      <c r="N35" s="205"/>
      <c r="O35" s="204"/>
      <c r="P35" s="205"/>
      <c r="Q35" s="204" t="s">
        <v>134</v>
      </c>
      <c r="R35" s="205"/>
      <c r="S35" s="204"/>
      <c r="T35" s="205"/>
      <c r="U35" s="204"/>
      <c r="V35" s="205"/>
    </row>
    <row r="36" spans="1:22" ht="17.5" thickBot="1" x14ac:dyDescent="0.5">
      <c r="A36" s="187" t="s">
        <v>233</v>
      </c>
      <c r="B36" s="37">
        <f>COUNTIF(I:AL,"이소영")</f>
        <v>1</v>
      </c>
      <c r="C36" s="37" t="s">
        <v>12</v>
      </c>
      <c r="D36" s="37">
        <f>COUNTIF(I:AL,"김혜정;")</f>
        <v>1</v>
      </c>
      <c r="E36" s="37"/>
      <c r="F36" s="188"/>
      <c r="H36" s="610"/>
      <c r="I36" s="207"/>
      <c r="J36" s="208"/>
      <c r="K36" s="207"/>
      <c r="L36" s="208"/>
      <c r="M36" s="207"/>
      <c r="N36" s="208"/>
      <c r="O36" s="207"/>
      <c r="P36" s="208"/>
      <c r="Q36" s="207"/>
      <c r="R36" s="208"/>
      <c r="S36" s="207"/>
      <c r="T36" s="208"/>
      <c r="U36" s="207"/>
      <c r="V36" s="208"/>
    </row>
    <row r="37" spans="1:22" ht="17.5" thickTop="1" x14ac:dyDescent="0.45">
      <c r="A37" s="187" t="s">
        <v>240</v>
      </c>
      <c r="B37" s="37">
        <f>COUNTIF(I:AL,"임하령")</f>
        <v>2</v>
      </c>
      <c r="C37" s="191" t="s">
        <v>236</v>
      </c>
      <c r="D37" s="192">
        <f>COUNTIF(K:AN,"임하린;")</f>
        <v>2</v>
      </c>
      <c r="E37" s="37"/>
      <c r="F37" s="188"/>
      <c r="H37" s="609">
        <v>1</v>
      </c>
      <c r="I37" s="204"/>
      <c r="J37" s="205"/>
      <c r="K37" s="204"/>
      <c r="L37" s="205"/>
      <c r="M37" s="204"/>
      <c r="N37" s="205"/>
      <c r="O37" s="204"/>
      <c r="P37" s="205"/>
      <c r="Q37" s="204"/>
      <c r="R37" s="205"/>
      <c r="S37" s="204"/>
      <c r="T37" s="205"/>
      <c r="U37" s="204"/>
      <c r="V37" s="205"/>
    </row>
    <row r="38" spans="1:22" ht="17.5" thickBot="1" x14ac:dyDescent="0.5">
      <c r="A38" s="187" t="s">
        <v>236</v>
      </c>
      <c r="B38" s="37">
        <f>COUNTIF(I:AL,"임하린")</f>
        <v>4</v>
      </c>
      <c r="C38" s="193" t="s">
        <v>241</v>
      </c>
      <c r="D38" s="194">
        <f>COUNTIF(K:AN,"정지원;")</f>
        <v>2</v>
      </c>
      <c r="E38" s="37"/>
      <c r="F38" s="188"/>
      <c r="H38" s="610"/>
      <c r="I38" s="207"/>
      <c r="J38" s="208"/>
      <c r="K38" s="207"/>
      <c r="L38" s="208"/>
      <c r="M38" s="207"/>
      <c r="N38" s="208"/>
      <c r="O38" s="207"/>
      <c r="P38" s="208"/>
      <c r="Q38" s="207"/>
      <c r="R38" s="208"/>
      <c r="S38" s="207"/>
      <c r="T38" s="208"/>
      <c r="U38" s="207"/>
      <c r="V38" s="208"/>
    </row>
    <row r="39" spans="1:22" ht="17.5" thickTop="1" x14ac:dyDescent="0.45">
      <c r="A39" s="195" t="s">
        <v>241</v>
      </c>
      <c r="B39" s="37">
        <f>COUNTIF(I:AL,"정지원")</f>
        <v>3</v>
      </c>
      <c r="C39" s="193" t="s">
        <v>239</v>
      </c>
      <c r="D39" s="194">
        <f>COUNTIF(K:AN,"초빈초연;")</f>
        <v>4</v>
      </c>
      <c r="E39" s="37"/>
      <c r="F39" s="188"/>
      <c r="H39" s="609">
        <v>2</v>
      </c>
      <c r="I39" s="204"/>
      <c r="J39" s="205"/>
      <c r="K39" s="204"/>
      <c r="L39" s="205"/>
      <c r="M39" s="204"/>
      <c r="N39" s="205"/>
      <c r="O39" s="204"/>
      <c r="P39" s="205"/>
      <c r="Q39" s="204"/>
      <c r="R39" s="205"/>
      <c r="S39" s="204"/>
      <c r="T39" s="205"/>
      <c r="U39" s="204"/>
      <c r="V39" s="205"/>
    </row>
    <row r="40" spans="1:22" ht="17.5" thickBot="1" x14ac:dyDescent="0.5">
      <c r="A40" s="195" t="s">
        <v>157</v>
      </c>
      <c r="B40" s="37">
        <f>COUNTIF(I:AL,"최은실")</f>
        <v>2</v>
      </c>
      <c r="C40" s="193" t="s">
        <v>215</v>
      </c>
      <c r="D40" s="194">
        <f>COUNTIF(K:AN,"아름다움;")</f>
        <v>3</v>
      </c>
      <c r="E40" s="37"/>
      <c r="F40" s="188"/>
      <c r="H40" s="610"/>
      <c r="I40" s="207"/>
      <c r="J40" s="208"/>
      <c r="K40" s="207"/>
      <c r="L40" s="208"/>
      <c r="M40" s="207"/>
      <c r="N40" s="208"/>
      <c r="O40" s="207"/>
      <c r="P40" s="208"/>
      <c r="Q40" s="207"/>
      <c r="R40" s="208"/>
      <c r="S40" s="207"/>
      <c r="T40" s="208"/>
      <c r="U40" s="207"/>
      <c r="V40" s="208"/>
    </row>
    <row r="41" spans="1:22" ht="17.5" thickTop="1" x14ac:dyDescent="0.45">
      <c r="A41" s="195" t="s">
        <v>242</v>
      </c>
      <c r="B41" s="37">
        <f>COUNTIF(I:AL,"박창민")</f>
        <v>0</v>
      </c>
      <c r="C41" s="193" t="s">
        <v>242</v>
      </c>
      <c r="D41" s="194">
        <f>COUNTIF(K:AN,"박창민;")</f>
        <v>0</v>
      </c>
      <c r="E41" s="37"/>
      <c r="F41" s="188"/>
      <c r="H41" s="609">
        <v>3</v>
      </c>
      <c r="I41" s="204"/>
      <c r="J41" s="205"/>
      <c r="K41" s="204" t="s">
        <v>20</v>
      </c>
      <c r="L41" s="205"/>
      <c r="M41" s="204" t="s">
        <v>243</v>
      </c>
      <c r="N41" s="205" t="s">
        <v>244</v>
      </c>
      <c r="O41" s="204"/>
      <c r="P41" s="205"/>
      <c r="Q41" s="204"/>
      <c r="R41" s="205"/>
      <c r="S41" s="204"/>
      <c r="T41" s="205"/>
      <c r="U41" s="204"/>
      <c r="V41" s="205"/>
    </row>
    <row r="42" spans="1:22" ht="17.5" thickBot="1" x14ac:dyDescent="0.5">
      <c r="A42" s="195" t="s">
        <v>245</v>
      </c>
      <c r="B42" s="37">
        <f>COUNTIF(I:AL,"채린")</f>
        <v>0</v>
      </c>
      <c r="C42" s="193" t="s">
        <v>231</v>
      </c>
      <c r="D42" s="194">
        <f>COUNTIF(K:AN,"배이준;")</f>
        <v>3</v>
      </c>
      <c r="E42" s="37"/>
      <c r="F42" s="188"/>
      <c r="H42" s="610"/>
      <c r="I42" s="207"/>
      <c r="J42" s="208"/>
      <c r="K42" s="207"/>
      <c r="L42" s="208"/>
      <c r="M42" s="207" t="s">
        <v>246</v>
      </c>
      <c r="N42" s="208"/>
      <c r="O42" s="207"/>
      <c r="P42" s="208"/>
      <c r="Q42" s="207"/>
      <c r="R42" s="208"/>
      <c r="S42" s="207"/>
      <c r="T42" s="208"/>
      <c r="U42" s="207"/>
      <c r="V42" s="208"/>
    </row>
    <row r="43" spans="1:22" ht="17.5" thickTop="1" x14ac:dyDescent="0.45">
      <c r="A43" s="195" t="s">
        <v>159</v>
      </c>
      <c r="B43" s="37">
        <f>COUNTIF(I:AL,"최임이")</f>
        <v>0</v>
      </c>
      <c r="C43" s="193" t="s">
        <v>240</v>
      </c>
      <c r="D43" s="194">
        <f>COUNTIF(K:AN,"임하령;")</f>
        <v>0</v>
      </c>
      <c r="E43" s="37"/>
      <c r="F43" s="188"/>
      <c r="H43" s="609">
        <v>4</v>
      </c>
      <c r="I43" s="204"/>
      <c r="J43" s="205"/>
      <c r="K43" s="204" t="s">
        <v>215</v>
      </c>
      <c r="L43" s="205"/>
      <c r="M43" s="204"/>
      <c r="N43" s="205"/>
      <c r="O43" s="204" t="s">
        <v>132</v>
      </c>
      <c r="P43" s="205"/>
      <c r="Q43" s="204"/>
      <c r="R43" s="205"/>
      <c r="S43" s="204"/>
      <c r="T43" s="205"/>
      <c r="U43" s="204"/>
      <c r="V43" s="205"/>
    </row>
    <row r="44" spans="1:22" ht="17.5" thickBot="1" x14ac:dyDescent="0.5">
      <c r="A44" s="195" t="s">
        <v>247</v>
      </c>
      <c r="B44" s="37">
        <f>COUNTIF(I:AL,"김혜정")</f>
        <v>1</v>
      </c>
      <c r="C44" s="193" t="s">
        <v>233</v>
      </c>
      <c r="D44" s="194">
        <f>COUNTIF(K:AN,"이소영;")</f>
        <v>1</v>
      </c>
      <c r="E44" s="37"/>
      <c r="F44" s="188"/>
      <c r="H44" s="610"/>
      <c r="I44" s="207"/>
      <c r="J44" s="208"/>
      <c r="K44" s="207"/>
      <c r="L44" s="208"/>
      <c r="M44" s="207"/>
      <c r="N44" s="208"/>
      <c r="O44" s="207"/>
      <c r="P44" s="208"/>
      <c r="Q44" s="207"/>
      <c r="R44" s="208"/>
      <c r="S44" s="207"/>
      <c r="T44" s="208"/>
      <c r="U44" s="207"/>
      <c r="V44" s="208"/>
    </row>
    <row r="45" spans="1:22" ht="17.5" thickTop="1" x14ac:dyDescent="0.45">
      <c r="A45" s="196"/>
      <c r="C45" s="193" t="s">
        <v>238</v>
      </c>
      <c r="D45" s="194">
        <f>COUNTIF(K:AN,"이기찬;")</f>
        <v>1</v>
      </c>
      <c r="E45" s="37"/>
      <c r="F45" s="188"/>
      <c r="H45" s="609">
        <v>5</v>
      </c>
      <c r="I45" s="204"/>
      <c r="J45" s="205"/>
      <c r="K45" s="204" t="s">
        <v>100</v>
      </c>
      <c r="L45" s="206"/>
      <c r="M45" s="204"/>
      <c r="N45" s="205"/>
      <c r="O45" s="204" t="s">
        <v>239</v>
      </c>
      <c r="P45" s="205"/>
      <c r="Q45" s="204"/>
      <c r="R45" s="205"/>
      <c r="S45" s="204"/>
      <c r="T45" s="205"/>
      <c r="U45" s="204" t="s">
        <v>215</v>
      </c>
      <c r="V45" s="205"/>
    </row>
    <row r="46" spans="1:22" ht="17.5" thickBot="1" x14ac:dyDescent="0.5">
      <c r="A46" s="196"/>
      <c r="C46" s="193" t="s">
        <v>245</v>
      </c>
      <c r="D46" s="194">
        <f>COUNTIF(K:AN,"채린;")</f>
        <v>0</v>
      </c>
      <c r="E46" s="37"/>
      <c r="F46" s="188"/>
      <c r="H46" s="610"/>
      <c r="I46" s="207"/>
      <c r="J46" s="208"/>
      <c r="K46" s="215"/>
      <c r="L46" s="216"/>
      <c r="M46" s="207"/>
      <c r="N46" s="208"/>
      <c r="O46" s="207"/>
      <c r="P46" s="208"/>
      <c r="Q46" s="207"/>
      <c r="R46" s="208"/>
      <c r="S46" s="207"/>
      <c r="T46" s="208"/>
      <c r="U46" s="207"/>
      <c r="V46" s="208"/>
    </row>
    <row r="47" spans="1:22" ht="17.5" thickTop="1" x14ac:dyDescent="0.45">
      <c r="A47" s="195"/>
      <c r="B47" s="37"/>
      <c r="C47" s="193"/>
      <c r="D47" s="194"/>
      <c r="E47" s="37"/>
      <c r="F47" s="188"/>
      <c r="H47" s="609">
        <v>6</v>
      </c>
      <c r="I47" s="204"/>
      <c r="J47" s="205"/>
      <c r="K47" s="204" t="s">
        <v>248</v>
      </c>
      <c r="L47" s="205" t="s">
        <v>257</v>
      </c>
      <c r="M47" s="204" t="s">
        <v>250</v>
      </c>
      <c r="N47" s="205" t="s">
        <v>246</v>
      </c>
      <c r="O47" s="204"/>
      <c r="P47" s="205"/>
      <c r="Q47" s="204"/>
      <c r="R47" s="205"/>
      <c r="S47" s="204"/>
      <c r="T47" s="205"/>
      <c r="U47" s="204"/>
      <c r="V47" s="205"/>
    </row>
    <row r="48" spans="1:22" x14ac:dyDescent="0.45">
      <c r="A48" s="187"/>
      <c r="B48" s="37"/>
      <c r="C48" s="193"/>
      <c r="D48" s="194"/>
      <c r="E48" s="37"/>
      <c r="F48" s="188"/>
      <c r="H48" s="609"/>
      <c r="I48" s="204"/>
      <c r="J48" s="205"/>
      <c r="K48" s="204" t="s">
        <v>249</v>
      </c>
      <c r="L48" s="205"/>
      <c r="M48" s="204"/>
      <c r="N48" s="205"/>
      <c r="O48" s="204"/>
      <c r="P48" s="205"/>
      <c r="Q48" s="204"/>
      <c r="R48" s="205"/>
      <c r="S48" s="204"/>
      <c r="T48" s="205"/>
      <c r="U48" s="204"/>
      <c r="V48" s="205"/>
    </row>
    <row r="49" spans="1:22" ht="17.5" thickBot="1" x14ac:dyDescent="0.5">
      <c r="A49" s="197"/>
      <c r="B49" s="198"/>
      <c r="C49" s="199"/>
      <c r="D49" s="200"/>
      <c r="E49" s="198"/>
      <c r="F49" s="201"/>
      <c r="H49" s="609"/>
      <c r="I49" s="204"/>
      <c r="J49" s="205"/>
      <c r="K49" s="204"/>
      <c r="L49" s="205"/>
      <c r="M49" s="204"/>
      <c r="N49" s="205"/>
      <c r="O49" s="204"/>
      <c r="P49" s="205"/>
      <c r="Q49" s="204"/>
      <c r="R49" s="205"/>
      <c r="S49" s="204"/>
      <c r="T49" s="205"/>
      <c r="U49" s="204"/>
      <c r="V49" s="205"/>
    </row>
    <row r="50" spans="1:22" ht="18" thickTop="1" thickBot="1" x14ac:dyDescent="0.5">
      <c r="H50" s="610"/>
      <c r="I50" s="207"/>
      <c r="J50" s="208"/>
      <c r="K50" s="207"/>
      <c r="L50" s="208"/>
      <c r="M50" s="207"/>
      <c r="N50" s="208"/>
      <c r="O50" s="207"/>
      <c r="P50" s="208"/>
      <c r="Q50" s="207"/>
      <c r="R50" s="208"/>
      <c r="S50" s="207"/>
      <c r="T50" s="208"/>
      <c r="U50" s="207"/>
      <c r="V50" s="208"/>
    </row>
    <row r="51" spans="1:22" ht="17.5" thickTop="1" x14ac:dyDescent="0.45">
      <c r="H51" s="609">
        <v>7</v>
      </c>
      <c r="I51" s="204"/>
      <c r="J51" s="205"/>
      <c r="K51" s="204"/>
      <c r="L51" s="205"/>
      <c r="M51" s="204"/>
      <c r="N51" s="205"/>
      <c r="O51" s="204"/>
      <c r="P51" s="205"/>
      <c r="Q51" s="204"/>
      <c r="R51" s="205"/>
      <c r="S51" s="204"/>
      <c r="T51" s="205"/>
      <c r="U51" s="204"/>
      <c r="V51" s="205"/>
    </row>
    <row r="52" spans="1:22" ht="17.5" thickBot="1" x14ac:dyDescent="0.5">
      <c r="H52" s="610"/>
      <c r="I52" s="207"/>
      <c r="J52" s="208"/>
      <c r="K52" s="207"/>
      <c r="L52" s="208"/>
      <c r="M52" s="207"/>
      <c r="N52" s="208"/>
      <c r="O52" s="207"/>
      <c r="P52" s="208"/>
      <c r="Q52" s="207"/>
      <c r="R52" s="208"/>
      <c r="S52" s="207"/>
      <c r="T52" s="208"/>
      <c r="U52" s="207"/>
      <c r="V52" s="208"/>
    </row>
    <row r="53" spans="1:22" ht="18" thickTop="1" thickBot="1" x14ac:dyDescent="0.5"/>
    <row r="54" spans="1:22" ht="27" thickTop="1" thickBot="1" x14ac:dyDescent="0.5">
      <c r="A54" s="182" t="s">
        <v>216</v>
      </c>
      <c r="B54" s="183"/>
      <c r="C54" s="182" t="s">
        <v>217</v>
      </c>
      <c r="D54" s="184" t="s">
        <v>218</v>
      </c>
      <c r="E54" s="182" t="s">
        <v>219</v>
      </c>
      <c r="F54" s="184" t="s">
        <v>220</v>
      </c>
      <c r="H54" s="611" t="s">
        <v>258</v>
      </c>
      <c r="I54" s="612"/>
      <c r="J54" s="613"/>
      <c r="K54" s="185"/>
      <c r="L54" s="186"/>
      <c r="M54" s="186"/>
      <c r="N54" s="186"/>
      <c r="O54" s="186"/>
      <c r="P54" s="186"/>
      <c r="Q54" s="186"/>
      <c r="R54" s="186"/>
      <c r="S54" s="186"/>
      <c r="T54" s="186"/>
      <c r="U54" s="186"/>
      <c r="V54" s="186"/>
    </row>
    <row r="55" spans="1:22" ht="26.5" thickTop="1" thickBot="1" x14ac:dyDescent="0.5">
      <c r="A55" s="187" t="s">
        <v>203</v>
      </c>
      <c r="B55" s="37">
        <f>COUNTIF(I:AL,"우리인력")</f>
        <v>8</v>
      </c>
      <c r="C55" s="37" t="s">
        <v>222</v>
      </c>
      <c r="D55" s="37">
        <f>COUNTIF(I:AL,"고영숙;")</f>
        <v>7</v>
      </c>
      <c r="E55" s="37" t="s">
        <v>10</v>
      </c>
      <c r="F55" s="188">
        <f>COUNTIF(I:AL,"고영숙]")</f>
        <v>0</v>
      </c>
      <c r="H55" s="189"/>
      <c r="I55" s="608">
        <v>15</v>
      </c>
      <c r="J55" s="608"/>
      <c r="K55" s="608">
        <v>16</v>
      </c>
      <c r="L55" s="608"/>
      <c r="M55" s="608">
        <v>17</v>
      </c>
      <c r="N55" s="608"/>
      <c r="O55" s="608">
        <v>18</v>
      </c>
      <c r="P55" s="608"/>
      <c r="Q55" s="608">
        <v>19</v>
      </c>
      <c r="R55" s="608"/>
      <c r="S55" s="608">
        <v>20</v>
      </c>
      <c r="T55" s="608"/>
      <c r="U55" s="608">
        <v>21</v>
      </c>
      <c r="V55" s="608"/>
    </row>
    <row r="56" spans="1:22" ht="26.5" thickTop="1" thickBot="1" x14ac:dyDescent="0.5">
      <c r="A56" s="187" t="s">
        <v>255</v>
      </c>
      <c r="B56" s="37">
        <f>COUNTIF(I:AL,"김혜숙")</f>
        <v>9</v>
      </c>
      <c r="C56" s="37" t="s">
        <v>223</v>
      </c>
      <c r="D56" s="37">
        <f>COUNTIF(I:AL,"공하정;")</f>
        <v>4</v>
      </c>
      <c r="E56" s="37" t="s">
        <v>223</v>
      </c>
      <c r="F56" s="188">
        <f>COUNTIF(I:AL,"공하정]")</f>
        <v>0</v>
      </c>
      <c r="H56" s="190"/>
      <c r="I56" s="607" t="s">
        <v>224</v>
      </c>
      <c r="J56" s="607"/>
      <c r="K56" s="607" t="s">
        <v>225</v>
      </c>
      <c r="L56" s="607"/>
      <c r="M56" s="607" t="s">
        <v>226</v>
      </c>
      <c r="N56" s="607"/>
      <c r="O56" s="607" t="s">
        <v>227</v>
      </c>
      <c r="P56" s="607"/>
      <c r="Q56" s="607" t="s">
        <v>228</v>
      </c>
      <c r="R56" s="607"/>
      <c r="S56" s="607" t="s">
        <v>229</v>
      </c>
      <c r="T56" s="607"/>
      <c r="U56" s="607" t="s">
        <v>230</v>
      </c>
      <c r="V56" s="607"/>
    </row>
    <row r="57" spans="1:22" ht="17.5" thickTop="1" x14ac:dyDescent="0.45">
      <c r="A57" s="187" t="s">
        <v>231</v>
      </c>
      <c r="B57" s="37">
        <f>COUNTIF(I:AL,"배이준")</f>
        <v>4</v>
      </c>
      <c r="C57" s="37" t="s">
        <v>232</v>
      </c>
      <c r="D57" s="37">
        <f>COUNTIF(I:AL,"김다정;")</f>
        <v>0</v>
      </c>
      <c r="E57" s="37" t="s">
        <v>233</v>
      </c>
      <c r="F57" s="188">
        <f>COUNTIF(I:AL,"이소영]")</f>
        <v>0</v>
      </c>
      <c r="H57" s="614">
        <v>10</v>
      </c>
      <c r="I57" s="204" t="s">
        <v>203</v>
      </c>
      <c r="J57" s="203"/>
      <c r="K57" s="202"/>
      <c r="L57" s="203"/>
      <c r="M57" s="204"/>
      <c r="N57" s="203"/>
      <c r="O57" s="202" t="s">
        <v>203</v>
      </c>
      <c r="P57" s="203"/>
      <c r="Q57" s="202"/>
      <c r="R57" s="203"/>
      <c r="S57" s="202"/>
      <c r="T57" s="203"/>
      <c r="U57" s="202"/>
      <c r="V57" s="203"/>
    </row>
    <row r="58" spans="1:22" ht="17.5" thickBot="1" x14ac:dyDescent="0.5">
      <c r="A58" s="187" t="s">
        <v>234</v>
      </c>
      <c r="B58" s="37">
        <f>COUNTIF(I:AL,"신하린")</f>
        <v>2</v>
      </c>
      <c r="C58" s="37" t="s">
        <v>235</v>
      </c>
      <c r="D58" s="37">
        <f>COUNTIF(I:AL,"김용;")</f>
        <v>4</v>
      </c>
      <c r="E58" s="37" t="s">
        <v>236</v>
      </c>
      <c r="F58" s="188">
        <f>COUNTIF(I:AL,"임하린]")</f>
        <v>0</v>
      </c>
      <c r="H58" s="610"/>
      <c r="I58" s="207"/>
      <c r="J58" s="208"/>
      <c r="K58" s="207"/>
      <c r="L58" s="208"/>
      <c r="M58" s="207"/>
      <c r="N58" s="208"/>
      <c r="O58" s="207"/>
      <c r="P58" s="208"/>
      <c r="Q58" s="207"/>
      <c r="R58" s="208"/>
      <c r="S58" s="207"/>
      <c r="T58" s="208"/>
      <c r="U58" s="207"/>
      <c r="V58" s="208"/>
    </row>
    <row r="59" spans="1:22" ht="17.5" thickTop="1" x14ac:dyDescent="0.45">
      <c r="A59" s="187" t="s">
        <v>215</v>
      </c>
      <c r="B59" s="37">
        <f>COUNTIF(I:AL,"아름다움")</f>
        <v>7</v>
      </c>
      <c r="C59" s="37" t="s">
        <v>237</v>
      </c>
      <c r="D59" s="37">
        <f>COUNTIF(I:AL,"윤분숙;")</f>
        <v>0</v>
      </c>
      <c r="F59" s="188"/>
      <c r="H59" s="609">
        <v>11</v>
      </c>
      <c r="I59" s="204"/>
      <c r="J59" s="205"/>
      <c r="K59" s="204" t="s">
        <v>138</v>
      </c>
      <c r="L59" s="205"/>
      <c r="M59" s="204"/>
      <c r="N59" s="205"/>
      <c r="O59" s="204" t="s">
        <v>138</v>
      </c>
      <c r="P59" s="205"/>
      <c r="Q59" s="204"/>
      <c r="R59" s="205"/>
      <c r="S59" s="204" t="s">
        <v>74</v>
      </c>
      <c r="T59" s="205"/>
      <c r="U59" s="204"/>
      <c r="V59" s="205"/>
    </row>
    <row r="60" spans="1:22" ht="17.5" thickBot="1" x14ac:dyDescent="0.5">
      <c r="A60" s="187" t="s">
        <v>238</v>
      </c>
      <c r="B60" s="37">
        <f>COUNTIF(I:AL,"이기찬")</f>
        <v>5</v>
      </c>
      <c r="C60" s="37" t="s">
        <v>256</v>
      </c>
      <c r="D60" s="37">
        <f>COUNTIF(I:AL,"이말직;")</f>
        <v>0</v>
      </c>
      <c r="E60" s="37"/>
      <c r="F60" s="188"/>
      <c r="H60" s="610"/>
      <c r="I60" s="207"/>
      <c r="J60" s="208"/>
      <c r="K60" s="207"/>
      <c r="L60" s="208"/>
      <c r="M60" s="207"/>
      <c r="N60" s="208"/>
      <c r="O60" s="207"/>
      <c r="P60" s="208"/>
      <c r="Q60" s="207"/>
      <c r="R60" s="208"/>
      <c r="S60" s="207"/>
      <c r="T60" s="208"/>
      <c r="U60" s="207"/>
      <c r="V60" s="208"/>
    </row>
    <row r="61" spans="1:22" ht="17.5" thickTop="1" x14ac:dyDescent="0.45">
      <c r="A61" s="187" t="s">
        <v>239</v>
      </c>
      <c r="B61" s="37">
        <f>COUNTIF(I:AL,"초빈초연")</f>
        <v>6</v>
      </c>
      <c r="C61" s="37" t="s">
        <v>159</v>
      </c>
      <c r="D61" s="37">
        <f>COUNTIF(I:AL,"최임이;")</f>
        <v>2</v>
      </c>
      <c r="E61" s="37"/>
      <c r="F61" s="188"/>
      <c r="H61" s="609">
        <v>12</v>
      </c>
      <c r="I61" s="204"/>
      <c r="J61" s="205"/>
      <c r="K61" s="204"/>
      <c r="L61" s="205"/>
      <c r="M61" s="204"/>
      <c r="N61" s="205"/>
      <c r="O61" s="204"/>
      <c r="P61" s="205"/>
      <c r="Q61" s="204"/>
      <c r="R61" s="205"/>
      <c r="S61" s="204"/>
      <c r="T61" s="205"/>
      <c r="U61" s="204"/>
      <c r="V61" s="205"/>
    </row>
    <row r="62" spans="1:22" ht="17.5" thickBot="1" x14ac:dyDescent="0.5">
      <c r="A62" s="187" t="s">
        <v>233</v>
      </c>
      <c r="B62" s="37">
        <f>COUNTIF(I:AL,"이소영")</f>
        <v>1</v>
      </c>
      <c r="C62" s="37" t="s">
        <v>12</v>
      </c>
      <c r="D62" s="37">
        <f>COUNTIF(I:AL,"김혜정;")</f>
        <v>1</v>
      </c>
      <c r="E62" s="37"/>
      <c r="F62" s="188"/>
      <c r="H62" s="610"/>
      <c r="I62" s="207"/>
      <c r="J62" s="208"/>
      <c r="K62" s="207"/>
      <c r="L62" s="208"/>
      <c r="M62" s="207"/>
      <c r="N62" s="208"/>
      <c r="O62" s="207"/>
      <c r="P62" s="208"/>
      <c r="Q62" s="207"/>
      <c r="R62" s="208"/>
      <c r="S62" s="207"/>
      <c r="T62" s="208"/>
      <c r="U62" s="207"/>
      <c r="V62" s="208"/>
    </row>
    <row r="63" spans="1:22" ht="17.5" thickTop="1" x14ac:dyDescent="0.45">
      <c r="A63" s="187" t="s">
        <v>240</v>
      </c>
      <c r="B63" s="37">
        <f>COUNTIF(I:AL,"임하령")</f>
        <v>2</v>
      </c>
      <c r="C63" s="191" t="s">
        <v>236</v>
      </c>
      <c r="D63" s="192">
        <f>COUNTIF(K:AN,"임하린;")</f>
        <v>2</v>
      </c>
      <c r="E63" s="37"/>
      <c r="F63" s="188"/>
      <c r="H63" s="609">
        <v>1</v>
      </c>
      <c r="I63" s="204"/>
      <c r="J63" s="205"/>
      <c r="K63" s="204"/>
      <c r="L63" s="205"/>
      <c r="M63" s="204"/>
      <c r="N63" s="205"/>
      <c r="O63" s="204"/>
      <c r="P63" s="205"/>
      <c r="Q63" s="204"/>
      <c r="R63" s="205"/>
      <c r="S63" s="204" t="s">
        <v>134</v>
      </c>
      <c r="T63" s="205"/>
      <c r="U63" s="204"/>
      <c r="V63" s="205"/>
    </row>
    <row r="64" spans="1:22" ht="17.5" thickBot="1" x14ac:dyDescent="0.5">
      <c r="A64" s="187" t="s">
        <v>236</v>
      </c>
      <c r="B64" s="37">
        <f>COUNTIF(I:AL,"임하린")</f>
        <v>4</v>
      </c>
      <c r="C64" s="193" t="s">
        <v>241</v>
      </c>
      <c r="D64" s="194">
        <f>COUNTIF(K:AN,"정지원;")</f>
        <v>2</v>
      </c>
      <c r="E64" s="37"/>
      <c r="F64" s="188"/>
      <c r="H64" s="610"/>
      <c r="I64" s="207"/>
      <c r="J64" s="208"/>
      <c r="K64" s="207"/>
      <c r="L64" s="208"/>
      <c r="M64" s="207"/>
      <c r="N64" s="208"/>
      <c r="O64" s="207"/>
      <c r="P64" s="208"/>
      <c r="Q64" s="207"/>
      <c r="R64" s="208"/>
      <c r="S64" s="207"/>
      <c r="T64" s="208"/>
      <c r="U64" s="207"/>
      <c r="V64" s="208"/>
    </row>
    <row r="65" spans="1:22" ht="17.5" thickTop="1" x14ac:dyDescent="0.45">
      <c r="A65" s="195" t="s">
        <v>241</v>
      </c>
      <c r="B65" s="37">
        <f>COUNTIF(I:AL,"정지원")</f>
        <v>3</v>
      </c>
      <c r="C65" s="193" t="s">
        <v>239</v>
      </c>
      <c r="D65" s="194">
        <f>COUNTIF(K:AN,"초빈초연;")</f>
        <v>4</v>
      </c>
      <c r="E65" s="37"/>
      <c r="F65" s="188"/>
      <c r="H65" s="609">
        <v>2</v>
      </c>
      <c r="I65" s="204"/>
      <c r="J65" s="205"/>
      <c r="K65" s="204"/>
      <c r="L65" s="205"/>
      <c r="M65" s="204"/>
      <c r="N65" s="205"/>
      <c r="O65" s="204"/>
      <c r="P65" s="205"/>
      <c r="Q65" s="204"/>
      <c r="R65" s="205"/>
      <c r="S65" s="204" t="s">
        <v>259</v>
      </c>
      <c r="T65" s="205"/>
      <c r="U65" s="204"/>
      <c r="V65" s="205"/>
    </row>
    <row r="66" spans="1:22" ht="17.5" thickBot="1" x14ac:dyDescent="0.5">
      <c r="A66" s="195" t="s">
        <v>157</v>
      </c>
      <c r="B66" s="37">
        <f>COUNTIF(I:AL,"최은실")</f>
        <v>2</v>
      </c>
      <c r="C66" s="193" t="s">
        <v>215</v>
      </c>
      <c r="D66" s="194">
        <f>COUNTIF(K:AN,"아름다움;")</f>
        <v>3</v>
      </c>
      <c r="E66" s="37"/>
      <c r="F66" s="188"/>
      <c r="H66" s="610"/>
      <c r="I66" s="207"/>
      <c r="J66" s="208"/>
      <c r="K66" s="207"/>
      <c r="L66" s="208"/>
      <c r="M66" s="207"/>
      <c r="N66" s="208"/>
      <c r="O66" s="207"/>
      <c r="P66" s="208"/>
      <c r="Q66" s="207"/>
      <c r="R66" s="208"/>
      <c r="S66" s="207"/>
      <c r="T66" s="208"/>
      <c r="U66" s="207"/>
      <c r="V66" s="208"/>
    </row>
    <row r="67" spans="1:22" ht="17.5" thickTop="1" x14ac:dyDescent="0.45">
      <c r="A67" s="195" t="s">
        <v>242</v>
      </c>
      <c r="B67" s="37">
        <f>COUNTIF(I:AL,"박창민")</f>
        <v>0</v>
      </c>
      <c r="C67" s="193" t="s">
        <v>242</v>
      </c>
      <c r="D67" s="194">
        <f>COUNTIF(K:AN,"박창민;")</f>
        <v>0</v>
      </c>
      <c r="E67" s="37"/>
      <c r="F67" s="188"/>
      <c r="H67" s="609">
        <v>3</v>
      </c>
      <c r="I67" s="204"/>
      <c r="J67" s="205"/>
      <c r="K67" s="204"/>
      <c r="L67" s="205"/>
      <c r="M67" s="204"/>
      <c r="N67" s="205"/>
      <c r="O67" s="204" t="s">
        <v>20</v>
      </c>
      <c r="P67" s="205"/>
      <c r="Q67" s="204"/>
      <c r="R67" s="205"/>
      <c r="S67" s="204"/>
      <c r="T67" s="205"/>
      <c r="U67" s="204"/>
      <c r="V67" s="205"/>
    </row>
    <row r="68" spans="1:22" ht="17.5" thickBot="1" x14ac:dyDescent="0.5">
      <c r="A68" s="195" t="s">
        <v>245</v>
      </c>
      <c r="B68" s="37">
        <f>COUNTIF(I:AL,"채린")</f>
        <v>0</v>
      </c>
      <c r="C68" s="193" t="s">
        <v>231</v>
      </c>
      <c r="D68" s="194">
        <f>COUNTIF(K:AN,"배이준;")</f>
        <v>3</v>
      </c>
      <c r="E68" s="37"/>
      <c r="F68" s="188"/>
      <c r="H68" s="610"/>
      <c r="I68" s="207"/>
      <c r="J68" s="208"/>
      <c r="K68" s="207"/>
      <c r="L68" s="208"/>
      <c r="M68" s="207"/>
      <c r="N68" s="208"/>
      <c r="O68" s="207"/>
      <c r="P68" s="208"/>
      <c r="Q68" s="207"/>
      <c r="R68" s="208"/>
      <c r="S68" s="207"/>
      <c r="T68" s="208"/>
      <c r="U68" s="207"/>
      <c r="V68" s="208"/>
    </row>
    <row r="69" spans="1:22" ht="17.5" thickTop="1" x14ac:dyDescent="0.45">
      <c r="A69" s="195" t="s">
        <v>159</v>
      </c>
      <c r="B69" s="37">
        <f>COUNTIF(I:AL,"최임이")</f>
        <v>0</v>
      </c>
      <c r="C69" s="193" t="s">
        <v>240</v>
      </c>
      <c r="D69" s="194">
        <f>COUNTIF(K:AN,"임하령;")</f>
        <v>0</v>
      </c>
      <c r="E69" s="37"/>
      <c r="F69" s="188"/>
      <c r="H69" s="609">
        <v>4</v>
      </c>
      <c r="I69" s="204"/>
      <c r="J69" s="205"/>
      <c r="K69" s="204"/>
      <c r="L69" s="205"/>
      <c r="M69" s="204"/>
      <c r="N69" s="205"/>
      <c r="O69" s="204" t="s">
        <v>132</v>
      </c>
      <c r="P69" s="205"/>
      <c r="Q69" s="204"/>
      <c r="R69" s="205"/>
      <c r="S69" s="204"/>
      <c r="T69" s="205"/>
      <c r="U69" s="204"/>
      <c r="V69" s="205"/>
    </row>
    <row r="70" spans="1:22" ht="17.5" thickBot="1" x14ac:dyDescent="0.5">
      <c r="A70" s="195" t="s">
        <v>247</v>
      </c>
      <c r="B70" s="37">
        <f>COUNTIF(I:AL,"김혜정")</f>
        <v>1</v>
      </c>
      <c r="C70" s="193" t="s">
        <v>233</v>
      </c>
      <c r="D70" s="194">
        <f>COUNTIF(K:AN,"이소영;")</f>
        <v>1</v>
      </c>
      <c r="E70" s="37"/>
      <c r="F70" s="188"/>
      <c r="H70" s="610"/>
      <c r="I70" s="207"/>
      <c r="J70" s="208"/>
      <c r="K70" s="207"/>
      <c r="L70" s="208"/>
      <c r="M70" s="207"/>
      <c r="N70" s="208"/>
      <c r="O70" s="207"/>
      <c r="P70" s="208"/>
      <c r="Q70" s="207"/>
      <c r="R70" s="208"/>
      <c r="S70" s="207"/>
      <c r="T70" s="208"/>
      <c r="U70" s="207"/>
      <c r="V70" s="208"/>
    </row>
    <row r="71" spans="1:22" ht="17.5" thickTop="1" x14ac:dyDescent="0.45">
      <c r="A71" s="196"/>
      <c r="C71" s="193" t="s">
        <v>238</v>
      </c>
      <c r="D71" s="194">
        <f>COUNTIF(K:AN,"이기찬;")</f>
        <v>1</v>
      </c>
      <c r="E71" s="37"/>
      <c r="F71" s="188"/>
      <c r="H71" s="609">
        <v>5</v>
      </c>
      <c r="I71" s="204"/>
      <c r="J71" s="205"/>
      <c r="K71" s="204" t="s">
        <v>239</v>
      </c>
      <c r="L71" s="206" t="s">
        <v>215</v>
      </c>
      <c r="M71" s="204" t="s">
        <v>129</v>
      </c>
      <c r="N71" s="205"/>
      <c r="O71" s="204" t="s">
        <v>239</v>
      </c>
      <c r="P71" s="205"/>
      <c r="Q71" s="204"/>
      <c r="R71" s="205"/>
      <c r="S71" s="204"/>
      <c r="T71" s="205"/>
      <c r="U71" s="204"/>
      <c r="V71" s="205"/>
    </row>
    <row r="72" spans="1:22" ht="17.5" thickBot="1" x14ac:dyDescent="0.5">
      <c r="A72" s="196"/>
      <c r="C72" s="193" t="s">
        <v>245</v>
      </c>
      <c r="D72" s="194">
        <f>COUNTIF(K:AN,"채린;")</f>
        <v>0</v>
      </c>
      <c r="E72" s="37"/>
      <c r="F72" s="188"/>
      <c r="H72" s="610"/>
      <c r="I72" s="207"/>
      <c r="J72" s="208"/>
      <c r="K72" s="215"/>
      <c r="L72" s="216"/>
      <c r="M72" s="207"/>
      <c r="N72" s="208"/>
      <c r="O72" s="207" t="s">
        <v>215</v>
      </c>
      <c r="P72" s="208"/>
      <c r="Q72" s="207"/>
      <c r="R72" s="208"/>
      <c r="S72" s="207"/>
      <c r="T72" s="208"/>
      <c r="U72" s="207"/>
      <c r="V72" s="208"/>
    </row>
    <row r="73" spans="1:22" ht="17.5" thickTop="1" x14ac:dyDescent="0.45">
      <c r="A73" s="195"/>
      <c r="B73" s="37"/>
      <c r="C73" s="193"/>
      <c r="D73" s="194"/>
      <c r="E73" s="37"/>
      <c r="F73" s="188"/>
      <c r="H73" s="609">
        <v>6</v>
      </c>
      <c r="I73" s="204"/>
      <c r="J73" s="205"/>
      <c r="K73" s="204" t="s">
        <v>248</v>
      </c>
      <c r="L73" s="205" t="s">
        <v>257</v>
      </c>
      <c r="M73" s="204"/>
      <c r="N73" s="205"/>
      <c r="O73" s="204"/>
      <c r="P73" s="205"/>
      <c r="Q73" s="204"/>
      <c r="R73" s="205"/>
      <c r="S73" s="204"/>
      <c r="T73" s="205"/>
      <c r="U73" s="204"/>
      <c r="V73" s="205"/>
    </row>
    <row r="74" spans="1:22" x14ac:dyDescent="0.45">
      <c r="A74" s="187"/>
      <c r="B74" s="37"/>
      <c r="C74" s="193"/>
      <c r="D74" s="194"/>
      <c r="E74" s="37"/>
      <c r="F74" s="188"/>
      <c r="H74" s="609"/>
      <c r="I74" s="204"/>
      <c r="J74" s="205"/>
      <c r="K74" s="204" t="s">
        <v>249</v>
      </c>
      <c r="L74" s="205" t="s">
        <v>260</v>
      </c>
      <c r="M74" s="204"/>
      <c r="N74" s="205"/>
      <c r="O74" s="204"/>
      <c r="P74" s="205"/>
      <c r="Q74" s="204"/>
      <c r="R74" s="205"/>
      <c r="S74" s="204"/>
      <c r="T74" s="205"/>
      <c r="U74" s="204"/>
      <c r="V74" s="205"/>
    </row>
    <row r="75" spans="1:22" ht="17.5" thickBot="1" x14ac:dyDescent="0.5">
      <c r="A75" s="197"/>
      <c r="B75" s="198"/>
      <c r="C75" s="199"/>
      <c r="D75" s="200"/>
      <c r="E75" s="198"/>
      <c r="F75" s="201"/>
      <c r="H75" s="609"/>
      <c r="I75" s="204"/>
      <c r="J75" s="205"/>
      <c r="K75" s="204"/>
      <c r="L75" s="205"/>
      <c r="M75" s="204"/>
      <c r="N75" s="205"/>
      <c r="O75" s="204"/>
      <c r="P75" s="205"/>
      <c r="Q75" s="204"/>
      <c r="R75" s="205"/>
      <c r="S75" s="204"/>
      <c r="T75" s="205"/>
      <c r="U75" s="204"/>
      <c r="V75" s="205"/>
    </row>
    <row r="76" spans="1:22" ht="18" thickTop="1" thickBot="1" x14ac:dyDescent="0.5">
      <c r="H76" s="610"/>
      <c r="I76" s="207"/>
      <c r="J76" s="208"/>
      <c r="K76" s="207"/>
      <c r="L76" s="208"/>
      <c r="M76" s="207"/>
      <c r="N76" s="208"/>
      <c r="O76" s="207"/>
      <c r="P76" s="208"/>
      <c r="Q76" s="207"/>
      <c r="R76" s="208"/>
      <c r="S76" s="207"/>
      <c r="T76" s="208"/>
      <c r="U76" s="207"/>
      <c r="V76" s="208"/>
    </row>
    <row r="77" spans="1:22" ht="17.5" thickTop="1" x14ac:dyDescent="0.45">
      <c r="H77" s="609">
        <v>7</v>
      </c>
      <c r="I77" s="204"/>
      <c r="J77" s="205"/>
      <c r="K77" s="204"/>
      <c r="L77" s="205"/>
      <c r="M77" s="204"/>
      <c r="N77" s="205"/>
      <c r="O77" s="204"/>
      <c r="P77" s="205"/>
      <c r="Q77" s="204"/>
      <c r="R77" s="205"/>
      <c r="S77" s="204"/>
      <c r="T77" s="205"/>
      <c r="U77" s="204"/>
      <c r="V77" s="205"/>
    </row>
    <row r="78" spans="1:22" ht="17.5" thickBot="1" x14ac:dyDescent="0.5">
      <c r="H78" s="610"/>
      <c r="I78" s="207"/>
      <c r="J78" s="208"/>
      <c r="K78" s="207"/>
      <c r="L78" s="208"/>
      <c r="M78" s="207"/>
      <c r="N78" s="208"/>
      <c r="O78" s="207"/>
      <c r="P78" s="208"/>
      <c r="Q78" s="207"/>
      <c r="R78" s="208"/>
      <c r="S78" s="207"/>
      <c r="T78" s="208"/>
      <c r="U78" s="207"/>
      <c r="V78" s="208"/>
    </row>
    <row r="79" spans="1:22" ht="18" thickTop="1" thickBot="1" x14ac:dyDescent="0.5">
      <c r="H79" s="186"/>
      <c r="I79" s="214"/>
      <c r="J79" s="214"/>
      <c r="K79" s="212"/>
      <c r="L79" s="212"/>
      <c r="M79" s="212"/>
      <c r="N79" s="212"/>
      <c r="O79" s="212"/>
      <c r="P79" s="212"/>
      <c r="Q79" s="212"/>
      <c r="R79" s="212"/>
      <c r="S79" s="212"/>
      <c r="T79" s="212"/>
      <c r="U79" s="212"/>
      <c r="V79" s="212"/>
    </row>
    <row r="80" spans="1:22" ht="27" thickTop="1" thickBot="1" x14ac:dyDescent="0.5">
      <c r="A80" s="182" t="s">
        <v>216</v>
      </c>
      <c r="B80" s="183"/>
      <c r="C80" s="182" t="s">
        <v>217</v>
      </c>
      <c r="D80" s="184" t="s">
        <v>218</v>
      </c>
      <c r="E80" s="182" t="s">
        <v>219</v>
      </c>
      <c r="F80" s="184" t="s">
        <v>220</v>
      </c>
      <c r="H80" s="617" t="s">
        <v>261</v>
      </c>
      <c r="I80" s="621"/>
      <c r="J80" s="622"/>
      <c r="K80" s="185"/>
      <c r="L80" s="186"/>
      <c r="M80" s="186"/>
      <c r="N80" s="186"/>
      <c r="O80" s="186"/>
      <c r="P80" s="186"/>
      <c r="Q80" s="186"/>
      <c r="R80" s="186"/>
      <c r="S80" s="186"/>
      <c r="T80" s="186"/>
      <c r="U80" s="186"/>
      <c r="V80" s="186"/>
    </row>
    <row r="81" spans="1:22" ht="26.5" thickTop="1" thickBot="1" x14ac:dyDescent="0.5">
      <c r="A81" s="187" t="s">
        <v>203</v>
      </c>
      <c r="B81" s="37">
        <f>COUNTIF(I:AL,"우리인력")</f>
        <v>8</v>
      </c>
      <c r="C81" s="37" t="s">
        <v>222</v>
      </c>
      <c r="D81" s="37">
        <f>COUNTIF(I:AL,"고영숙;")</f>
        <v>7</v>
      </c>
      <c r="E81" s="37" t="s">
        <v>10</v>
      </c>
      <c r="F81" s="188">
        <f>COUNTIF(I:AL,"고영숙]")</f>
        <v>0</v>
      </c>
      <c r="H81" s="189"/>
      <c r="I81" s="608">
        <v>22</v>
      </c>
      <c r="J81" s="608"/>
      <c r="K81" s="608">
        <v>23</v>
      </c>
      <c r="L81" s="608"/>
      <c r="M81" s="608">
        <v>24</v>
      </c>
      <c r="N81" s="608"/>
      <c r="O81" s="608">
        <v>25</v>
      </c>
      <c r="P81" s="608"/>
      <c r="Q81" s="608">
        <v>26</v>
      </c>
      <c r="R81" s="608"/>
      <c r="S81" s="608">
        <v>27</v>
      </c>
      <c r="T81" s="608"/>
      <c r="U81" s="608">
        <v>28</v>
      </c>
      <c r="V81" s="608"/>
    </row>
    <row r="82" spans="1:22" ht="26.5" thickTop="1" thickBot="1" x14ac:dyDescent="0.5">
      <c r="A82" s="187" t="s">
        <v>255</v>
      </c>
      <c r="B82" s="37">
        <f>COUNTIF(I:AL,"김혜숙")</f>
        <v>9</v>
      </c>
      <c r="C82" s="37" t="s">
        <v>223</v>
      </c>
      <c r="D82" s="37">
        <f>COUNTIF(I:AL,"공하정;")</f>
        <v>4</v>
      </c>
      <c r="E82" s="37" t="s">
        <v>223</v>
      </c>
      <c r="F82" s="188">
        <f>COUNTIF(I:AL,"공하정]")</f>
        <v>0</v>
      </c>
      <c r="H82" s="190"/>
      <c r="I82" s="607" t="s">
        <v>224</v>
      </c>
      <c r="J82" s="607"/>
      <c r="K82" s="607" t="s">
        <v>225</v>
      </c>
      <c r="L82" s="607"/>
      <c r="M82" s="607" t="s">
        <v>226</v>
      </c>
      <c r="N82" s="607"/>
      <c r="O82" s="607" t="s">
        <v>227</v>
      </c>
      <c r="P82" s="607"/>
      <c r="Q82" s="607" t="s">
        <v>228</v>
      </c>
      <c r="R82" s="607"/>
      <c r="S82" s="607" t="s">
        <v>229</v>
      </c>
      <c r="T82" s="607"/>
      <c r="U82" s="607" t="s">
        <v>230</v>
      </c>
      <c r="V82" s="607"/>
    </row>
    <row r="83" spans="1:22" ht="17.5" thickTop="1" x14ac:dyDescent="0.45">
      <c r="A83" s="187" t="s">
        <v>231</v>
      </c>
      <c r="B83" s="37">
        <f>COUNTIF(I:AL,"배이준")</f>
        <v>4</v>
      </c>
      <c r="C83" s="37" t="s">
        <v>232</v>
      </c>
      <c r="D83" s="37">
        <f>COUNTIF(I:AL,"김다정;")</f>
        <v>0</v>
      </c>
      <c r="E83" s="37" t="s">
        <v>233</v>
      </c>
      <c r="F83" s="188">
        <f>COUNTIF(I:AL,"이소영]")</f>
        <v>0</v>
      </c>
      <c r="H83" s="614">
        <v>10</v>
      </c>
      <c r="I83" s="202"/>
      <c r="J83" s="203"/>
      <c r="K83" s="202" t="s">
        <v>203</v>
      </c>
      <c r="L83" s="203"/>
      <c r="M83" s="202"/>
      <c r="N83" s="203"/>
      <c r="O83" s="202" t="s">
        <v>203</v>
      </c>
      <c r="P83" s="203"/>
      <c r="Q83" s="202"/>
      <c r="R83" s="203"/>
      <c r="S83" s="202"/>
      <c r="T83" s="203"/>
      <c r="U83" s="202"/>
      <c r="V83" s="203"/>
    </row>
    <row r="84" spans="1:22" ht="17.5" thickBot="1" x14ac:dyDescent="0.5">
      <c r="A84" s="187" t="s">
        <v>234</v>
      </c>
      <c r="B84" s="37">
        <f>COUNTIF(I:AL,"신하린")</f>
        <v>2</v>
      </c>
      <c r="C84" s="37" t="s">
        <v>235</v>
      </c>
      <c r="D84" s="37">
        <f>COUNTIF(I:AL,"김용;")</f>
        <v>4</v>
      </c>
      <c r="E84" s="37" t="s">
        <v>236</v>
      </c>
      <c r="F84" s="188">
        <f>COUNTIF(I:AL,"임하린]")</f>
        <v>0</v>
      </c>
      <c r="H84" s="610"/>
      <c r="I84" s="207"/>
      <c r="J84" s="208"/>
      <c r="K84" s="207"/>
      <c r="L84" s="208"/>
      <c r="M84" s="207"/>
      <c r="N84" s="208"/>
      <c r="O84" s="207"/>
      <c r="P84" s="208"/>
      <c r="Q84" s="207"/>
      <c r="R84" s="208"/>
      <c r="S84" s="207"/>
      <c r="T84" s="208"/>
      <c r="U84" s="207"/>
      <c r="V84" s="208"/>
    </row>
    <row r="85" spans="1:22" ht="18" thickTop="1" thickBot="1" x14ac:dyDescent="0.5">
      <c r="A85" s="187" t="s">
        <v>215</v>
      </c>
      <c r="B85" s="37">
        <f>COUNTIF(I:AL,"아름다움")</f>
        <v>7</v>
      </c>
      <c r="C85" s="37" t="s">
        <v>237</v>
      </c>
      <c r="D85" s="37">
        <f>COUNTIF(I:AL,"윤분숙;")</f>
        <v>0</v>
      </c>
      <c r="F85" s="188"/>
      <c r="H85" s="620">
        <v>11</v>
      </c>
      <c r="I85" s="209"/>
      <c r="J85" s="203"/>
      <c r="K85" s="202" t="s">
        <v>138</v>
      </c>
      <c r="L85" s="203"/>
      <c r="M85" s="202"/>
      <c r="N85" s="203"/>
      <c r="O85" s="202" t="s">
        <v>138</v>
      </c>
      <c r="P85" s="203"/>
      <c r="Q85" s="202"/>
      <c r="R85" s="203"/>
      <c r="S85" s="202"/>
      <c r="T85" s="203"/>
      <c r="U85" s="202"/>
      <c r="V85" s="203"/>
    </row>
    <row r="86" spans="1:22" ht="18" thickTop="1" thickBot="1" x14ac:dyDescent="0.5">
      <c r="A86" s="187" t="s">
        <v>238</v>
      </c>
      <c r="B86" s="37">
        <f>COUNTIF(I:AL,"이기찬")</f>
        <v>5</v>
      </c>
      <c r="C86" s="37" t="s">
        <v>256</v>
      </c>
      <c r="D86" s="37">
        <f>COUNTIF(I:AL,"이말직;")</f>
        <v>0</v>
      </c>
      <c r="E86" s="37"/>
      <c r="F86" s="188"/>
      <c r="H86" s="610"/>
      <c r="I86" s="207"/>
      <c r="J86" s="208"/>
      <c r="K86" s="207"/>
      <c r="L86" s="208"/>
      <c r="M86" s="207"/>
      <c r="N86" s="208"/>
      <c r="O86" s="207"/>
      <c r="P86" s="208"/>
      <c r="Q86" s="207"/>
      <c r="R86" s="208"/>
      <c r="S86" s="207"/>
      <c r="T86" s="208"/>
      <c r="U86" s="207"/>
      <c r="V86" s="208"/>
    </row>
    <row r="87" spans="1:22" ht="17.5" thickTop="1" x14ac:dyDescent="0.45">
      <c r="A87" s="187" t="s">
        <v>239</v>
      </c>
      <c r="B87" s="37">
        <f>COUNTIF(I:AL,"초빈초연")</f>
        <v>6</v>
      </c>
      <c r="C87" s="37" t="s">
        <v>159</v>
      </c>
      <c r="D87" s="37">
        <f>COUNTIF(I:AL,"최임이;")</f>
        <v>2</v>
      </c>
      <c r="E87" s="37"/>
      <c r="F87" s="188"/>
      <c r="H87" s="609">
        <v>12</v>
      </c>
      <c r="I87" s="204"/>
      <c r="J87" s="205"/>
      <c r="K87" s="204"/>
      <c r="L87" s="205"/>
      <c r="M87" s="204"/>
      <c r="N87" s="205"/>
      <c r="O87" s="204"/>
      <c r="P87" s="205"/>
      <c r="Q87" s="204" t="s">
        <v>134</v>
      </c>
      <c r="R87" s="205"/>
      <c r="S87" s="204"/>
      <c r="T87" s="205"/>
      <c r="U87" s="204"/>
      <c r="V87" s="205"/>
    </row>
    <row r="88" spans="1:22" ht="17.5" thickBot="1" x14ac:dyDescent="0.5">
      <c r="A88" s="187" t="s">
        <v>233</v>
      </c>
      <c r="B88" s="37">
        <f>COUNTIF(I:AL,"이소영")</f>
        <v>1</v>
      </c>
      <c r="C88" s="37" t="s">
        <v>12</v>
      </c>
      <c r="D88" s="37">
        <f>COUNTIF(I:AL,"김혜정;")</f>
        <v>1</v>
      </c>
      <c r="E88" s="37"/>
      <c r="F88" s="188"/>
      <c r="H88" s="610"/>
      <c r="I88" s="207"/>
      <c r="J88" s="208"/>
      <c r="K88" s="207"/>
      <c r="L88" s="208"/>
      <c r="M88" s="207"/>
      <c r="N88" s="208"/>
      <c r="O88" s="207"/>
      <c r="P88" s="208"/>
      <c r="Q88" s="207"/>
      <c r="R88" s="208"/>
      <c r="S88" s="207"/>
      <c r="T88" s="208"/>
      <c r="U88" s="207"/>
      <c r="V88" s="208"/>
    </row>
    <row r="89" spans="1:22" ht="17.5" thickTop="1" x14ac:dyDescent="0.45">
      <c r="A89" s="187" t="s">
        <v>240</v>
      </c>
      <c r="B89" s="37">
        <f>COUNTIF(I:AL,"임하령")</f>
        <v>2</v>
      </c>
      <c r="C89" s="191" t="s">
        <v>236</v>
      </c>
      <c r="D89" s="192">
        <f>COUNTIF(K:AN,"임하린;")</f>
        <v>2</v>
      </c>
      <c r="E89" s="37"/>
      <c r="F89" s="188"/>
      <c r="H89" s="609">
        <v>1</v>
      </c>
      <c r="I89" s="204"/>
      <c r="J89" s="205"/>
      <c r="K89" s="204" t="s">
        <v>259</v>
      </c>
      <c r="L89" s="205"/>
      <c r="M89" s="204"/>
      <c r="N89" s="205"/>
      <c r="O89" s="204"/>
      <c r="P89" s="205"/>
      <c r="Q89" s="204"/>
      <c r="R89" s="205"/>
      <c r="S89" s="204"/>
      <c r="T89" s="205"/>
      <c r="U89" s="204"/>
      <c r="V89" s="205"/>
    </row>
    <row r="90" spans="1:22" ht="17.5" thickBot="1" x14ac:dyDescent="0.5">
      <c r="A90" s="187" t="s">
        <v>236</v>
      </c>
      <c r="B90" s="37">
        <f>COUNTIF(I:AL,"임하린")</f>
        <v>4</v>
      </c>
      <c r="C90" s="193" t="s">
        <v>241</v>
      </c>
      <c r="D90" s="194">
        <f>COUNTIF(K:AN,"정지원;")</f>
        <v>2</v>
      </c>
      <c r="E90" s="37"/>
      <c r="F90" s="188"/>
      <c r="H90" s="610"/>
      <c r="I90" s="207"/>
      <c r="J90" s="208"/>
      <c r="K90" s="207"/>
      <c r="L90" s="208"/>
      <c r="M90" s="207"/>
      <c r="N90" s="208"/>
      <c r="O90" s="207"/>
      <c r="P90" s="208"/>
      <c r="Q90" s="207"/>
      <c r="R90" s="208"/>
      <c r="S90" s="207"/>
      <c r="T90" s="208"/>
      <c r="U90" s="207"/>
      <c r="V90" s="208"/>
    </row>
    <row r="91" spans="1:22" ht="17.5" thickTop="1" x14ac:dyDescent="0.45">
      <c r="A91" s="195" t="s">
        <v>241</v>
      </c>
      <c r="B91" s="37">
        <f>COUNTIF(I:AL,"정지원")</f>
        <v>3</v>
      </c>
      <c r="C91" s="193" t="s">
        <v>239</v>
      </c>
      <c r="D91" s="194">
        <f>COUNTIF(K:AN,"초빈초연;")</f>
        <v>4</v>
      </c>
      <c r="E91" s="37"/>
      <c r="F91" s="188"/>
      <c r="H91" s="609">
        <v>2</v>
      </c>
      <c r="I91" s="204"/>
      <c r="J91" s="205"/>
      <c r="K91" s="204"/>
      <c r="L91" s="205"/>
      <c r="M91" s="204"/>
      <c r="N91" s="205"/>
      <c r="O91" s="204"/>
      <c r="P91" s="205"/>
      <c r="Q91" s="204"/>
      <c r="R91" s="205"/>
      <c r="S91" s="204"/>
      <c r="T91" s="205"/>
      <c r="U91" s="204"/>
      <c r="V91" s="205"/>
    </row>
    <row r="92" spans="1:22" ht="17.5" thickBot="1" x14ac:dyDescent="0.5">
      <c r="A92" s="195" t="s">
        <v>157</v>
      </c>
      <c r="B92" s="37">
        <f>COUNTIF(I:AL,"최은실")</f>
        <v>2</v>
      </c>
      <c r="C92" s="193" t="s">
        <v>215</v>
      </c>
      <c r="D92" s="194">
        <f>COUNTIF(K:AN,"아름다움;")</f>
        <v>3</v>
      </c>
      <c r="E92" s="37"/>
      <c r="F92" s="188"/>
      <c r="H92" s="610"/>
      <c r="I92" s="207"/>
      <c r="J92" s="208"/>
      <c r="K92" s="207"/>
      <c r="L92" s="208"/>
      <c r="M92" s="207"/>
      <c r="N92" s="208"/>
      <c r="O92" s="207"/>
      <c r="P92" s="208"/>
      <c r="Q92" s="207"/>
      <c r="R92" s="208"/>
      <c r="S92" s="207"/>
      <c r="T92" s="208"/>
      <c r="U92" s="207"/>
      <c r="V92" s="208"/>
    </row>
    <row r="93" spans="1:22" ht="17.5" thickTop="1" x14ac:dyDescent="0.45">
      <c r="A93" s="195" t="s">
        <v>242</v>
      </c>
      <c r="B93" s="37">
        <f>COUNTIF(I:AL,"박창민")</f>
        <v>0</v>
      </c>
      <c r="C93" s="193" t="s">
        <v>242</v>
      </c>
      <c r="D93" s="194">
        <f>COUNTIF(K:AN,"박창민;")</f>
        <v>0</v>
      </c>
      <c r="E93" s="37"/>
      <c r="F93" s="188"/>
      <c r="H93" s="609">
        <v>3</v>
      </c>
      <c r="I93" s="204"/>
      <c r="J93" s="205"/>
      <c r="K93" s="204"/>
      <c r="L93" s="205"/>
      <c r="M93" s="204" t="s">
        <v>243</v>
      </c>
      <c r="N93" s="205" t="s">
        <v>12</v>
      </c>
      <c r="O93" s="204" t="s">
        <v>20</v>
      </c>
      <c r="P93" s="205"/>
      <c r="Q93" s="204"/>
      <c r="R93" s="205"/>
      <c r="S93" s="204"/>
      <c r="T93" s="205"/>
      <c r="U93" s="204"/>
      <c r="V93" s="205"/>
    </row>
    <row r="94" spans="1:22" ht="17.5" thickBot="1" x14ac:dyDescent="0.5">
      <c r="A94" s="195" t="s">
        <v>245</v>
      </c>
      <c r="B94" s="37">
        <f>COUNTIF(I:AL,"채린")</f>
        <v>0</v>
      </c>
      <c r="C94" s="193" t="s">
        <v>231</v>
      </c>
      <c r="D94" s="194">
        <f>COUNTIF(K:AN,"배이준;")</f>
        <v>3</v>
      </c>
      <c r="E94" s="37"/>
      <c r="F94" s="188"/>
      <c r="H94" s="610"/>
      <c r="I94" s="207"/>
      <c r="J94" s="208"/>
      <c r="K94" s="207"/>
      <c r="L94" s="208"/>
      <c r="M94" s="207" t="s">
        <v>246</v>
      </c>
      <c r="N94" s="208" t="s">
        <v>244</v>
      </c>
      <c r="O94" s="207"/>
      <c r="P94" s="208"/>
      <c r="Q94" s="207"/>
      <c r="R94" s="208"/>
      <c r="S94" s="207"/>
      <c r="T94" s="208"/>
      <c r="U94" s="207"/>
      <c r="V94" s="208"/>
    </row>
    <row r="95" spans="1:22" ht="17.5" thickTop="1" x14ac:dyDescent="0.45">
      <c r="A95" s="195" t="s">
        <v>159</v>
      </c>
      <c r="B95" s="37">
        <f>COUNTIF(I:AL,"최임이")</f>
        <v>0</v>
      </c>
      <c r="C95" s="193" t="s">
        <v>240</v>
      </c>
      <c r="D95" s="194">
        <f>COUNTIF(K:AN,"임하령;")</f>
        <v>0</v>
      </c>
      <c r="E95" s="37"/>
      <c r="F95" s="188"/>
      <c r="H95" s="609">
        <v>4</v>
      </c>
      <c r="I95" s="204"/>
      <c r="J95" s="205"/>
      <c r="K95" s="204"/>
      <c r="L95" s="205"/>
      <c r="M95" s="204"/>
      <c r="N95" s="205" t="s">
        <v>262</v>
      </c>
      <c r="O95" s="204" t="s">
        <v>132</v>
      </c>
      <c r="P95" s="205"/>
      <c r="Q95" s="204"/>
      <c r="R95" s="205"/>
      <c r="S95" s="204"/>
      <c r="T95" s="205"/>
      <c r="U95" s="204"/>
      <c r="V95" s="205"/>
    </row>
    <row r="96" spans="1:22" ht="17.5" thickBot="1" x14ac:dyDescent="0.5">
      <c r="A96" s="195" t="s">
        <v>247</v>
      </c>
      <c r="B96" s="37">
        <f>COUNTIF(I:AL,"김혜정")</f>
        <v>1</v>
      </c>
      <c r="C96" s="193" t="s">
        <v>233</v>
      </c>
      <c r="D96" s="194">
        <f>COUNTIF(K:AN,"이소영;")</f>
        <v>1</v>
      </c>
      <c r="E96" s="37"/>
      <c r="F96" s="188"/>
      <c r="H96" s="610"/>
      <c r="I96" s="207"/>
      <c r="J96" s="208"/>
      <c r="K96" s="207"/>
      <c r="L96" s="208"/>
      <c r="M96" s="207"/>
      <c r="N96" s="208"/>
      <c r="O96" s="207"/>
      <c r="P96" s="208"/>
      <c r="Q96" s="207"/>
      <c r="R96" s="208"/>
      <c r="S96" s="207"/>
      <c r="T96" s="208"/>
      <c r="U96" s="207"/>
      <c r="V96" s="208"/>
    </row>
    <row r="97" spans="1:22" ht="17.5" thickTop="1" x14ac:dyDescent="0.45">
      <c r="A97" s="196"/>
      <c r="C97" s="193" t="s">
        <v>238</v>
      </c>
      <c r="D97" s="194">
        <f>COUNTIF(K:AN,"이기찬;")</f>
        <v>1</v>
      </c>
      <c r="E97" s="37"/>
      <c r="F97" s="188"/>
      <c r="H97" s="609">
        <v>5</v>
      </c>
      <c r="I97" s="204"/>
      <c r="J97" s="205"/>
      <c r="K97" s="217"/>
      <c r="L97" s="206"/>
      <c r="M97" s="204"/>
      <c r="N97" s="205"/>
      <c r="O97" s="204" t="s">
        <v>215</v>
      </c>
      <c r="P97" s="205"/>
      <c r="Q97" s="204"/>
      <c r="R97" s="205"/>
      <c r="S97" s="204"/>
      <c r="T97" s="205"/>
      <c r="U97" s="204"/>
      <c r="V97" s="205"/>
    </row>
    <row r="98" spans="1:22" ht="17.5" thickBot="1" x14ac:dyDescent="0.5">
      <c r="A98" s="196"/>
      <c r="C98" s="193" t="s">
        <v>245</v>
      </c>
      <c r="D98" s="194">
        <f>COUNTIF(K:AN,"채린;")</f>
        <v>0</v>
      </c>
      <c r="E98" s="37"/>
      <c r="F98" s="188"/>
      <c r="H98" s="610"/>
      <c r="I98" s="207"/>
      <c r="J98" s="208"/>
      <c r="K98" s="215"/>
      <c r="L98" s="216"/>
      <c r="M98" s="207"/>
      <c r="N98" s="208"/>
      <c r="O98" s="207" t="s">
        <v>239</v>
      </c>
      <c r="P98" s="208"/>
      <c r="Q98" s="207"/>
      <c r="R98" s="208"/>
      <c r="S98" s="207" t="s">
        <v>74</v>
      </c>
      <c r="T98" s="208"/>
      <c r="U98" s="207"/>
      <c r="V98" s="208"/>
    </row>
    <row r="99" spans="1:22" ht="17.5" thickTop="1" x14ac:dyDescent="0.45">
      <c r="A99" s="195"/>
      <c r="B99" s="37"/>
      <c r="C99" s="193"/>
      <c r="D99" s="194"/>
      <c r="E99" s="37"/>
      <c r="F99" s="188"/>
      <c r="H99" s="609">
        <v>6</v>
      </c>
      <c r="I99" s="204"/>
      <c r="J99" s="205"/>
      <c r="K99" s="204"/>
      <c r="L99" s="205"/>
      <c r="M99" s="204" t="s">
        <v>250</v>
      </c>
      <c r="N99" s="205"/>
      <c r="O99" s="204"/>
      <c r="P99" s="205"/>
      <c r="Q99" s="204"/>
      <c r="R99" s="205"/>
      <c r="S99" s="204"/>
      <c r="T99" s="205"/>
      <c r="U99" s="204"/>
      <c r="V99" s="205"/>
    </row>
    <row r="100" spans="1:22" ht="17.5" thickBot="1" x14ac:dyDescent="0.5">
      <c r="A100" s="187"/>
      <c r="B100" s="37"/>
      <c r="C100" s="193"/>
      <c r="D100" s="194"/>
      <c r="E100" s="37"/>
      <c r="F100" s="188"/>
      <c r="H100" s="610"/>
      <c r="I100" s="207"/>
      <c r="J100" s="208"/>
      <c r="K100" s="207"/>
      <c r="L100" s="208"/>
      <c r="M100" s="207" t="s">
        <v>246</v>
      </c>
      <c r="N100" s="208"/>
      <c r="O100" s="207"/>
      <c r="P100" s="208"/>
      <c r="Q100" s="207"/>
      <c r="R100" s="208"/>
      <c r="S100" s="207"/>
      <c r="T100" s="208"/>
      <c r="U100" s="207"/>
      <c r="V100" s="208"/>
    </row>
    <row r="101" spans="1:22" ht="18" thickTop="1" thickBot="1" x14ac:dyDescent="0.5">
      <c r="A101" s="197"/>
      <c r="B101" s="198"/>
      <c r="C101" s="199"/>
      <c r="D101" s="200"/>
      <c r="E101" s="198"/>
      <c r="F101" s="201"/>
      <c r="H101" s="609"/>
      <c r="I101" s="204"/>
      <c r="J101" s="205"/>
      <c r="K101" s="204"/>
      <c r="L101" s="205"/>
      <c r="M101" s="204" t="s">
        <v>263</v>
      </c>
      <c r="N101" s="205"/>
      <c r="O101" s="204"/>
      <c r="P101" s="205"/>
      <c r="Q101" s="204"/>
      <c r="R101" s="205"/>
      <c r="S101" s="204"/>
      <c r="T101" s="205"/>
      <c r="U101" s="204"/>
      <c r="V101" s="205"/>
    </row>
    <row r="102" spans="1:22" ht="18" thickTop="1" thickBot="1" x14ac:dyDescent="0.5">
      <c r="H102" s="610"/>
      <c r="I102" s="207"/>
      <c r="J102" s="208"/>
      <c r="K102" s="207"/>
      <c r="L102" s="208"/>
      <c r="M102" s="207"/>
      <c r="N102" s="208"/>
      <c r="O102" s="207"/>
      <c r="P102" s="208"/>
      <c r="Q102" s="207"/>
      <c r="R102" s="208"/>
      <c r="S102" s="207"/>
      <c r="T102" s="208"/>
      <c r="U102" s="207"/>
      <c r="V102" s="208"/>
    </row>
    <row r="103" spans="1:22" ht="17.5" thickTop="1" x14ac:dyDescent="0.45">
      <c r="H103" s="614">
        <v>7</v>
      </c>
      <c r="I103" s="202"/>
      <c r="J103" s="203"/>
      <c r="K103" s="202"/>
      <c r="L103" s="203"/>
      <c r="M103" s="202"/>
      <c r="N103" s="203"/>
      <c r="O103" s="202"/>
      <c r="P103" s="203"/>
      <c r="Q103" s="202"/>
      <c r="R103" s="203"/>
      <c r="S103" s="202"/>
      <c r="T103" s="203"/>
      <c r="U103" s="202"/>
      <c r="V103" s="203"/>
    </row>
    <row r="104" spans="1:22" ht="17.5" thickBot="1" x14ac:dyDescent="0.5">
      <c r="H104" s="610"/>
      <c r="I104" s="207"/>
      <c r="J104" s="208"/>
      <c r="K104" s="207"/>
      <c r="L104" s="208"/>
      <c r="M104" s="207"/>
      <c r="N104" s="208"/>
      <c r="O104" s="207"/>
      <c r="P104" s="208"/>
      <c r="Q104" s="207"/>
      <c r="R104" s="208"/>
      <c r="S104" s="207"/>
      <c r="T104" s="208"/>
      <c r="U104" s="207"/>
      <c r="V104" s="208"/>
    </row>
    <row r="105" spans="1:22" ht="17.5" thickTop="1" x14ac:dyDescent="0.45">
      <c r="I105" s="212"/>
      <c r="J105" s="212"/>
      <c r="K105" s="212"/>
      <c r="L105" s="212"/>
      <c r="M105" s="212"/>
      <c r="N105" s="212"/>
      <c r="O105" s="212"/>
      <c r="P105" s="212"/>
      <c r="Q105" s="212"/>
      <c r="R105" s="212"/>
      <c r="S105" s="212"/>
      <c r="T105" s="212"/>
      <c r="U105" s="212"/>
      <c r="V105" s="212"/>
    </row>
    <row r="106" spans="1:22" ht="17.5" thickBot="1" x14ac:dyDescent="0.5">
      <c r="H106" s="186"/>
      <c r="I106" s="214"/>
      <c r="J106" s="214"/>
      <c r="K106" s="212"/>
      <c r="L106" s="212"/>
      <c r="M106" s="212"/>
      <c r="N106" s="212"/>
      <c r="O106" s="212"/>
      <c r="P106" s="212"/>
      <c r="Q106" s="212"/>
      <c r="R106" s="212"/>
      <c r="S106" s="212"/>
      <c r="T106" s="212"/>
      <c r="U106" s="212"/>
      <c r="V106" s="212"/>
    </row>
    <row r="107" spans="1:22" ht="27" thickTop="1" thickBot="1" x14ac:dyDescent="0.5">
      <c r="A107" s="182" t="s">
        <v>216</v>
      </c>
      <c r="B107" s="183"/>
      <c r="C107" s="182" t="s">
        <v>217</v>
      </c>
      <c r="D107" s="184" t="s">
        <v>218</v>
      </c>
      <c r="E107" s="182" t="s">
        <v>219</v>
      </c>
      <c r="F107" s="184" t="s">
        <v>220</v>
      </c>
      <c r="H107" s="617" t="s">
        <v>264</v>
      </c>
      <c r="I107" s="618"/>
      <c r="J107" s="619"/>
      <c r="K107" s="213"/>
      <c r="L107" s="214"/>
      <c r="M107" s="214"/>
      <c r="N107" s="214"/>
      <c r="O107" s="212"/>
      <c r="P107" s="212"/>
      <c r="Q107" s="212"/>
      <c r="R107" s="212"/>
      <c r="S107" s="212"/>
      <c r="T107" s="212"/>
      <c r="U107" s="212"/>
      <c r="V107" s="212"/>
    </row>
    <row r="108" spans="1:22" ht="26.5" thickTop="1" thickBot="1" x14ac:dyDescent="0.5">
      <c r="A108" s="187" t="s">
        <v>203</v>
      </c>
      <c r="B108" s="37">
        <f>COUNTIF(I:AL,"우리인력")</f>
        <v>8</v>
      </c>
      <c r="C108" s="37" t="s">
        <v>222</v>
      </c>
      <c r="D108" s="37">
        <f>COUNTIF(I:AL,"고영숙;")</f>
        <v>7</v>
      </c>
      <c r="E108" s="37" t="s">
        <v>10</v>
      </c>
      <c r="F108" s="188">
        <f>COUNTIF(I:AL,"고영숙]")</f>
        <v>0</v>
      </c>
      <c r="H108" s="218"/>
      <c r="I108" s="608">
        <v>29</v>
      </c>
      <c r="J108" s="608"/>
      <c r="K108" s="608">
        <v>30</v>
      </c>
      <c r="L108" s="608"/>
      <c r="M108" s="608">
        <v>31</v>
      </c>
      <c r="N108" s="608"/>
      <c r="O108" s="219"/>
      <c r="P108" s="212"/>
      <c r="Q108" s="212"/>
      <c r="R108" s="212"/>
      <c r="S108" s="212"/>
      <c r="T108" s="212"/>
      <c r="U108" s="212"/>
      <c r="V108" s="212"/>
    </row>
    <row r="109" spans="1:22" ht="26.5" thickTop="1" thickBot="1" x14ac:dyDescent="0.5">
      <c r="A109" s="187" t="s">
        <v>255</v>
      </c>
      <c r="B109" s="37">
        <f>COUNTIF(I:AL,"김혜숙")</f>
        <v>9</v>
      </c>
      <c r="C109" s="37" t="s">
        <v>223</v>
      </c>
      <c r="D109" s="37">
        <f>COUNTIF(I:AL,"공하정;")</f>
        <v>4</v>
      </c>
      <c r="E109" s="37" t="s">
        <v>223</v>
      </c>
      <c r="F109" s="188">
        <f>COUNTIF(I:AL,"공하정]")</f>
        <v>0</v>
      </c>
      <c r="H109" s="190"/>
      <c r="I109" s="616" t="s">
        <v>224</v>
      </c>
      <c r="J109" s="616"/>
      <c r="K109" s="616" t="s">
        <v>225</v>
      </c>
      <c r="L109" s="616"/>
      <c r="M109" s="616" t="s">
        <v>226</v>
      </c>
      <c r="N109" s="616"/>
    </row>
    <row r="110" spans="1:22" ht="17.5" thickTop="1" x14ac:dyDescent="0.45">
      <c r="A110" s="187" t="s">
        <v>231</v>
      </c>
      <c r="B110" s="37">
        <f>COUNTIF(I:AL,"배이준")</f>
        <v>4</v>
      </c>
      <c r="C110" s="37" t="s">
        <v>232</v>
      </c>
      <c r="D110" s="37">
        <f>COUNTIF(I:AL,"김다정;")</f>
        <v>0</v>
      </c>
      <c r="E110" s="37" t="s">
        <v>233</v>
      </c>
      <c r="F110" s="188">
        <f>COUNTIF(I:AL,"이소영]")</f>
        <v>0</v>
      </c>
      <c r="H110" s="614">
        <v>10</v>
      </c>
      <c r="I110" s="204"/>
      <c r="J110" s="203"/>
      <c r="K110" s="202"/>
      <c r="L110" s="203"/>
      <c r="M110" s="202"/>
      <c r="N110" s="203"/>
    </row>
    <row r="111" spans="1:22" ht="17.5" thickBot="1" x14ac:dyDescent="0.5">
      <c r="A111" s="187" t="s">
        <v>234</v>
      </c>
      <c r="B111" s="37">
        <f>COUNTIF(I:AL,"신하린")</f>
        <v>2</v>
      </c>
      <c r="C111" s="37" t="s">
        <v>235</v>
      </c>
      <c r="D111" s="37">
        <f>COUNTIF(I:AL,"김용;")</f>
        <v>4</v>
      </c>
      <c r="E111" s="37" t="s">
        <v>236</v>
      </c>
      <c r="F111" s="188">
        <f>COUNTIF(I:AL,"임하린]")</f>
        <v>0</v>
      </c>
      <c r="H111" s="610"/>
      <c r="I111" s="207"/>
      <c r="J111" s="208"/>
      <c r="K111" s="207"/>
      <c r="L111" s="208"/>
      <c r="M111" s="207"/>
      <c r="N111" s="208"/>
    </row>
    <row r="112" spans="1:22" ht="18" thickTop="1" thickBot="1" x14ac:dyDescent="0.5">
      <c r="A112" s="187" t="s">
        <v>215</v>
      </c>
      <c r="B112" s="37">
        <f>COUNTIF(I:AL,"아름다움")</f>
        <v>7</v>
      </c>
      <c r="C112" s="37" t="s">
        <v>237</v>
      </c>
      <c r="D112" s="37">
        <f>COUNTIF(I:AL,"윤분숙;")</f>
        <v>0</v>
      </c>
      <c r="F112" s="188"/>
      <c r="H112" s="615">
        <v>11</v>
      </c>
      <c r="I112" s="211"/>
      <c r="J112" s="205"/>
      <c r="K112" s="204" t="s">
        <v>138</v>
      </c>
      <c r="L112" s="205"/>
      <c r="M112" s="204"/>
      <c r="N112" s="205"/>
    </row>
    <row r="113" spans="1:14" ht="18" thickTop="1" thickBot="1" x14ac:dyDescent="0.5">
      <c r="A113" s="187" t="s">
        <v>238</v>
      </c>
      <c r="B113" s="37">
        <f>COUNTIF(I:AL,"이기찬")</f>
        <v>5</v>
      </c>
      <c r="C113" s="37" t="s">
        <v>256</v>
      </c>
      <c r="D113" s="37">
        <f>COUNTIF(I:AL,"이말직;")</f>
        <v>0</v>
      </c>
      <c r="E113" s="37"/>
      <c r="F113" s="188"/>
      <c r="H113" s="610"/>
      <c r="I113" s="207"/>
      <c r="J113" s="208"/>
      <c r="K113" s="207"/>
      <c r="L113" s="208"/>
      <c r="M113" s="207"/>
      <c r="N113" s="208"/>
    </row>
    <row r="114" spans="1:14" ht="17.5" thickTop="1" x14ac:dyDescent="0.45">
      <c r="A114" s="187" t="s">
        <v>239</v>
      </c>
      <c r="B114" s="37">
        <f>COUNTIF(I:AL,"초빈초연")</f>
        <v>6</v>
      </c>
      <c r="C114" s="37" t="s">
        <v>159</v>
      </c>
      <c r="D114" s="37">
        <f>COUNTIF(I:AL,"최임이;")</f>
        <v>2</v>
      </c>
      <c r="E114" s="37"/>
      <c r="F114" s="188"/>
      <c r="H114" s="609">
        <v>12</v>
      </c>
      <c r="I114" s="204"/>
      <c r="J114" s="205"/>
      <c r="K114" s="204"/>
      <c r="L114" s="205"/>
      <c r="M114" s="204"/>
      <c r="N114" s="205"/>
    </row>
    <row r="115" spans="1:14" ht="17.5" thickBot="1" x14ac:dyDescent="0.5">
      <c r="A115" s="187" t="s">
        <v>233</v>
      </c>
      <c r="B115" s="37">
        <f>COUNTIF(I:AL,"이소영")</f>
        <v>1</v>
      </c>
      <c r="C115" s="37"/>
      <c r="D115" s="37"/>
      <c r="E115" s="37"/>
      <c r="F115" s="188"/>
      <c r="H115" s="610"/>
      <c r="I115" s="207"/>
      <c r="J115" s="208"/>
      <c r="K115" s="207"/>
      <c r="L115" s="208"/>
      <c r="M115" s="207"/>
      <c r="N115" s="208"/>
    </row>
    <row r="116" spans="1:14" ht="17.5" thickTop="1" x14ac:dyDescent="0.45">
      <c r="A116" s="187" t="s">
        <v>240</v>
      </c>
      <c r="B116" s="37">
        <f>COUNTIF(I:AL,"임하령")</f>
        <v>2</v>
      </c>
      <c r="C116" s="191" t="s">
        <v>236</v>
      </c>
      <c r="D116" s="192">
        <f>COUNTIF(K:AN,"임하린;")</f>
        <v>2</v>
      </c>
      <c r="E116" s="37"/>
      <c r="F116" s="188"/>
      <c r="H116" s="609">
        <v>1</v>
      </c>
      <c r="I116" s="204"/>
      <c r="J116" s="205"/>
      <c r="K116" s="204"/>
      <c r="L116" s="205"/>
      <c r="M116" s="204"/>
      <c r="N116" s="205"/>
    </row>
    <row r="117" spans="1:14" ht="17.5" thickBot="1" x14ac:dyDescent="0.5">
      <c r="A117" s="187" t="s">
        <v>236</v>
      </c>
      <c r="B117" s="37">
        <f>COUNTIF(I:AL,"임하린")</f>
        <v>4</v>
      </c>
      <c r="C117" s="193" t="s">
        <v>241</v>
      </c>
      <c r="D117" s="194">
        <f>COUNTIF(K:AN,"정지원;")</f>
        <v>2</v>
      </c>
      <c r="E117" s="37"/>
      <c r="F117" s="188"/>
      <c r="H117" s="610"/>
      <c r="I117" s="207"/>
      <c r="J117" s="208"/>
      <c r="K117" s="207"/>
      <c r="L117" s="208"/>
      <c r="M117" s="207"/>
      <c r="N117" s="208"/>
    </row>
    <row r="118" spans="1:14" ht="17.5" thickTop="1" x14ac:dyDescent="0.45">
      <c r="A118" s="195" t="s">
        <v>241</v>
      </c>
      <c r="B118" s="37">
        <f>COUNTIF(I:AL,"정지원")</f>
        <v>3</v>
      </c>
      <c r="C118" s="193" t="s">
        <v>239</v>
      </c>
      <c r="D118" s="194">
        <f>COUNTIF(K:AN,"초빈초연;")</f>
        <v>4</v>
      </c>
      <c r="E118" s="37"/>
      <c r="F118" s="188"/>
      <c r="H118" s="609">
        <v>2</v>
      </c>
      <c r="I118" s="204"/>
      <c r="J118" s="205"/>
      <c r="K118" s="204"/>
      <c r="L118" s="205"/>
      <c r="M118" s="204"/>
      <c r="N118" s="205"/>
    </row>
    <row r="119" spans="1:14" ht="17.5" thickBot="1" x14ac:dyDescent="0.5">
      <c r="A119" s="195" t="s">
        <v>157</v>
      </c>
      <c r="B119" s="37">
        <f>COUNTIF(I:AL,"최은실")</f>
        <v>2</v>
      </c>
      <c r="C119" s="193" t="s">
        <v>215</v>
      </c>
      <c r="D119" s="194">
        <f>COUNTIF(K:AN,"아름다움;")</f>
        <v>3</v>
      </c>
      <c r="E119" s="37"/>
      <c r="F119" s="188"/>
      <c r="H119" s="610"/>
      <c r="I119" s="207"/>
      <c r="J119" s="208"/>
      <c r="K119" s="207"/>
      <c r="L119" s="208"/>
      <c r="M119" s="207"/>
      <c r="N119" s="208"/>
    </row>
    <row r="120" spans="1:14" ht="17.5" thickTop="1" x14ac:dyDescent="0.45">
      <c r="A120" s="195" t="s">
        <v>242</v>
      </c>
      <c r="B120" s="37">
        <f>COUNTIF(I:AL,"박창민")</f>
        <v>0</v>
      </c>
      <c r="C120" s="193" t="s">
        <v>242</v>
      </c>
      <c r="D120" s="194">
        <f>COUNTIF(K:AN,"박창민;")</f>
        <v>0</v>
      </c>
      <c r="E120" s="37"/>
      <c r="F120" s="188"/>
      <c r="H120" s="609">
        <v>3</v>
      </c>
      <c r="I120" s="204"/>
      <c r="J120" s="205"/>
      <c r="K120" s="204"/>
      <c r="L120" s="205"/>
      <c r="M120" s="204" t="s">
        <v>243</v>
      </c>
      <c r="N120" s="205" t="s">
        <v>244</v>
      </c>
    </row>
    <row r="121" spans="1:14" ht="17.5" thickBot="1" x14ac:dyDescent="0.5">
      <c r="A121" s="195" t="s">
        <v>245</v>
      </c>
      <c r="B121" s="37">
        <f>COUNTIF(I:AL,"채린")</f>
        <v>0</v>
      </c>
      <c r="C121" s="193" t="s">
        <v>231</v>
      </c>
      <c r="D121" s="194">
        <f>COUNTIF(K:AN,"배이준;")</f>
        <v>3</v>
      </c>
      <c r="E121" s="37"/>
      <c r="F121" s="188"/>
      <c r="H121" s="610"/>
      <c r="I121" s="207"/>
      <c r="J121" s="208"/>
      <c r="K121" s="207"/>
      <c r="L121" s="208"/>
      <c r="M121" s="207" t="s">
        <v>246</v>
      </c>
      <c r="N121" s="208" t="s">
        <v>262</v>
      </c>
    </row>
    <row r="122" spans="1:14" ht="17.5" thickTop="1" x14ac:dyDescent="0.45">
      <c r="A122" s="195" t="s">
        <v>159</v>
      </c>
      <c r="B122" s="37">
        <f>COUNTIF(I:AL,"최임이")</f>
        <v>0</v>
      </c>
      <c r="C122" s="193" t="s">
        <v>240</v>
      </c>
      <c r="D122" s="194">
        <f>COUNTIF(K:AN,"임하령;")</f>
        <v>0</v>
      </c>
      <c r="E122" s="37"/>
      <c r="F122" s="188"/>
      <c r="H122" s="609">
        <v>4</v>
      </c>
      <c r="I122" s="204"/>
      <c r="J122" s="205"/>
      <c r="K122" s="204"/>
      <c r="L122" s="205"/>
      <c r="M122" s="204"/>
      <c r="N122" s="205"/>
    </row>
    <row r="123" spans="1:14" ht="17.5" thickBot="1" x14ac:dyDescent="0.5">
      <c r="A123" s="195" t="s">
        <v>247</v>
      </c>
      <c r="B123" s="37">
        <f>COUNTIF(I:AL,"김혜정")</f>
        <v>1</v>
      </c>
      <c r="C123" s="193" t="s">
        <v>233</v>
      </c>
      <c r="D123" s="194">
        <f>COUNTIF(K:AN,"이소영;")</f>
        <v>1</v>
      </c>
      <c r="E123" s="37"/>
      <c r="F123" s="188"/>
      <c r="H123" s="610"/>
      <c r="I123" s="207"/>
      <c r="J123" s="208"/>
      <c r="K123" s="207"/>
      <c r="L123" s="208"/>
      <c r="M123" s="207"/>
      <c r="N123" s="208"/>
    </row>
    <row r="124" spans="1:14" ht="17.5" thickTop="1" x14ac:dyDescent="0.45">
      <c r="A124" s="196"/>
      <c r="C124" s="193" t="s">
        <v>238</v>
      </c>
      <c r="D124" s="194">
        <f>COUNTIF(K:AN,"이기찬;")</f>
        <v>1</v>
      </c>
      <c r="E124" s="37"/>
      <c r="F124" s="188"/>
      <c r="H124" s="609">
        <v>5</v>
      </c>
      <c r="I124" s="204"/>
      <c r="J124" s="205"/>
      <c r="K124" s="217" t="s">
        <v>239</v>
      </c>
      <c r="L124" s="206" t="s">
        <v>215</v>
      </c>
      <c r="M124" s="204"/>
      <c r="N124" s="205"/>
    </row>
    <row r="125" spans="1:14" ht="17.5" thickBot="1" x14ac:dyDescent="0.5">
      <c r="A125" s="196"/>
      <c r="C125" s="193" t="s">
        <v>245</v>
      </c>
      <c r="D125" s="194">
        <f>COUNTIF(K:AN,"채린;")</f>
        <v>0</v>
      </c>
      <c r="E125" s="37"/>
      <c r="F125" s="188"/>
      <c r="H125" s="610"/>
      <c r="I125" s="207"/>
      <c r="J125" s="208"/>
      <c r="K125" s="215"/>
      <c r="L125" s="216"/>
      <c r="M125" s="207"/>
      <c r="N125" s="208"/>
    </row>
    <row r="126" spans="1:14" ht="17.5" thickTop="1" x14ac:dyDescent="0.45">
      <c r="A126" s="195"/>
      <c r="B126" s="37"/>
      <c r="C126" s="193"/>
      <c r="D126" s="194"/>
      <c r="E126" s="37"/>
      <c r="F126" s="188"/>
      <c r="H126" s="609">
        <v>6</v>
      </c>
      <c r="I126" s="204"/>
      <c r="J126" s="205"/>
      <c r="K126" s="204" t="s">
        <v>248</v>
      </c>
      <c r="L126" s="205" t="s">
        <v>257</v>
      </c>
      <c r="M126" s="204"/>
      <c r="N126" s="205"/>
    </row>
    <row r="127" spans="1:14" x14ac:dyDescent="0.45">
      <c r="A127" s="187"/>
      <c r="B127" s="37"/>
      <c r="C127" s="193"/>
      <c r="D127" s="194"/>
      <c r="E127" s="37"/>
      <c r="F127" s="188"/>
      <c r="H127" s="609"/>
      <c r="I127" s="204"/>
      <c r="J127" s="205"/>
      <c r="K127" s="204" t="s">
        <v>252</v>
      </c>
      <c r="L127" s="205" t="s">
        <v>265</v>
      </c>
      <c r="M127" s="204"/>
      <c r="N127" s="205"/>
    </row>
    <row r="128" spans="1:14" ht="17.5" thickBot="1" x14ac:dyDescent="0.5">
      <c r="A128" s="197"/>
      <c r="B128" s="198"/>
      <c r="C128" s="199"/>
      <c r="D128" s="200"/>
      <c r="E128" s="198"/>
      <c r="F128" s="201"/>
      <c r="H128" s="609"/>
      <c r="I128" s="204"/>
      <c r="J128" s="205"/>
      <c r="K128" s="204" t="s">
        <v>266</v>
      </c>
      <c r="L128" s="205" t="s">
        <v>260</v>
      </c>
      <c r="M128" s="204"/>
      <c r="N128" s="205"/>
    </row>
    <row r="129" spans="8:14" ht="18" thickTop="1" thickBot="1" x14ac:dyDescent="0.5">
      <c r="H129" s="610"/>
      <c r="I129" s="207"/>
      <c r="J129" s="208"/>
      <c r="K129" s="207"/>
      <c r="L129" s="208"/>
      <c r="M129" s="207"/>
      <c r="N129" s="208"/>
    </row>
    <row r="130" spans="8:14" ht="17.5" thickTop="1" x14ac:dyDescent="0.45">
      <c r="H130" s="609">
        <v>7</v>
      </c>
      <c r="I130" s="204"/>
      <c r="J130" s="205"/>
      <c r="K130" s="204"/>
      <c r="L130" s="205"/>
      <c r="M130" s="204"/>
      <c r="N130" s="205"/>
    </row>
    <row r="131" spans="8:14" ht="17.5" thickBot="1" x14ac:dyDescent="0.5">
      <c r="H131" s="610"/>
      <c r="I131" s="207"/>
      <c r="J131" s="208"/>
      <c r="K131" s="207"/>
      <c r="L131" s="208"/>
      <c r="M131" s="207"/>
      <c r="N131" s="208"/>
    </row>
    <row r="132" spans="8:14" ht="17.5" thickTop="1" x14ac:dyDescent="0.45"/>
  </sheetData>
  <mergeCells count="117">
    <mergeCell ref="H1:J1"/>
    <mergeCell ref="I2:J2"/>
    <mergeCell ref="K2:L2"/>
    <mergeCell ref="M2:N2"/>
    <mergeCell ref="O2:P2"/>
    <mergeCell ref="Q2:R2"/>
    <mergeCell ref="H4:H5"/>
    <mergeCell ref="H6:H7"/>
    <mergeCell ref="H8:H9"/>
    <mergeCell ref="H10:H11"/>
    <mergeCell ref="H12:H13"/>
    <mergeCell ref="H14:H15"/>
    <mergeCell ref="S2:T2"/>
    <mergeCell ref="U2:V2"/>
    <mergeCell ref="I3:J3"/>
    <mergeCell ref="K3:L3"/>
    <mergeCell ref="M3:N3"/>
    <mergeCell ref="O3:P3"/>
    <mergeCell ref="Q3:R3"/>
    <mergeCell ref="S3:T3"/>
    <mergeCell ref="U3:V3"/>
    <mergeCell ref="K29:L29"/>
    <mergeCell ref="M29:N29"/>
    <mergeCell ref="O29:P29"/>
    <mergeCell ref="Q29:R29"/>
    <mergeCell ref="S29:T29"/>
    <mergeCell ref="U29:V29"/>
    <mergeCell ref="H16:H17"/>
    <mergeCell ref="H18:H19"/>
    <mergeCell ref="H20:H23"/>
    <mergeCell ref="H24:H25"/>
    <mergeCell ref="H28:J28"/>
    <mergeCell ref="I29:J29"/>
    <mergeCell ref="H41:H42"/>
    <mergeCell ref="H43:H44"/>
    <mergeCell ref="H45:H46"/>
    <mergeCell ref="H47:H50"/>
    <mergeCell ref="H51:H52"/>
    <mergeCell ref="U30:V30"/>
    <mergeCell ref="H31:H32"/>
    <mergeCell ref="H33:H34"/>
    <mergeCell ref="H35:H36"/>
    <mergeCell ref="H37:H38"/>
    <mergeCell ref="H39:H40"/>
    <mergeCell ref="I30:J30"/>
    <mergeCell ref="K30:L30"/>
    <mergeCell ref="M30:N30"/>
    <mergeCell ref="O30:P30"/>
    <mergeCell ref="Q30:R30"/>
    <mergeCell ref="S30:T30"/>
    <mergeCell ref="K81:L81"/>
    <mergeCell ref="M81:N81"/>
    <mergeCell ref="O81:P81"/>
    <mergeCell ref="Q81:R81"/>
    <mergeCell ref="S81:T81"/>
    <mergeCell ref="U81:V81"/>
    <mergeCell ref="H80:J80"/>
    <mergeCell ref="I81:J81"/>
    <mergeCell ref="H77:H78"/>
    <mergeCell ref="U82:V82"/>
    <mergeCell ref="H83:H84"/>
    <mergeCell ref="H85:H86"/>
    <mergeCell ref="H87:H88"/>
    <mergeCell ref="H89:H90"/>
    <mergeCell ref="H91:H92"/>
    <mergeCell ref="I82:J82"/>
    <mergeCell ref="K82:L82"/>
    <mergeCell ref="M82:N82"/>
    <mergeCell ref="O82:P82"/>
    <mergeCell ref="Q82:R82"/>
    <mergeCell ref="S82:T82"/>
    <mergeCell ref="K108:L108"/>
    <mergeCell ref="M108:N108"/>
    <mergeCell ref="I109:J109"/>
    <mergeCell ref="K109:L109"/>
    <mergeCell ref="M109:N109"/>
    <mergeCell ref="H93:H94"/>
    <mergeCell ref="H95:H96"/>
    <mergeCell ref="H97:H98"/>
    <mergeCell ref="H99:H102"/>
    <mergeCell ref="H103:H104"/>
    <mergeCell ref="H107:J107"/>
    <mergeCell ref="H122:H123"/>
    <mergeCell ref="H124:H125"/>
    <mergeCell ref="H126:H129"/>
    <mergeCell ref="H130:H131"/>
    <mergeCell ref="H54:J54"/>
    <mergeCell ref="I55:J55"/>
    <mergeCell ref="I56:J56"/>
    <mergeCell ref="H57:H58"/>
    <mergeCell ref="H59:H60"/>
    <mergeCell ref="H61:H62"/>
    <mergeCell ref="H110:H111"/>
    <mergeCell ref="H112:H113"/>
    <mergeCell ref="H114:H115"/>
    <mergeCell ref="H116:H117"/>
    <mergeCell ref="H118:H119"/>
    <mergeCell ref="H120:H121"/>
    <mergeCell ref="I108:J108"/>
    <mergeCell ref="H63:H64"/>
    <mergeCell ref="H65:H66"/>
    <mergeCell ref="H67:H68"/>
    <mergeCell ref="H69:H70"/>
    <mergeCell ref="H71:H72"/>
    <mergeCell ref="H73:H76"/>
    <mergeCell ref="Q56:R56"/>
    <mergeCell ref="S56:T56"/>
    <mergeCell ref="U56:V56"/>
    <mergeCell ref="K55:L55"/>
    <mergeCell ref="M55:N55"/>
    <mergeCell ref="O55:P55"/>
    <mergeCell ref="Q55:R55"/>
    <mergeCell ref="S55:T55"/>
    <mergeCell ref="U55:V55"/>
    <mergeCell ref="K56:L56"/>
    <mergeCell ref="M56:N56"/>
    <mergeCell ref="O56:P56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1BA2F-847E-4C83-940E-35CCBC48DB72}">
  <sheetPr>
    <tabColor theme="9" tint="0.79998168889431442"/>
  </sheetPr>
  <dimension ref="A1:X109"/>
  <sheetViews>
    <sheetView showGridLines="0" topLeftCell="A85" workbookViewId="0">
      <selection activeCell="M89" sqref="M89"/>
    </sheetView>
  </sheetViews>
  <sheetFormatPr defaultRowHeight="17" x14ac:dyDescent="0.45"/>
  <cols>
    <col min="1" max="1" width="8.58203125" customWidth="1"/>
    <col min="2" max="2" width="4.08203125" customWidth="1"/>
    <col min="3" max="3" width="8.58203125" customWidth="1"/>
    <col min="4" max="4" width="4.08203125" customWidth="1"/>
    <col min="5" max="5" width="8.58203125" customWidth="1"/>
    <col min="6" max="6" width="4.08203125" customWidth="1"/>
    <col min="7" max="7" width="2.58203125" customWidth="1"/>
    <col min="8" max="8" width="7.08203125" customWidth="1"/>
    <col min="9" max="30" width="7.5" customWidth="1"/>
  </cols>
  <sheetData>
    <row r="1" spans="1:24" ht="27" thickTop="1" thickBot="1" x14ac:dyDescent="0.5">
      <c r="A1" s="182" t="s">
        <v>216</v>
      </c>
      <c r="B1" s="183"/>
      <c r="C1" s="182" t="s">
        <v>217</v>
      </c>
      <c r="D1" s="184" t="s">
        <v>218</v>
      </c>
      <c r="E1" s="182" t="s">
        <v>219</v>
      </c>
      <c r="F1" s="184" t="s">
        <v>220</v>
      </c>
      <c r="H1" s="611" t="s">
        <v>221</v>
      </c>
      <c r="I1" s="612"/>
      <c r="J1" s="613"/>
      <c r="K1" s="185"/>
      <c r="L1" s="186"/>
      <c r="M1" s="186"/>
      <c r="N1" s="186"/>
      <c r="O1" s="186"/>
      <c r="P1" s="186"/>
      <c r="Q1" s="186"/>
      <c r="R1" s="186"/>
      <c r="S1" s="186"/>
      <c r="T1" s="186"/>
      <c r="U1" s="186"/>
      <c r="V1" s="186"/>
    </row>
    <row r="2" spans="1:24" ht="26.5" thickTop="1" thickBot="1" x14ac:dyDescent="0.5">
      <c r="A2" s="187" t="s">
        <v>203</v>
      </c>
      <c r="B2" s="37">
        <f>COUNTIF(I:AL,"우리인력")</f>
        <v>5</v>
      </c>
      <c r="C2" s="37" t="s">
        <v>222</v>
      </c>
      <c r="D2" s="37">
        <f>COUNTIF(I:AL,"고영숙;")</f>
        <v>5</v>
      </c>
      <c r="E2" s="37" t="s">
        <v>222</v>
      </c>
      <c r="F2" s="188">
        <f>COUNTIF(I:AL,"고영숙]")</f>
        <v>0</v>
      </c>
      <c r="G2" s="37"/>
      <c r="H2" s="189"/>
      <c r="I2" s="608">
        <v>1</v>
      </c>
      <c r="J2" s="608"/>
      <c r="K2" s="608">
        <v>2</v>
      </c>
      <c r="L2" s="608"/>
      <c r="M2" s="608">
        <v>3</v>
      </c>
      <c r="N2" s="608"/>
      <c r="O2" s="608">
        <v>4</v>
      </c>
      <c r="P2" s="608"/>
      <c r="Q2" s="608">
        <v>5</v>
      </c>
      <c r="R2" s="608"/>
      <c r="S2" s="608">
        <v>6</v>
      </c>
      <c r="T2" s="608"/>
      <c r="U2" s="608">
        <v>7</v>
      </c>
      <c r="V2" s="608"/>
      <c r="W2" s="608">
        <v>11</v>
      </c>
      <c r="X2" s="608"/>
    </row>
    <row r="3" spans="1:24" ht="26.5" thickTop="1" thickBot="1" x14ac:dyDescent="0.5">
      <c r="A3" s="187" t="s">
        <v>138</v>
      </c>
      <c r="B3" s="37">
        <f>COUNTIF(I:AL,"김혜숙")</f>
        <v>0</v>
      </c>
      <c r="C3" s="37" t="s">
        <v>223</v>
      </c>
      <c r="D3" s="37">
        <f>COUNTIF(I:AL,"공하정;")</f>
        <v>1</v>
      </c>
      <c r="E3" s="37" t="s">
        <v>223</v>
      </c>
      <c r="F3" s="188">
        <f>COUNTIF(I:AL,"공하정]")</f>
        <v>0</v>
      </c>
      <c r="H3" s="190"/>
      <c r="I3" s="607" t="s">
        <v>199</v>
      </c>
      <c r="J3" s="607"/>
      <c r="K3" s="607" t="s">
        <v>202</v>
      </c>
      <c r="L3" s="607"/>
      <c r="M3" s="607" t="s">
        <v>200</v>
      </c>
      <c r="N3" s="607"/>
      <c r="O3" s="607" t="s">
        <v>201</v>
      </c>
      <c r="P3" s="607"/>
      <c r="Q3" s="607" t="s">
        <v>196</v>
      </c>
      <c r="R3" s="607"/>
      <c r="S3" s="607" t="s">
        <v>197</v>
      </c>
      <c r="T3" s="607"/>
      <c r="U3" s="607" t="s">
        <v>198</v>
      </c>
      <c r="V3" s="607"/>
      <c r="W3" s="607" t="s">
        <v>201</v>
      </c>
      <c r="X3" s="607"/>
    </row>
    <row r="4" spans="1:24" ht="17.5" thickTop="1" x14ac:dyDescent="0.45">
      <c r="A4" s="187" t="s">
        <v>231</v>
      </c>
      <c r="B4" s="37">
        <f>COUNTIF(I:AL,"배이준")</f>
        <v>3</v>
      </c>
      <c r="C4" s="37" t="s">
        <v>232</v>
      </c>
      <c r="D4" s="37">
        <f>COUNTIF(I:AL,"김다정;")</f>
        <v>0</v>
      </c>
      <c r="E4" s="37" t="s">
        <v>212</v>
      </c>
      <c r="F4" s="188">
        <f>COUNTIF(I:AL,"소영하린]")</f>
        <v>2</v>
      </c>
      <c r="H4" s="614">
        <v>10</v>
      </c>
      <c r="I4" s="202" t="s">
        <v>203</v>
      </c>
      <c r="J4" s="203"/>
      <c r="K4" s="202"/>
      <c r="L4" s="203"/>
      <c r="M4" s="202"/>
      <c r="N4" s="203"/>
      <c r="O4" s="202"/>
      <c r="P4" s="203"/>
      <c r="Q4" s="202"/>
      <c r="R4" s="203"/>
      <c r="S4" s="202"/>
      <c r="T4" s="203"/>
      <c r="U4" s="202"/>
      <c r="V4" s="203"/>
      <c r="W4" s="202"/>
      <c r="X4" s="203"/>
    </row>
    <row r="5" spans="1:24" ht="17.5" thickBot="1" x14ac:dyDescent="0.5">
      <c r="A5" s="187" t="s">
        <v>234</v>
      </c>
      <c r="B5" s="37">
        <f>COUNTIF(I:AL,"신하린")</f>
        <v>2</v>
      </c>
      <c r="C5" s="37" t="s">
        <v>235</v>
      </c>
      <c r="D5" s="37">
        <f>COUNTIF(I:AL,"김용;")</f>
        <v>3</v>
      </c>
      <c r="E5" s="37"/>
      <c r="F5" s="188"/>
      <c r="H5" s="610"/>
      <c r="I5" s="207"/>
      <c r="J5" s="208"/>
      <c r="K5" s="207"/>
      <c r="L5" s="208"/>
      <c r="M5" s="207"/>
      <c r="N5" s="208"/>
      <c r="O5" s="207"/>
      <c r="P5" s="208"/>
      <c r="Q5" s="207"/>
      <c r="R5" s="208"/>
      <c r="S5" s="207"/>
      <c r="T5" s="208"/>
      <c r="U5" s="207"/>
      <c r="V5" s="208"/>
      <c r="W5" s="210"/>
      <c r="X5" s="208"/>
    </row>
    <row r="6" spans="1:24" ht="17.5" thickTop="1" x14ac:dyDescent="0.45">
      <c r="A6" s="187" t="s">
        <v>215</v>
      </c>
      <c r="B6" s="37">
        <f>COUNTIF(I:AL,"아름다움")</f>
        <v>0</v>
      </c>
      <c r="C6" s="37" t="s">
        <v>237</v>
      </c>
      <c r="D6" s="37">
        <f>COUNTIF(I:AL,"윤분숙;")</f>
        <v>4</v>
      </c>
      <c r="F6" s="188"/>
      <c r="H6" s="609">
        <v>11</v>
      </c>
      <c r="I6" s="204"/>
      <c r="J6" s="205"/>
      <c r="K6" s="204" t="s">
        <v>134</v>
      </c>
      <c r="L6" s="205"/>
      <c r="M6" s="204"/>
      <c r="N6" s="205"/>
      <c r="O6" s="204"/>
      <c r="P6" s="205"/>
      <c r="Q6" s="204"/>
      <c r="R6" s="205"/>
      <c r="S6" s="204"/>
      <c r="T6" s="205"/>
      <c r="U6" s="204"/>
      <c r="V6" s="205"/>
      <c r="W6" s="204"/>
      <c r="X6" s="205"/>
    </row>
    <row r="7" spans="1:24" ht="17.5" thickBot="1" x14ac:dyDescent="0.5">
      <c r="A7" s="187" t="s">
        <v>238</v>
      </c>
      <c r="B7" s="37">
        <f>COUNTIF(I:AL,"이기찬")</f>
        <v>3</v>
      </c>
      <c r="C7" s="37" t="s">
        <v>163</v>
      </c>
      <c r="D7" s="37">
        <f>COUNTIF(I:AL,"이말진;")</f>
        <v>0</v>
      </c>
      <c r="E7" s="37"/>
      <c r="F7" s="188"/>
      <c r="H7" s="610"/>
      <c r="I7" s="207"/>
      <c r="J7" s="208"/>
      <c r="K7" s="207"/>
      <c r="L7" s="208"/>
      <c r="M7" s="207"/>
      <c r="N7" s="208"/>
      <c r="O7" s="207"/>
      <c r="P7" s="208"/>
      <c r="Q7" s="207"/>
      <c r="R7" s="208"/>
      <c r="S7" s="207"/>
      <c r="T7" s="208"/>
      <c r="U7" s="207"/>
      <c r="V7" s="208"/>
      <c r="W7" s="210"/>
      <c r="X7" s="208"/>
    </row>
    <row r="8" spans="1:24" ht="17.5" thickTop="1" x14ac:dyDescent="0.45">
      <c r="A8" s="187" t="s">
        <v>166</v>
      </c>
      <c r="B8" s="37">
        <f>COUNTIF(I:AL,"초연")</f>
        <v>0</v>
      </c>
      <c r="C8" s="37" t="s">
        <v>159</v>
      </c>
      <c r="D8" s="37">
        <f>COUNTIF(I:AL,"최임이;")</f>
        <v>3</v>
      </c>
      <c r="E8" s="37"/>
      <c r="F8" s="188"/>
      <c r="H8" s="609">
        <v>12</v>
      </c>
      <c r="I8" s="204"/>
      <c r="J8" s="205"/>
      <c r="K8" s="204"/>
      <c r="L8" s="205"/>
      <c r="M8" s="204" t="s">
        <v>74</v>
      </c>
      <c r="N8" s="205"/>
      <c r="O8" s="204"/>
      <c r="P8" s="205"/>
      <c r="Q8" s="204"/>
      <c r="R8" s="205"/>
      <c r="S8" s="204"/>
      <c r="T8" s="205"/>
      <c r="U8" s="204"/>
      <c r="V8" s="205"/>
      <c r="W8" s="204"/>
      <c r="X8" s="205"/>
    </row>
    <row r="9" spans="1:24" ht="17.5" thickBot="1" x14ac:dyDescent="0.5">
      <c r="A9" s="187" t="s">
        <v>233</v>
      </c>
      <c r="B9" s="37">
        <f>COUNTIF(I:AL,"이소영")</f>
        <v>5</v>
      </c>
      <c r="C9" s="37" t="s">
        <v>12</v>
      </c>
      <c r="D9" s="37">
        <f>COUNTIF(I:AL,"김혜정;")</f>
        <v>0</v>
      </c>
      <c r="E9" s="37"/>
      <c r="F9" s="188"/>
      <c r="H9" s="610"/>
      <c r="I9" s="207"/>
      <c r="J9" s="208"/>
      <c r="K9" s="207"/>
      <c r="L9" s="208"/>
      <c r="M9" s="207"/>
      <c r="N9" s="208"/>
      <c r="O9" s="207"/>
      <c r="P9" s="208"/>
      <c r="Q9" s="207"/>
      <c r="R9" s="208"/>
      <c r="S9" s="207"/>
      <c r="T9" s="208"/>
      <c r="U9" s="207"/>
      <c r="V9" s="208"/>
      <c r="W9" s="210"/>
      <c r="X9" s="208"/>
    </row>
    <row r="10" spans="1:24" ht="18" thickTop="1" thickBot="1" x14ac:dyDescent="0.5">
      <c r="A10" s="187" t="s">
        <v>240</v>
      </c>
      <c r="B10" s="37">
        <f>COUNTIF(I:AL,"임하령")</f>
        <v>0</v>
      </c>
      <c r="C10" s="37"/>
      <c r="E10" s="37"/>
      <c r="F10" s="188"/>
      <c r="H10" s="609">
        <v>1</v>
      </c>
      <c r="I10" s="204"/>
      <c r="J10" s="205"/>
      <c r="K10" s="204"/>
      <c r="L10" s="205"/>
      <c r="M10" s="204"/>
      <c r="N10" s="205"/>
      <c r="O10" s="204"/>
      <c r="P10" s="205"/>
      <c r="Q10" s="204"/>
      <c r="R10" s="205"/>
      <c r="S10" s="204"/>
      <c r="T10" s="205"/>
      <c r="U10" s="204"/>
      <c r="V10" s="205"/>
      <c r="W10" s="204"/>
      <c r="X10" s="205"/>
    </row>
    <row r="11" spans="1:24" ht="18" thickTop="1" thickBot="1" x14ac:dyDescent="0.5">
      <c r="A11" s="187" t="s">
        <v>236</v>
      </c>
      <c r="B11" s="37">
        <f>COUNTIF(I:AL,"임하린")</f>
        <v>4</v>
      </c>
      <c r="C11" s="191" t="s">
        <v>236</v>
      </c>
      <c r="D11" s="192">
        <f>COUNTIF(K:AN,"임하린;")</f>
        <v>3</v>
      </c>
      <c r="E11" s="37"/>
      <c r="F11" s="188"/>
      <c r="H11" s="610"/>
      <c r="I11" s="207"/>
      <c r="J11" s="208"/>
      <c r="K11" s="207"/>
      <c r="L11" s="208"/>
      <c r="M11" s="207"/>
      <c r="N11" s="208"/>
      <c r="O11" s="207"/>
      <c r="P11" s="208"/>
      <c r="Q11" s="207"/>
      <c r="R11" s="208"/>
      <c r="S11" s="207"/>
      <c r="T11" s="208"/>
      <c r="U11" s="207"/>
      <c r="V11" s="208"/>
      <c r="W11" s="210"/>
      <c r="X11" s="208"/>
    </row>
    <row r="12" spans="1:24" ht="17.5" thickTop="1" x14ac:dyDescent="0.45">
      <c r="A12" s="195" t="s">
        <v>241</v>
      </c>
      <c r="B12" s="37">
        <f>COUNTIF(I:AL,"정지원")</f>
        <v>3</v>
      </c>
      <c r="C12" s="193" t="s">
        <v>241</v>
      </c>
      <c r="D12" s="194">
        <f>COUNTIF(K:AN,"정지원;")</f>
        <v>3</v>
      </c>
      <c r="E12" s="37"/>
      <c r="F12" s="188"/>
      <c r="H12" s="609">
        <v>2</v>
      </c>
      <c r="I12" s="204" t="s">
        <v>20</v>
      </c>
      <c r="J12" s="205"/>
      <c r="K12" s="204"/>
      <c r="L12" s="205"/>
      <c r="M12" s="204"/>
      <c r="N12" s="205"/>
      <c r="O12" s="204"/>
      <c r="P12" s="205"/>
      <c r="Q12" s="204"/>
      <c r="R12" s="205"/>
      <c r="S12" s="204"/>
      <c r="T12" s="205"/>
      <c r="U12" s="204"/>
      <c r="V12" s="205"/>
      <c r="W12" s="204"/>
      <c r="X12" s="205"/>
    </row>
    <row r="13" spans="1:24" ht="17.5" thickBot="1" x14ac:dyDescent="0.5">
      <c r="A13" s="195" t="s">
        <v>157</v>
      </c>
      <c r="B13" s="37">
        <f>COUNTIF(I:AL,"최은실")</f>
        <v>0</v>
      </c>
      <c r="C13" s="193" t="s">
        <v>166</v>
      </c>
      <c r="D13" s="194">
        <f>COUNTIF(K:AN,"초연;")</f>
        <v>0</v>
      </c>
      <c r="E13" s="37"/>
      <c r="F13" s="188"/>
      <c r="H13" s="610"/>
      <c r="I13" s="207"/>
      <c r="J13" s="208"/>
      <c r="K13" s="207"/>
      <c r="L13" s="208"/>
      <c r="M13" s="207"/>
      <c r="N13" s="208"/>
      <c r="O13" s="207"/>
      <c r="P13" s="208"/>
      <c r="Q13" s="207"/>
      <c r="R13" s="208"/>
      <c r="S13" s="207"/>
      <c r="T13" s="208"/>
      <c r="U13" s="207"/>
      <c r="V13" s="208"/>
      <c r="W13" s="210"/>
      <c r="X13" s="208"/>
    </row>
    <row r="14" spans="1:24" ht="17.5" thickTop="1" x14ac:dyDescent="0.45">
      <c r="A14" s="195" t="s">
        <v>242</v>
      </c>
      <c r="B14" s="37">
        <f>COUNTIF(I:AL,"박창민")</f>
        <v>0</v>
      </c>
      <c r="C14" s="193" t="s">
        <v>215</v>
      </c>
      <c r="D14" s="194">
        <f>COUNTIF(K:AN,"아름다움;")</f>
        <v>0</v>
      </c>
      <c r="E14" s="37"/>
      <c r="F14" s="188"/>
      <c r="H14" s="609">
        <v>3</v>
      </c>
      <c r="I14" s="204"/>
      <c r="J14" s="205"/>
      <c r="K14" s="204"/>
      <c r="L14" s="205"/>
      <c r="M14" s="204"/>
      <c r="N14" s="205"/>
      <c r="O14" s="204"/>
      <c r="P14" s="205"/>
      <c r="Q14" s="204" t="s">
        <v>168</v>
      </c>
      <c r="R14" s="205"/>
      <c r="S14" s="204" t="s">
        <v>1</v>
      </c>
      <c r="T14" s="205"/>
      <c r="U14" s="204" t="s">
        <v>246</v>
      </c>
      <c r="V14" s="205" t="s">
        <v>267</v>
      </c>
      <c r="W14" s="204"/>
      <c r="X14" s="205"/>
    </row>
    <row r="15" spans="1:24" ht="17.5" thickBot="1" x14ac:dyDescent="0.5">
      <c r="A15" s="195" t="s">
        <v>245</v>
      </c>
      <c r="B15" s="37">
        <f>COUNTIF(I:AL,"채린")</f>
        <v>0</v>
      </c>
      <c r="C15" s="193" t="s">
        <v>242</v>
      </c>
      <c r="D15" s="194">
        <f>COUNTIF(K:AN,"박창민;")</f>
        <v>0</v>
      </c>
      <c r="E15" s="37"/>
      <c r="F15" s="188"/>
      <c r="H15" s="610"/>
      <c r="I15" s="207"/>
      <c r="J15" s="208"/>
      <c r="K15" s="207"/>
      <c r="L15" s="208"/>
      <c r="M15" s="207"/>
      <c r="N15" s="208"/>
      <c r="O15" s="207"/>
      <c r="P15" s="208"/>
      <c r="Q15" s="207"/>
      <c r="R15" s="208"/>
      <c r="S15" s="207"/>
      <c r="T15" s="208"/>
      <c r="U15" s="207" t="s">
        <v>262</v>
      </c>
      <c r="V15" s="208"/>
      <c r="W15" s="210"/>
      <c r="X15" s="208"/>
    </row>
    <row r="16" spans="1:24" ht="17.5" thickTop="1" x14ac:dyDescent="0.45">
      <c r="A16" s="195" t="s">
        <v>159</v>
      </c>
      <c r="B16" s="37">
        <f>COUNTIF(I:AL,"최임이")</f>
        <v>0</v>
      </c>
      <c r="C16" s="193" t="s">
        <v>231</v>
      </c>
      <c r="D16" s="194">
        <f>COUNTIF(K:AN,"배이준;")</f>
        <v>3</v>
      </c>
      <c r="E16" s="37"/>
      <c r="F16" s="188"/>
      <c r="H16" s="609">
        <v>4</v>
      </c>
      <c r="I16" s="204"/>
      <c r="J16" s="205"/>
      <c r="K16" s="204"/>
      <c r="L16" s="205"/>
      <c r="M16" s="204"/>
      <c r="N16" s="205"/>
      <c r="O16" s="204"/>
      <c r="P16" s="205"/>
      <c r="Q16" s="204"/>
      <c r="R16" s="205"/>
      <c r="S16" s="204"/>
      <c r="T16" s="205"/>
      <c r="U16" s="204"/>
      <c r="V16" s="205"/>
      <c r="W16" s="204"/>
      <c r="X16" s="205"/>
    </row>
    <row r="17" spans="1:24" ht="17.5" thickBot="1" x14ac:dyDescent="0.5">
      <c r="A17" s="195" t="s">
        <v>247</v>
      </c>
      <c r="B17" s="37">
        <f>COUNTIF(I:AL,"김혜정")</f>
        <v>0</v>
      </c>
      <c r="C17" s="193" t="s">
        <v>240</v>
      </c>
      <c r="D17" s="194">
        <f>COUNTIF(K:AN,"임하령;")</f>
        <v>0</v>
      </c>
      <c r="E17" s="37"/>
      <c r="F17" s="188"/>
      <c r="H17" s="610"/>
      <c r="I17" s="207"/>
      <c r="J17" s="208"/>
      <c r="K17" s="207"/>
      <c r="L17" s="208"/>
      <c r="M17" s="207"/>
      <c r="N17" s="208"/>
      <c r="O17" s="207"/>
      <c r="P17" s="208"/>
      <c r="Q17" s="207"/>
      <c r="R17" s="208"/>
      <c r="S17" s="207"/>
      <c r="T17" s="208"/>
      <c r="U17" s="207"/>
      <c r="V17" s="208"/>
      <c r="W17" s="210"/>
      <c r="X17" s="208"/>
    </row>
    <row r="18" spans="1:24" ht="17.5" thickTop="1" x14ac:dyDescent="0.45">
      <c r="A18" s="195" t="s">
        <v>168</v>
      </c>
      <c r="B18" s="37">
        <f>COUNTIF(I:AL,"박사랑")</f>
        <v>4</v>
      </c>
      <c r="C18" s="193" t="s">
        <v>233</v>
      </c>
      <c r="D18" s="194">
        <f>COUNTIF(K:AN,"이소영;")</f>
        <v>2</v>
      </c>
      <c r="E18" s="37"/>
      <c r="F18" s="188"/>
      <c r="H18" s="609">
        <v>5</v>
      </c>
      <c r="I18" s="204"/>
      <c r="J18" s="205"/>
      <c r="K18" s="204"/>
      <c r="L18" s="205"/>
      <c r="M18" s="204"/>
      <c r="N18" s="205"/>
      <c r="O18" s="204"/>
      <c r="P18" s="205"/>
      <c r="Q18" s="204"/>
      <c r="R18" s="205"/>
      <c r="S18" s="204"/>
      <c r="T18" s="205"/>
      <c r="U18" s="204" t="s">
        <v>129</v>
      </c>
      <c r="V18" s="205"/>
      <c r="W18" s="204"/>
      <c r="X18" s="205"/>
    </row>
    <row r="19" spans="1:24" ht="17.5" thickBot="1" x14ac:dyDescent="0.5">
      <c r="A19" s="195" t="s">
        <v>171</v>
      </c>
      <c r="B19" s="37">
        <f>COUNTIF(I:AL,"신정인")</f>
        <v>3</v>
      </c>
      <c r="C19" s="193" t="s">
        <v>238</v>
      </c>
      <c r="D19" s="194">
        <f>COUNTIF(K:AN,"이기찬;")</f>
        <v>3</v>
      </c>
      <c r="E19" s="37"/>
      <c r="F19" s="188"/>
      <c r="H19" s="610"/>
      <c r="I19" s="207"/>
      <c r="J19" s="208"/>
      <c r="K19" s="207"/>
      <c r="L19" s="208"/>
      <c r="M19" s="207"/>
      <c r="N19" s="208"/>
      <c r="O19" s="207"/>
      <c r="P19" s="208"/>
      <c r="Q19" s="207"/>
      <c r="R19" s="208"/>
      <c r="S19" s="207"/>
      <c r="T19" s="208"/>
      <c r="U19" s="207"/>
      <c r="V19" s="208"/>
      <c r="W19" s="210"/>
      <c r="X19" s="208"/>
    </row>
    <row r="20" spans="1:24" ht="17.5" thickTop="1" x14ac:dyDescent="0.45">
      <c r="A20" s="196"/>
      <c r="C20" s="193"/>
      <c r="D20" s="194"/>
      <c r="E20" s="37"/>
      <c r="F20" s="188"/>
      <c r="H20" s="609">
        <v>6</v>
      </c>
      <c r="I20" s="204"/>
      <c r="J20" s="205"/>
      <c r="K20" s="204"/>
      <c r="L20" s="205"/>
      <c r="M20" s="204"/>
      <c r="N20" s="205"/>
      <c r="O20" s="204"/>
      <c r="P20" s="205"/>
      <c r="Q20" s="204"/>
      <c r="R20" s="205"/>
      <c r="S20" s="204" t="s">
        <v>268</v>
      </c>
      <c r="T20" s="205" t="s">
        <v>260</v>
      </c>
      <c r="U20" s="204" t="s">
        <v>244</v>
      </c>
      <c r="V20" s="205"/>
      <c r="W20" s="204"/>
      <c r="X20" s="205"/>
    </row>
    <row r="21" spans="1:24" x14ac:dyDescent="0.45">
      <c r="A21" s="195"/>
      <c r="B21" s="37"/>
      <c r="C21" s="193"/>
      <c r="D21" s="194"/>
      <c r="E21" s="37"/>
      <c r="F21" s="188"/>
      <c r="H21" s="609"/>
      <c r="I21" s="204"/>
      <c r="J21" s="205"/>
      <c r="K21" s="204"/>
      <c r="L21" s="205"/>
      <c r="M21" s="204"/>
      <c r="N21" s="205"/>
      <c r="O21" s="204"/>
      <c r="P21" s="205"/>
      <c r="Q21" s="204"/>
      <c r="R21" s="205"/>
      <c r="S21" s="204" t="s">
        <v>252</v>
      </c>
      <c r="T21" s="205"/>
      <c r="U21" s="204"/>
      <c r="V21" s="205"/>
      <c r="W21" s="204"/>
      <c r="X21" s="205"/>
    </row>
    <row r="22" spans="1:24" x14ac:dyDescent="0.45">
      <c r="A22" s="187"/>
      <c r="B22" s="37"/>
      <c r="C22" s="193"/>
      <c r="D22" s="194"/>
      <c r="E22" s="37"/>
      <c r="F22" s="188"/>
      <c r="H22" s="609"/>
      <c r="I22" s="204"/>
      <c r="J22" s="205"/>
      <c r="K22" s="204"/>
      <c r="L22" s="205"/>
      <c r="M22" s="204"/>
      <c r="N22" s="205"/>
      <c r="O22" s="204"/>
      <c r="P22" s="205"/>
      <c r="Q22" s="204"/>
      <c r="R22" s="205"/>
      <c r="S22" s="204" t="s">
        <v>249</v>
      </c>
      <c r="T22" s="205"/>
      <c r="U22" s="204"/>
      <c r="V22" s="205"/>
      <c r="W22" s="204"/>
      <c r="X22" s="205"/>
    </row>
    <row r="23" spans="1:24" ht="17.5" thickBot="1" x14ac:dyDescent="0.5">
      <c r="A23" s="197"/>
      <c r="B23" s="198"/>
      <c r="C23" s="199"/>
      <c r="D23" s="200"/>
      <c r="E23" s="198"/>
      <c r="F23" s="201"/>
      <c r="H23" s="610"/>
      <c r="I23" s="207"/>
      <c r="J23" s="208"/>
      <c r="K23" s="207"/>
      <c r="L23" s="208"/>
      <c r="M23" s="207"/>
      <c r="N23" s="208"/>
      <c r="O23" s="207"/>
      <c r="P23" s="208"/>
      <c r="Q23" s="207"/>
      <c r="R23" s="208"/>
      <c r="S23" s="207" t="s">
        <v>253</v>
      </c>
      <c r="T23" s="208"/>
      <c r="U23" s="207"/>
      <c r="V23" s="208"/>
      <c r="W23" s="210"/>
      <c r="X23" s="208"/>
    </row>
    <row r="24" spans="1:24" ht="17.5" thickTop="1" x14ac:dyDescent="0.45">
      <c r="H24" s="609">
        <v>7</v>
      </c>
      <c r="I24" s="204"/>
      <c r="J24" s="205"/>
      <c r="K24" s="204"/>
      <c r="L24" s="205"/>
      <c r="M24" s="204"/>
      <c r="N24" s="205"/>
      <c r="O24" s="204"/>
      <c r="P24" s="205"/>
      <c r="Q24" s="204"/>
      <c r="R24" s="205"/>
      <c r="S24" s="204"/>
      <c r="T24" s="205"/>
      <c r="U24" s="204"/>
      <c r="V24" s="205"/>
      <c r="W24" s="204"/>
      <c r="X24" s="205"/>
    </row>
    <row r="25" spans="1:24" ht="17.5" thickBot="1" x14ac:dyDescent="0.5">
      <c r="A25" s="37"/>
      <c r="B25" s="37"/>
      <c r="C25" s="37"/>
      <c r="D25" s="37"/>
      <c r="E25" s="37"/>
      <c r="F25" s="37"/>
      <c r="H25" s="610"/>
      <c r="I25" s="207"/>
      <c r="J25" s="208"/>
      <c r="K25" s="207"/>
      <c r="L25" s="208"/>
      <c r="M25" s="207"/>
      <c r="N25" s="208"/>
      <c r="O25" s="207"/>
      <c r="P25" s="208"/>
      <c r="Q25" s="207"/>
      <c r="R25" s="208"/>
      <c r="S25" s="207"/>
      <c r="T25" s="208"/>
      <c r="U25" s="207"/>
      <c r="V25" s="208"/>
      <c r="W25" s="210"/>
      <c r="X25" s="208"/>
    </row>
    <row r="26" spans="1:24" ht="17.5" thickTop="1" x14ac:dyDescent="0.45">
      <c r="A26" s="37"/>
      <c r="B26" s="37"/>
      <c r="C26" s="37"/>
      <c r="D26" s="37"/>
      <c r="E26" s="37"/>
      <c r="F26" s="37"/>
    </row>
    <row r="27" spans="1:24" ht="17.5" thickBot="1" x14ac:dyDescent="0.5">
      <c r="A27" s="37"/>
      <c r="B27" s="37"/>
      <c r="C27" s="37"/>
      <c r="D27" s="37"/>
      <c r="E27" s="37"/>
      <c r="F27" s="37"/>
    </row>
    <row r="28" spans="1:24" ht="27" thickTop="1" thickBot="1" x14ac:dyDescent="0.5">
      <c r="H28" s="611" t="s">
        <v>254</v>
      </c>
      <c r="I28" s="612"/>
      <c r="J28" s="613"/>
      <c r="K28" s="185"/>
      <c r="L28" s="186"/>
      <c r="M28" s="186"/>
      <c r="N28" s="186"/>
      <c r="O28" s="186"/>
      <c r="P28" s="186"/>
      <c r="Q28" s="186"/>
      <c r="R28" s="186"/>
      <c r="S28" s="186"/>
      <c r="T28" s="186"/>
      <c r="U28" s="186"/>
      <c r="V28" s="186"/>
    </row>
    <row r="29" spans="1:24" ht="26.5" thickTop="1" thickBot="1" x14ac:dyDescent="0.5">
      <c r="A29" s="182" t="s">
        <v>216</v>
      </c>
      <c r="B29" s="183"/>
      <c r="C29" s="182" t="s">
        <v>217</v>
      </c>
      <c r="D29" s="184" t="s">
        <v>218</v>
      </c>
      <c r="E29" s="182" t="s">
        <v>219</v>
      </c>
      <c r="F29" s="184" t="s">
        <v>220</v>
      </c>
      <c r="H29" s="189"/>
      <c r="I29" s="608">
        <v>12</v>
      </c>
      <c r="J29" s="608"/>
      <c r="K29" s="608">
        <v>13</v>
      </c>
      <c r="L29" s="608"/>
      <c r="M29" s="608">
        <v>14</v>
      </c>
      <c r="N29" s="608"/>
      <c r="O29" s="608">
        <v>15</v>
      </c>
      <c r="P29" s="608"/>
      <c r="Q29" s="608">
        <v>16</v>
      </c>
      <c r="R29" s="608"/>
      <c r="S29" s="608">
        <v>17</v>
      </c>
      <c r="T29" s="608"/>
      <c r="U29" s="608">
        <v>18</v>
      </c>
      <c r="V29" s="608"/>
    </row>
    <row r="30" spans="1:24" ht="26.5" thickTop="1" thickBot="1" x14ac:dyDescent="0.5">
      <c r="A30" s="187" t="s">
        <v>203</v>
      </c>
      <c r="B30" s="37">
        <f>COUNTIF(I:AL,"우리인력")</f>
        <v>5</v>
      </c>
      <c r="C30" s="37" t="s">
        <v>222</v>
      </c>
      <c r="D30" s="37">
        <f>COUNTIF(I:AL,"고영숙;")</f>
        <v>5</v>
      </c>
      <c r="E30" s="37" t="s">
        <v>222</v>
      </c>
      <c r="F30" s="188">
        <f>COUNTIF(I:AL,"고영숙]")</f>
        <v>0</v>
      </c>
      <c r="H30" s="190"/>
      <c r="I30" s="607" t="s">
        <v>224</v>
      </c>
      <c r="J30" s="607"/>
      <c r="K30" s="607" t="s">
        <v>225</v>
      </c>
      <c r="L30" s="607"/>
      <c r="M30" s="607" t="s">
        <v>226</v>
      </c>
      <c r="N30" s="607"/>
      <c r="O30" s="607" t="s">
        <v>227</v>
      </c>
      <c r="P30" s="607"/>
      <c r="Q30" s="607" t="s">
        <v>228</v>
      </c>
      <c r="R30" s="607"/>
      <c r="S30" s="607" t="s">
        <v>229</v>
      </c>
      <c r="T30" s="607"/>
      <c r="U30" s="607" t="s">
        <v>230</v>
      </c>
      <c r="V30" s="607"/>
    </row>
    <row r="31" spans="1:24" ht="17.5" thickTop="1" x14ac:dyDescent="0.45">
      <c r="A31" s="187" t="s">
        <v>138</v>
      </c>
      <c r="B31" s="37">
        <f>COUNTIF(I:AL,"김혜숙")</f>
        <v>0</v>
      </c>
      <c r="C31" s="37" t="s">
        <v>223</v>
      </c>
      <c r="D31" s="37">
        <f>COUNTIF(I:AL,"공하정;")</f>
        <v>1</v>
      </c>
      <c r="E31" s="37" t="s">
        <v>223</v>
      </c>
      <c r="F31" s="188">
        <f>COUNTIF(I:AL,"공하정]")</f>
        <v>0</v>
      </c>
      <c r="H31" s="614">
        <v>10</v>
      </c>
      <c r="I31" s="204"/>
      <c r="J31" s="203"/>
      <c r="K31" s="202"/>
      <c r="L31" s="203"/>
      <c r="M31" s="204"/>
      <c r="N31" s="203"/>
      <c r="O31" s="202"/>
      <c r="P31" s="203"/>
      <c r="Q31" s="202"/>
      <c r="R31" s="203"/>
      <c r="S31" s="202"/>
      <c r="T31" s="203"/>
      <c r="U31" s="202"/>
      <c r="V31" s="203"/>
    </row>
    <row r="32" spans="1:24" ht="17.5" thickBot="1" x14ac:dyDescent="0.5">
      <c r="A32" s="187" t="s">
        <v>231</v>
      </c>
      <c r="B32" s="37">
        <f>COUNTIF(I:AL,"배이준")</f>
        <v>3</v>
      </c>
      <c r="C32" s="37" t="s">
        <v>232</v>
      </c>
      <c r="D32" s="37">
        <f>COUNTIF(I:AL,"김다정;")</f>
        <v>0</v>
      </c>
      <c r="E32" s="37" t="s">
        <v>212</v>
      </c>
      <c r="F32" s="188">
        <f>COUNTIF(I:AL,"소영하린]")</f>
        <v>2</v>
      </c>
      <c r="H32" s="610"/>
      <c r="I32" s="207"/>
      <c r="J32" s="208"/>
      <c r="K32" s="207"/>
      <c r="L32" s="208"/>
      <c r="M32" s="207"/>
      <c r="N32" s="208"/>
      <c r="O32" s="207"/>
      <c r="P32" s="208"/>
      <c r="Q32" s="207"/>
      <c r="R32" s="208"/>
      <c r="S32" s="207"/>
      <c r="T32" s="208"/>
      <c r="U32" s="207"/>
      <c r="V32" s="208"/>
    </row>
    <row r="33" spans="1:22" ht="17.5" thickTop="1" x14ac:dyDescent="0.45">
      <c r="A33" s="187" t="s">
        <v>234</v>
      </c>
      <c r="B33" s="37">
        <f>COUNTIF(I:AL,"신하린")</f>
        <v>2</v>
      </c>
      <c r="C33" s="37" t="s">
        <v>235</v>
      </c>
      <c r="D33" s="37">
        <f>COUNTIF(I:AL,"김용;")</f>
        <v>3</v>
      </c>
      <c r="E33" s="37"/>
      <c r="F33" s="188"/>
      <c r="H33" s="609">
        <v>11</v>
      </c>
      <c r="I33" s="204"/>
      <c r="J33" s="205"/>
      <c r="K33" s="204"/>
      <c r="L33" s="205"/>
      <c r="M33" s="204"/>
      <c r="N33" s="205"/>
      <c r="O33" s="204"/>
      <c r="P33" s="205"/>
      <c r="Q33" s="204" t="s">
        <v>134</v>
      </c>
      <c r="R33" s="205"/>
      <c r="S33" s="204"/>
      <c r="T33" s="205"/>
      <c r="U33" s="204"/>
      <c r="V33" s="205"/>
    </row>
    <row r="34" spans="1:22" ht="17.5" thickBot="1" x14ac:dyDescent="0.5">
      <c r="A34" s="187" t="s">
        <v>215</v>
      </c>
      <c r="B34" s="37">
        <f>COUNTIF(I:AL,"아름다움")</f>
        <v>0</v>
      </c>
      <c r="C34" s="37" t="s">
        <v>237</v>
      </c>
      <c r="D34" s="37">
        <f>COUNTIF(I:AL,"윤분숙;")</f>
        <v>4</v>
      </c>
      <c r="F34" s="188"/>
      <c r="H34" s="610"/>
      <c r="I34" s="207"/>
      <c r="J34" s="208"/>
      <c r="K34" s="207"/>
      <c r="L34" s="208"/>
      <c r="M34" s="207"/>
      <c r="N34" s="208"/>
      <c r="O34" s="207"/>
      <c r="P34" s="208"/>
      <c r="Q34" s="207"/>
      <c r="R34" s="208"/>
      <c r="S34" s="207"/>
      <c r="T34" s="208"/>
      <c r="U34" s="207"/>
      <c r="V34" s="208"/>
    </row>
    <row r="35" spans="1:22" ht="17.5" thickTop="1" x14ac:dyDescent="0.45">
      <c r="A35" s="187" t="s">
        <v>238</v>
      </c>
      <c r="B35" s="37">
        <f>COUNTIF(I:AL,"이기찬")</f>
        <v>3</v>
      </c>
      <c r="C35" s="37" t="s">
        <v>163</v>
      </c>
      <c r="D35" s="37">
        <f>COUNTIF(I:AL,"이말진;")</f>
        <v>0</v>
      </c>
      <c r="E35" s="37"/>
      <c r="F35" s="188"/>
      <c r="H35" s="609">
        <v>12</v>
      </c>
      <c r="I35" s="204"/>
      <c r="J35" s="205"/>
      <c r="K35" s="204"/>
      <c r="L35" s="205"/>
      <c r="M35" s="204"/>
      <c r="N35" s="205"/>
      <c r="O35" s="204"/>
      <c r="P35" s="205"/>
      <c r="Q35" s="204"/>
      <c r="R35" s="205"/>
      <c r="S35" s="204" t="s">
        <v>74</v>
      </c>
      <c r="T35" s="205"/>
      <c r="U35" s="204"/>
      <c r="V35" s="205"/>
    </row>
    <row r="36" spans="1:22" ht="17.5" thickBot="1" x14ac:dyDescent="0.5">
      <c r="A36" s="187" t="s">
        <v>166</v>
      </c>
      <c r="B36" s="37">
        <f>COUNTIF(I:AL,"초연")</f>
        <v>0</v>
      </c>
      <c r="C36" s="37" t="s">
        <v>159</v>
      </c>
      <c r="D36" s="37">
        <f>COUNTIF(I:AL,"최임이;")</f>
        <v>3</v>
      </c>
      <c r="E36" s="37"/>
      <c r="F36" s="188"/>
      <c r="H36" s="610"/>
      <c r="I36" s="207"/>
      <c r="J36" s="208"/>
      <c r="K36" s="207"/>
      <c r="L36" s="208"/>
      <c r="M36" s="207"/>
      <c r="N36" s="208"/>
      <c r="O36" s="207"/>
      <c r="P36" s="208"/>
      <c r="Q36" s="207"/>
      <c r="R36" s="208"/>
      <c r="S36" s="207"/>
      <c r="T36" s="208"/>
      <c r="U36" s="207"/>
      <c r="V36" s="208"/>
    </row>
    <row r="37" spans="1:22" ht="17.5" thickTop="1" x14ac:dyDescent="0.45">
      <c r="A37" s="187" t="s">
        <v>233</v>
      </c>
      <c r="B37" s="37">
        <f>COUNTIF(I:AL,"이소영")</f>
        <v>5</v>
      </c>
      <c r="C37" s="37" t="s">
        <v>12</v>
      </c>
      <c r="D37" s="37">
        <f>COUNTIF(I:AL,"김혜정;")</f>
        <v>0</v>
      </c>
      <c r="E37" s="37"/>
      <c r="F37" s="188"/>
      <c r="H37" s="609">
        <v>1</v>
      </c>
      <c r="I37" s="204"/>
      <c r="J37" s="205"/>
      <c r="K37" s="204"/>
      <c r="L37" s="205"/>
      <c r="M37" s="204"/>
      <c r="N37" s="205"/>
      <c r="O37" s="204"/>
      <c r="P37" s="205"/>
      <c r="Q37" s="204" t="s">
        <v>1</v>
      </c>
      <c r="R37" s="205"/>
      <c r="S37" s="204"/>
      <c r="T37" s="205"/>
      <c r="U37" s="204"/>
      <c r="V37" s="205"/>
    </row>
    <row r="38" spans="1:22" ht="17.5" thickBot="1" x14ac:dyDescent="0.5">
      <c r="A38" s="187" t="s">
        <v>240</v>
      </c>
      <c r="B38" s="37">
        <f>COUNTIF(I:AL,"임하령")</f>
        <v>0</v>
      </c>
      <c r="C38" s="37"/>
      <c r="E38" s="37"/>
      <c r="F38" s="188"/>
      <c r="H38" s="610"/>
      <c r="I38" s="207"/>
      <c r="J38" s="208"/>
      <c r="K38" s="207"/>
      <c r="L38" s="208"/>
      <c r="M38" s="207"/>
      <c r="N38" s="208"/>
      <c r="O38" s="207"/>
      <c r="P38" s="208"/>
      <c r="Q38" s="207"/>
      <c r="R38" s="208"/>
      <c r="S38" s="207"/>
      <c r="T38" s="208"/>
      <c r="U38" s="207"/>
      <c r="V38" s="208"/>
    </row>
    <row r="39" spans="1:22" ht="17.5" thickTop="1" x14ac:dyDescent="0.45">
      <c r="A39" s="187" t="s">
        <v>236</v>
      </c>
      <c r="B39" s="37">
        <f>COUNTIF(I:AL,"임하린")</f>
        <v>4</v>
      </c>
      <c r="C39" s="191" t="s">
        <v>236</v>
      </c>
      <c r="D39" s="192">
        <f>COUNTIF(K:AN,"임하린;")</f>
        <v>3</v>
      </c>
      <c r="E39" s="37"/>
      <c r="F39" s="188"/>
      <c r="H39" s="609">
        <v>2</v>
      </c>
      <c r="I39" s="204"/>
      <c r="J39" s="205"/>
      <c r="K39" s="204" t="s">
        <v>1</v>
      </c>
      <c r="L39" s="205"/>
      <c r="M39" s="204"/>
      <c r="N39" s="205"/>
      <c r="O39" s="204" t="s">
        <v>20</v>
      </c>
      <c r="P39" s="205"/>
      <c r="Q39" s="204"/>
      <c r="R39" s="205"/>
      <c r="S39" s="204"/>
      <c r="T39" s="205"/>
      <c r="U39" s="204"/>
      <c r="V39" s="205"/>
    </row>
    <row r="40" spans="1:22" ht="17.5" thickBot="1" x14ac:dyDescent="0.5">
      <c r="A40" s="195" t="s">
        <v>241</v>
      </c>
      <c r="B40" s="37">
        <f>COUNTIF(I:AL,"정지원")</f>
        <v>3</v>
      </c>
      <c r="C40" s="193" t="s">
        <v>241</v>
      </c>
      <c r="D40" s="194">
        <f>COUNTIF(K:AN,"정지원;")</f>
        <v>3</v>
      </c>
      <c r="E40" s="37"/>
      <c r="F40" s="188"/>
      <c r="H40" s="610"/>
      <c r="I40" s="207"/>
      <c r="J40" s="208"/>
      <c r="K40" s="207"/>
      <c r="L40" s="208"/>
      <c r="M40" s="207"/>
      <c r="N40" s="208"/>
      <c r="O40" s="207"/>
      <c r="P40" s="208"/>
      <c r="Q40" s="207"/>
      <c r="R40" s="208"/>
      <c r="S40" s="207"/>
      <c r="T40" s="208"/>
      <c r="U40" s="207"/>
      <c r="V40" s="208"/>
    </row>
    <row r="41" spans="1:22" ht="17.5" thickTop="1" x14ac:dyDescent="0.45">
      <c r="A41" s="195" t="s">
        <v>157</v>
      </c>
      <c r="B41" s="37">
        <f>COUNTIF(I:AL,"최은실")</f>
        <v>0</v>
      </c>
      <c r="C41" s="193" t="s">
        <v>166</v>
      </c>
      <c r="D41" s="194">
        <f>COUNTIF(K:AN,"초연;")</f>
        <v>0</v>
      </c>
      <c r="E41" s="37"/>
      <c r="F41" s="188"/>
      <c r="H41" s="609">
        <v>3</v>
      </c>
      <c r="I41" s="204"/>
      <c r="J41" s="205"/>
      <c r="K41" s="204"/>
      <c r="L41" s="205"/>
      <c r="M41" s="204" t="s">
        <v>243</v>
      </c>
      <c r="N41" s="205" t="s">
        <v>267</v>
      </c>
      <c r="O41" s="204" t="s">
        <v>132</v>
      </c>
      <c r="P41" s="205"/>
      <c r="Q41" s="204"/>
      <c r="R41" s="205"/>
      <c r="S41" s="204"/>
      <c r="T41" s="205"/>
      <c r="U41" s="204"/>
      <c r="V41" s="205"/>
    </row>
    <row r="42" spans="1:22" ht="17.5" thickBot="1" x14ac:dyDescent="0.5">
      <c r="A42" s="195" t="s">
        <v>242</v>
      </c>
      <c r="B42" s="37">
        <f>COUNTIF(I:AL,"박창민")</f>
        <v>0</v>
      </c>
      <c r="C42" s="193" t="s">
        <v>215</v>
      </c>
      <c r="D42" s="194">
        <f>COUNTIF(K:AN,"아름다움;")</f>
        <v>0</v>
      </c>
      <c r="E42" s="37"/>
      <c r="F42" s="188"/>
      <c r="H42" s="610"/>
      <c r="I42" s="207"/>
      <c r="J42" s="208"/>
      <c r="K42" s="207"/>
      <c r="L42" s="208"/>
      <c r="M42" s="207" t="s">
        <v>246</v>
      </c>
      <c r="N42" s="208" t="s">
        <v>262</v>
      </c>
      <c r="O42" s="207"/>
      <c r="P42" s="208"/>
      <c r="Q42" s="207"/>
      <c r="R42" s="208"/>
      <c r="S42" s="207"/>
      <c r="T42" s="208"/>
      <c r="U42" s="207"/>
      <c r="V42" s="208"/>
    </row>
    <row r="43" spans="1:22" ht="17.5" thickTop="1" x14ac:dyDescent="0.45">
      <c r="A43" s="195" t="s">
        <v>245</v>
      </c>
      <c r="B43" s="37">
        <f>COUNTIF(I:AL,"채린")</f>
        <v>0</v>
      </c>
      <c r="C43" s="193" t="s">
        <v>242</v>
      </c>
      <c r="D43" s="194">
        <f>COUNTIF(K:AN,"박창민;")</f>
        <v>0</v>
      </c>
      <c r="E43" s="37"/>
      <c r="F43" s="188"/>
      <c r="H43" s="609">
        <v>4</v>
      </c>
      <c r="I43" s="204"/>
      <c r="J43" s="205"/>
      <c r="K43" s="204" t="s">
        <v>168</v>
      </c>
      <c r="L43" s="205"/>
      <c r="M43" s="204"/>
      <c r="N43" s="205"/>
      <c r="O43" s="204"/>
      <c r="P43" s="205"/>
      <c r="Q43" s="204"/>
      <c r="R43" s="205"/>
      <c r="S43" s="204"/>
      <c r="T43" s="205"/>
      <c r="U43" s="204"/>
      <c r="V43" s="205"/>
    </row>
    <row r="44" spans="1:22" ht="17.5" thickBot="1" x14ac:dyDescent="0.5">
      <c r="A44" s="195" t="s">
        <v>159</v>
      </c>
      <c r="B44" s="37">
        <f>COUNTIF(I:AL,"최임이")</f>
        <v>0</v>
      </c>
      <c r="C44" s="193" t="s">
        <v>231</v>
      </c>
      <c r="D44" s="194">
        <f>COUNTIF(K:AN,"배이준;")</f>
        <v>3</v>
      </c>
      <c r="E44" s="37"/>
      <c r="F44" s="188"/>
      <c r="H44" s="610"/>
      <c r="I44" s="207"/>
      <c r="J44" s="208"/>
      <c r="K44" s="207"/>
      <c r="L44" s="208"/>
      <c r="M44" s="207"/>
      <c r="N44" s="208"/>
      <c r="O44" s="207"/>
      <c r="P44" s="208"/>
      <c r="Q44" s="207"/>
      <c r="R44" s="208"/>
      <c r="S44" s="207"/>
      <c r="T44" s="208"/>
      <c r="U44" s="207"/>
      <c r="V44" s="208"/>
    </row>
    <row r="45" spans="1:22" ht="17.5" thickTop="1" x14ac:dyDescent="0.45">
      <c r="A45" s="195" t="s">
        <v>247</v>
      </c>
      <c r="B45" s="37">
        <f>COUNTIF(I:AL,"김혜정")</f>
        <v>0</v>
      </c>
      <c r="C45" s="193" t="s">
        <v>240</v>
      </c>
      <c r="D45" s="194">
        <f>COUNTIF(K:AN,"임하령;")</f>
        <v>0</v>
      </c>
      <c r="E45" s="37"/>
      <c r="F45" s="188"/>
      <c r="H45" s="609">
        <v>5</v>
      </c>
      <c r="I45" s="204"/>
      <c r="J45" s="205"/>
      <c r="K45" s="204"/>
      <c r="L45" s="205"/>
      <c r="M45" s="204"/>
      <c r="N45" s="205"/>
      <c r="O45" s="204"/>
      <c r="P45" s="205"/>
      <c r="Q45" s="204"/>
      <c r="R45" s="205"/>
      <c r="S45" s="204"/>
      <c r="T45" s="205"/>
      <c r="U45" s="204"/>
      <c r="V45" s="205"/>
    </row>
    <row r="46" spans="1:22" ht="17.5" thickBot="1" x14ac:dyDescent="0.5">
      <c r="A46" s="195" t="s">
        <v>168</v>
      </c>
      <c r="B46" s="37">
        <f>COUNTIF(I:AL,"박사랑")</f>
        <v>4</v>
      </c>
      <c r="C46" s="193" t="s">
        <v>233</v>
      </c>
      <c r="D46" s="194">
        <f>COUNTIF(K:AN,"이소영;")</f>
        <v>2</v>
      </c>
      <c r="E46" s="37"/>
      <c r="F46" s="188"/>
      <c r="H46" s="610"/>
      <c r="I46" s="207"/>
      <c r="J46" s="208"/>
      <c r="K46" s="207"/>
      <c r="L46" s="208"/>
      <c r="M46" s="207"/>
      <c r="N46" s="208"/>
      <c r="O46" s="207"/>
      <c r="P46" s="208"/>
      <c r="Q46" s="207"/>
      <c r="R46" s="208"/>
      <c r="S46" s="207"/>
      <c r="T46" s="208"/>
      <c r="U46" s="207"/>
      <c r="V46" s="208"/>
    </row>
    <row r="47" spans="1:22" ht="17.5" thickTop="1" x14ac:dyDescent="0.45">
      <c r="A47" s="195" t="s">
        <v>171</v>
      </c>
      <c r="B47" s="37">
        <f>COUNTIF(I:AL,"신정인")</f>
        <v>3</v>
      </c>
      <c r="C47" s="193" t="s">
        <v>238</v>
      </c>
      <c r="D47" s="194">
        <f>COUNTIF(K:AN,"이기찬;")</f>
        <v>3</v>
      </c>
      <c r="E47" s="37"/>
      <c r="F47" s="188"/>
      <c r="H47" s="609">
        <v>6</v>
      </c>
      <c r="I47" s="204"/>
      <c r="J47" s="205"/>
      <c r="K47" s="204" t="s">
        <v>252</v>
      </c>
      <c r="L47" s="205" t="s">
        <v>260</v>
      </c>
      <c r="M47" s="204"/>
      <c r="N47" s="205"/>
      <c r="O47" s="204"/>
      <c r="P47" s="205"/>
      <c r="Q47" s="204"/>
      <c r="R47" s="205"/>
      <c r="S47" s="204"/>
      <c r="T47" s="205"/>
      <c r="U47" s="204"/>
      <c r="V47" s="205"/>
    </row>
    <row r="48" spans="1:22" x14ac:dyDescent="0.45">
      <c r="A48" s="196"/>
      <c r="C48" s="193"/>
      <c r="D48" s="194"/>
      <c r="E48" s="37"/>
      <c r="F48" s="188"/>
      <c r="H48" s="609"/>
      <c r="I48" s="204"/>
      <c r="J48" s="205"/>
      <c r="K48" s="204" t="s">
        <v>251</v>
      </c>
      <c r="L48" s="205"/>
      <c r="M48" s="204"/>
      <c r="N48" s="205"/>
      <c r="O48" s="204"/>
      <c r="P48" s="205"/>
      <c r="Q48" s="204"/>
      <c r="R48" s="205"/>
      <c r="S48" s="204"/>
      <c r="T48" s="205"/>
      <c r="U48" s="204"/>
      <c r="V48" s="205"/>
    </row>
    <row r="49" spans="1:22" x14ac:dyDescent="0.45">
      <c r="A49" s="195"/>
      <c r="B49" s="37"/>
      <c r="C49" s="193"/>
      <c r="D49" s="194"/>
      <c r="E49" s="37"/>
      <c r="F49" s="188"/>
      <c r="H49" s="609"/>
      <c r="I49" s="204"/>
      <c r="J49" s="205"/>
      <c r="K49" s="204" t="s">
        <v>249</v>
      </c>
      <c r="L49" s="205"/>
      <c r="M49" s="204"/>
      <c r="N49" s="205"/>
      <c r="O49" s="204"/>
      <c r="P49" s="205"/>
      <c r="Q49" s="204"/>
      <c r="R49" s="205"/>
      <c r="S49" s="204"/>
      <c r="T49" s="205"/>
      <c r="U49" s="204"/>
      <c r="V49" s="205"/>
    </row>
    <row r="50" spans="1:22" ht="17.5" thickBot="1" x14ac:dyDescent="0.5">
      <c r="A50" s="187"/>
      <c r="B50" s="37"/>
      <c r="C50" s="193"/>
      <c r="D50" s="194"/>
      <c r="E50" s="37"/>
      <c r="F50" s="188"/>
      <c r="H50" s="610"/>
      <c r="I50" s="207"/>
      <c r="J50" s="208"/>
      <c r="K50" s="207" t="s">
        <v>253</v>
      </c>
      <c r="L50" s="208"/>
      <c r="M50" s="207"/>
      <c r="N50" s="208"/>
      <c r="O50" s="207"/>
      <c r="P50" s="208"/>
      <c r="Q50" s="207"/>
      <c r="R50" s="208"/>
      <c r="S50" s="207"/>
      <c r="T50" s="208"/>
      <c r="U50" s="207"/>
      <c r="V50" s="208"/>
    </row>
    <row r="51" spans="1:22" ht="18" thickTop="1" thickBot="1" x14ac:dyDescent="0.5">
      <c r="A51" s="197"/>
      <c r="B51" s="198"/>
      <c r="C51" s="199"/>
      <c r="D51" s="200"/>
      <c r="E51" s="198"/>
      <c r="F51" s="201"/>
      <c r="H51" s="609">
        <v>7</v>
      </c>
      <c r="I51" s="204"/>
      <c r="J51" s="205"/>
      <c r="K51" s="204"/>
      <c r="L51" s="205"/>
      <c r="M51" s="204" t="s">
        <v>61</v>
      </c>
      <c r="N51" s="205"/>
      <c r="O51" s="204"/>
      <c r="P51" s="205"/>
      <c r="Q51" s="204"/>
      <c r="R51" s="205"/>
      <c r="S51" s="204"/>
      <c r="T51" s="205"/>
      <c r="U51" s="204"/>
      <c r="V51" s="205"/>
    </row>
    <row r="52" spans="1:22" ht="18" thickTop="1" thickBot="1" x14ac:dyDescent="0.5">
      <c r="H52" s="610"/>
      <c r="I52" s="207"/>
      <c r="J52" s="208"/>
      <c r="K52" s="207"/>
      <c r="L52" s="208"/>
      <c r="M52" s="207"/>
      <c r="N52" s="208"/>
      <c r="O52" s="207"/>
      <c r="P52" s="208"/>
      <c r="Q52" s="207"/>
      <c r="R52" s="208"/>
      <c r="S52" s="207"/>
      <c r="T52" s="208"/>
      <c r="U52" s="207"/>
      <c r="V52" s="208"/>
    </row>
    <row r="53" spans="1:22" ht="17.5" thickTop="1" x14ac:dyDescent="0.45">
      <c r="H53" s="112"/>
      <c r="I53" s="112"/>
      <c r="J53" s="112"/>
      <c r="K53" s="112"/>
      <c r="L53" s="112"/>
      <c r="M53" s="112"/>
      <c r="N53" s="112"/>
      <c r="O53" s="112"/>
      <c r="P53" s="112"/>
      <c r="Q53" s="112"/>
      <c r="R53" s="112"/>
      <c r="S53" s="112"/>
      <c r="T53" s="112"/>
      <c r="U53" s="112"/>
    </row>
    <row r="54" spans="1:22" ht="17.5" thickBot="1" x14ac:dyDescent="0.5"/>
    <row r="55" spans="1:22" ht="27" thickTop="1" thickBot="1" x14ac:dyDescent="0.5">
      <c r="H55" s="611" t="s">
        <v>258</v>
      </c>
      <c r="I55" s="612"/>
      <c r="J55" s="613"/>
      <c r="K55" s="185"/>
      <c r="L55" s="186"/>
      <c r="M55" s="186"/>
      <c r="N55" s="186"/>
      <c r="O55" s="186"/>
      <c r="P55" s="186"/>
      <c r="Q55" s="186"/>
      <c r="R55" s="186"/>
      <c r="S55" s="186"/>
      <c r="T55" s="186"/>
      <c r="U55" s="186"/>
      <c r="V55" s="186"/>
    </row>
    <row r="56" spans="1:22" ht="26.5" thickTop="1" thickBot="1" x14ac:dyDescent="0.5">
      <c r="A56" s="182" t="s">
        <v>216</v>
      </c>
      <c r="B56" s="183"/>
      <c r="C56" s="182" t="s">
        <v>217</v>
      </c>
      <c r="D56" s="184" t="s">
        <v>218</v>
      </c>
      <c r="E56" s="182" t="s">
        <v>219</v>
      </c>
      <c r="F56" s="184" t="s">
        <v>220</v>
      </c>
      <c r="H56" s="189"/>
      <c r="I56" s="608">
        <v>19</v>
      </c>
      <c r="J56" s="608"/>
      <c r="K56" s="608">
        <v>20</v>
      </c>
      <c r="L56" s="608"/>
      <c r="M56" s="608">
        <v>21</v>
      </c>
      <c r="N56" s="608"/>
      <c r="O56" s="608">
        <v>22</v>
      </c>
      <c r="P56" s="608"/>
      <c r="Q56" s="608">
        <v>23</v>
      </c>
      <c r="R56" s="608"/>
      <c r="S56" s="608">
        <v>24</v>
      </c>
      <c r="T56" s="608"/>
      <c r="U56" s="608">
        <v>25</v>
      </c>
      <c r="V56" s="608"/>
    </row>
    <row r="57" spans="1:22" ht="26.5" thickTop="1" thickBot="1" x14ac:dyDescent="0.5">
      <c r="A57" s="187" t="s">
        <v>203</v>
      </c>
      <c r="B57" s="37">
        <f>COUNTIF(I:AL,"우리인력")</f>
        <v>5</v>
      </c>
      <c r="C57" s="37" t="s">
        <v>222</v>
      </c>
      <c r="D57" s="37">
        <f>COUNTIF(I:AL,"고영숙;")</f>
        <v>5</v>
      </c>
      <c r="E57" s="37" t="s">
        <v>222</v>
      </c>
      <c r="F57" s="188">
        <f>COUNTIF(I:AL,"고영숙]")</f>
        <v>0</v>
      </c>
      <c r="H57" s="190"/>
      <c r="I57" s="607" t="s">
        <v>224</v>
      </c>
      <c r="J57" s="607"/>
      <c r="K57" s="607" t="s">
        <v>225</v>
      </c>
      <c r="L57" s="607"/>
      <c r="M57" s="607" t="s">
        <v>226</v>
      </c>
      <c r="N57" s="607"/>
      <c r="O57" s="607" t="s">
        <v>227</v>
      </c>
      <c r="P57" s="607"/>
      <c r="Q57" s="607" t="s">
        <v>228</v>
      </c>
      <c r="R57" s="607"/>
      <c r="S57" s="607" t="s">
        <v>229</v>
      </c>
      <c r="T57" s="607"/>
      <c r="U57" s="607" t="s">
        <v>230</v>
      </c>
      <c r="V57" s="607"/>
    </row>
    <row r="58" spans="1:22" ht="17.5" thickTop="1" x14ac:dyDescent="0.45">
      <c r="A58" s="187" t="s">
        <v>138</v>
      </c>
      <c r="B58" s="37">
        <f>COUNTIF(I:AL,"김혜숙")</f>
        <v>0</v>
      </c>
      <c r="C58" s="37" t="s">
        <v>223</v>
      </c>
      <c r="D58" s="37">
        <f>COUNTIF(I:AL,"공하정;")</f>
        <v>1</v>
      </c>
      <c r="E58" s="37" t="s">
        <v>223</v>
      </c>
      <c r="F58" s="188">
        <f>COUNTIF(I:AL,"공하정]")</f>
        <v>0</v>
      </c>
      <c r="H58" s="614">
        <v>10</v>
      </c>
      <c r="I58" s="204" t="s">
        <v>203</v>
      </c>
      <c r="J58" s="203"/>
      <c r="K58" s="202"/>
      <c r="L58" s="203"/>
      <c r="M58" s="202"/>
      <c r="N58" s="203"/>
      <c r="O58" s="202" t="s">
        <v>203</v>
      </c>
      <c r="P58" s="203"/>
      <c r="Q58" s="202"/>
      <c r="R58" s="203"/>
      <c r="S58" s="202"/>
      <c r="T58" s="205"/>
      <c r="U58" s="202"/>
      <c r="V58" s="203"/>
    </row>
    <row r="59" spans="1:22" ht="17.5" thickBot="1" x14ac:dyDescent="0.5">
      <c r="A59" s="187" t="s">
        <v>231</v>
      </c>
      <c r="B59" s="37">
        <f>COUNTIF(I:AL,"배이준")</f>
        <v>3</v>
      </c>
      <c r="C59" s="37" t="s">
        <v>232</v>
      </c>
      <c r="D59" s="37">
        <f>COUNTIF(I:AL,"김다정;")</f>
        <v>0</v>
      </c>
      <c r="E59" s="37" t="s">
        <v>212</v>
      </c>
      <c r="F59" s="188">
        <f>COUNTIF(I:AL,"소영하린]")</f>
        <v>2</v>
      </c>
      <c r="H59" s="610"/>
      <c r="I59" s="207"/>
      <c r="J59" s="208"/>
      <c r="K59" s="207"/>
      <c r="L59" s="208"/>
      <c r="M59" s="207"/>
      <c r="N59" s="208"/>
      <c r="O59" s="207"/>
      <c r="P59" s="208"/>
      <c r="Q59" s="207"/>
      <c r="R59" s="208"/>
      <c r="S59" s="207"/>
      <c r="T59" s="208"/>
      <c r="U59" s="207"/>
      <c r="V59" s="208"/>
    </row>
    <row r="60" spans="1:22" ht="18" thickTop="1" thickBot="1" x14ac:dyDescent="0.5">
      <c r="A60" s="187" t="s">
        <v>234</v>
      </c>
      <c r="B60" s="37">
        <f>COUNTIF(I:AL,"신하린")</f>
        <v>2</v>
      </c>
      <c r="C60" s="37" t="s">
        <v>235</v>
      </c>
      <c r="D60" s="37">
        <f>COUNTIF(I:AL,"김용;")</f>
        <v>3</v>
      </c>
      <c r="E60" s="37"/>
      <c r="F60" s="188"/>
      <c r="H60" s="615">
        <v>11</v>
      </c>
      <c r="I60" s="211"/>
      <c r="J60" s="205"/>
      <c r="K60" s="204"/>
      <c r="L60" s="205"/>
      <c r="M60" s="204"/>
      <c r="N60" s="205"/>
      <c r="O60" s="204"/>
      <c r="P60" s="205"/>
      <c r="Q60" s="204" t="s">
        <v>171</v>
      </c>
      <c r="R60" s="205"/>
      <c r="S60" s="204" t="s">
        <v>74</v>
      </c>
      <c r="T60" s="205"/>
      <c r="U60" s="204"/>
      <c r="V60" s="205"/>
    </row>
    <row r="61" spans="1:22" ht="18" thickTop="1" thickBot="1" x14ac:dyDescent="0.5">
      <c r="A61" s="187" t="s">
        <v>215</v>
      </c>
      <c r="B61" s="37">
        <f>COUNTIF(I:AL,"아름다움")</f>
        <v>0</v>
      </c>
      <c r="C61" s="37" t="s">
        <v>237</v>
      </c>
      <c r="D61" s="37">
        <f>COUNTIF(I:AL,"윤분숙;")</f>
        <v>4</v>
      </c>
      <c r="F61" s="188"/>
      <c r="H61" s="610"/>
      <c r="I61" s="207"/>
      <c r="J61" s="208"/>
      <c r="K61" s="207"/>
      <c r="L61" s="208"/>
      <c r="M61" s="207"/>
      <c r="N61" s="208"/>
      <c r="O61" s="207"/>
      <c r="P61" s="208"/>
      <c r="Q61" s="207"/>
      <c r="R61" s="208"/>
      <c r="S61" s="207"/>
      <c r="T61" s="208"/>
      <c r="U61" s="207"/>
      <c r="V61" s="208"/>
    </row>
    <row r="62" spans="1:22" ht="17.5" thickTop="1" x14ac:dyDescent="0.45">
      <c r="A62" s="187" t="s">
        <v>238</v>
      </c>
      <c r="B62" s="37">
        <f>COUNTIF(I:AL,"이기찬")</f>
        <v>3</v>
      </c>
      <c r="C62" s="37" t="s">
        <v>163</v>
      </c>
      <c r="D62" s="37">
        <f>COUNTIF(I:AL,"이말진;")</f>
        <v>0</v>
      </c>
      <c r="E62" s="37"/>
      <c r="F62" s="188"/>
      <c r="H62" s="609">
        <v>12</v>
      </c>
      <c r="I62" s="204"/>
      <c r="J62" s="205"/>
      <c r="K62" s="204"/>
      <c r="L62" s="205"/>
      <c r="M62" s="204"/>
      <c r="N62" s="205"/>
      <c r="O62" s="204"/>
      <c r="P62" s="205"/>
      <c r="Q62" s="204"/>
      <c r="R62" s="205"/>
      <c r="S62" s="204"/>
      <c r="T62" s="205"/>
      <c r="U62" s="204"/>
      <c r="V62" s="205"/>
    </row>
    <row r="63" spans="1:22" ht="17.5" thickBot="1" x14ac:dyDescent="0.5">
      <c r="A63" s="187" t="s">
        <v>166</v>
      </c>
      <c r="B63" s="37">
        <f>COUNTIF(I:AL,"초연")</f>
        <v>0</v>
      </c>
      <c r="C63" s="37" t="s">
        <v>159</v>
      </c>
      <c r="D63" s="37">
        <f>COUNTIF(I:AL,"최임이;")</f>
        <v>3</v>
      </c>
      <c r="E63" s="37"/>
      <c r="F63" s="188"/>
      <c r="H63" s="610"/>
      <c r="I63" s="207"/>
      <c r="J63" s="208"/>
      <c r="K63" s="207"/>
      <c r="L63" s="208"/>
      <c r="M63" s="207"/>
      <c r="N63" s="208"/>
      <c r="O63" s="207"/>
      <c r="P63" s="208"/>
      <c r="Q63" s="207"/>
      <c r="R63" s="208"/>
      <c r="S63" s="207"/>
      <c r="T63" s="208"/>
      <c r="U63" s="207"/>
      <c r="V63" s="208"/>
    </row>
    <row r="64" spans="1:22" ht="17.5" thickTop="1" x14ac:dyDescent="0.45">
      <c r="A64" s="187" t="s">
        <v>233</v>
      </c>
      <c r="B64" s="37">
        <f>COUNTIF(I:AL,"이소영")</f>
        <v>5</v>
      </c>
      <c r="C64" s="37" t="s">
        <v>12</v>
      </c>
      <c r="D64" s="37">
        <f>COUNTIF(I:AL,"김혜정;")</f>
        <v>0</v>
      </c>
      <c r="E64" s="37"/>
      <c r="F64" s="188"/>
      <c r="H64" s="609">
        <v>1</v>
      </c>
      <c r="I64" s="204"/>
      <c r="J64" s="205"/>
      <c r="K64" s="204" t="s">
        <v>1</v>
      </c>
      <c r="L64" s="205"/>
      <c r="M64" s="204"/>
      <c r="N64" s="205"/>
      <c r="O64" s="204"/>
      <c r="P64" s="205"/>
      <c r="Q64" s="204"/>
      <c r="R64" s="205"/>
      <c r="S64" s="204"/>
      <c r="T64" s="205"/>
      <c r="U64" s="204"/>
      <c r="V64" s="205"/>
    </row>
    <row r="65" spans="1:22" ht="17.5" thickBot="1" x14ac:dyDescent="0.5">
      <c r="A65" s="187" t="s">
        <v>240</v>
      </c>
      <c r="B65" s="37">
        <f>COUNTIF(I:AL,"임하령")</f>
        <v>0</v>
      </c>
      <c r="C65" s="37"/>
      <c r="E65" s="37"/>
      <c r="F65" s="188"/>
      <c r="H65" s="610"/>
      <c r="I65" s="207"/>
      <c r="J65" s="208"/>
      <c r="K65" s="207"/>
      <c r="L65" s="208"/>
      <c r="M65" s="207"/>
      <c r="N65" s="208"/>
      <c r="O65" s="207"/>
      <c r="P65" s="208"/>
      <c r="Q65" s="207"/>
      <c r="R65" s="208"/>
      <c r="S65" s="207"/>
      <c r="T65" s="208"/>
      <c r="U65" s="207"/>
      <c r="V65" s="208"/>
    </row>
    <row r="66" spans="1:22" ht="17.5" thickTop="1" x14ac:dyDescent="0.45">
      <c r="A66" s="187" t="s">
        <v>236</v>
      </c>
      <c r="B66" s="37">
        <f>COUNTIF(I:AL,"임하린")</f>
        <v>4</v>
      </c>
      <c r="C66" s="191" t="s">
        <v>236</v>
      </c>
      <c r="D66" s="192">
        <f>COUNTIF(K:AN,"임하린;")</f>
        <v>3</v>
      </c>
      <c r="E66" s="37"/>
      <c r="F66" s="188"/>
      <c r="H66" s="609">
        <v>2</v>
      </c>
      <c r="I66" s="204"/>
      <c r="J66" s="205"/>
      <c r="K66" s="204" t="s">
        <v>276</v>
      </c>
      <c r="L66" s="205"/>
      <c r="M66" s="204" t="s">
        <v>171</v>
      </c>
      <c r="N66" s="205"/>
      <c r="O66" s="204"/>
      <c r="P66" s="205"/>
      <c r="Q66" s="204"/>
      <c r="R66" s="205"/>
      <c r="S66" s="204"/>
      <c r="T66" s="205"/>
      <c r="U66" s="204"/>
      <c r="V66" s="205"/>
    </row>
    <row r="67" spans="1:22" ht="17.5" thickBot="1" x14ac:dyDescent="0.5">
      <c r="A67" s="195" t="s">
        <v>241</v>
      </c>
      <c r="B67" s="37">
        <f>COUNTIF(I:AL,"정지원")</f>
        <v>3</v>
      </c>
      <c r="C67" s="193" t="s">
        <v>241</v>
      </c>
      <c r="D67" s="194">
        <f>COUNTIF(K:AN,"정지원;")</f>
        <v>3</v>
      </c>
      <c r="E67" s="37"/>
      <c r="F67" s="188"/>
      <c r="H67" s="610"/>
      <c r="I67" s="207"/>
      <c r="J67" s="208"/>
      <c r="K67" s="207"/>
      <c r="L67" s="208"/>
      <c r="M67" s="207"/>
      <c r="N67" s="208"/>
      <c r="O67" s="207"/>
      <c r="P67" s="208"/>
      <c r="Q67" s="207"/>
      <c r="R67" s="208"/>
      <c r="S67" s="207"/>
      <c r="T67" s="208"/>
      <c r="U67" s="207"/>
      <c r="V67" s="208"/>
    </row>
    <row r="68" spans="1:22" ht="17.5" thickTop="1" x14ac:dyDescent="0.45">
      <c r="A68" s="195" t="s">
        <v>157</v>
      </c>
      <c r="B68" s="37">
        <f>COUNTIF(I:AL,"최은실")</f>
        <v>0</v>
      </c>
      <c r="C68" s="193" t="s">
        <v>166</v>
      </c>
      <c r="D68" s="194">
        <f>COUNTIF(K:AN,"초연;")</f>
        <v>0</v>
      </c>
      <c r="E68" s="37"/>
      <c r="F68" s="188"/>
      <c r="H68" s="609">
        <v>3</v>
      </c>
      <c r="I68" s="204" t="s">
        <v>168</v>
      </c>
      <c r="J68" s="205"/>
      <c r="K68" s="204"/>
      <c r="L68" s="205"/>
      <c r="M68" s="204" t="s">
        <v>243</v>
      </c>
      <c r="N68" s="205" t="s">
        <v>267</v>
      </c>
      <c r="O68" s="204" t="s">
        <v>20</v>
      </c>
      <c r="P68" s="205"/>
      <c r="Q68" s="204"/>
      <c r="R68" s="205"/>
      <c r="S68" s="204"/>
      <c r="T68" s="205"/>
      <c r="U68" s="204"/>
      <c r="V68" s="205"/>
    </row>
    <row r="69" spans="1:22" ht="17.5" thickBot="1" x14ac:dyDescent="0.5">
      <c r="A69" s="195" t="s">
        <v>242</v>
      </c>
      <c r="B69" s="37">
        <f>COUNTIF(I:AL,"박창민")</f>
        <v>0</v>
      </c>
      <c r="C69" s="193" t="s">
        <v>215</v>
      </c>
      <c r="D69" s="194">
        <f>COUNTIF(K:AN,"아름다움;")</f>
        <v>0</v>
      </c>
      <c r="E69" s="37"/>
      <c r="F69" s="188"/>
      <c r="H69" s="610"/>
      <c r="I69" s="207"/>
      <c r="J69" s="208"/>
      <c r="K69" s="207"/>
      <c r="L69" s="208"/>
      <c r="M69" s="207" t="s">
        <v>246</v>
      </c>
      <c r="N69" s="208" t="s">
        <v>262</v>
      </c>
      <c r="O69" s="207"/>
      <c r="P69" s="208"/>
      <c r="Q69" s="207"/>
      <c r="R69" s="208"/>
      <c r="S69" s="207"/>
      <c r="T69" s="208"/>
      <c r="U69" s="207"/>
      <c r="V69" s="208"/>
    </row>
    <row r="70" spans="1:22" ht="17.5" thickTop="1" x14ac:dyDescent="0.45">
      <c r="A70" s="195" t="s">
        <v>245</v>
      </c>
      <c r="B70" s="37">
        <f>COUNTIF(I:AL,"채린")</f>
        <v>0</v>
      </c>
      <c r="C70" s="193" t="s">
        <v>242</v>
      </c>
      <c r="D70" s="194">
        <f>COUNTIF(K:AN,"박창민;")</f>
        <v>0</v>
      </c>
      <c r="E70" s="37"/>
      <c r="F70" s="188"/>
      <c r="H70" s="609">
        <v>4</v>
      </c>
      <c r="I70" s="204"/>
      <c r="J70" s="205"/>
      <c r="K70" s="204"/>
      <c r="L70" s="205"/>
      <c r="M70" s="204"/>
      <c r="N70" s="205"/>
      <c r="O70" s="204" t="s">
        <v>132</v>
      </c>
      <c r="P70" s="205"/>
      <c r="Q70" s="204"/>
      <c r="R70" s="205"/>
      <c r="S70" s="204"/>
      <c r="T70" s="205"/>
      <c r="U70" s="204"/>
      <c r="V70" s="205"/>
    </row>
    <row r="71" spans="1:22" ht="17.5" thickBot="1" x14ac:dyDescent="0.5">
      <c r="A71" s="195" t="s">
        <v>159</v>
      </c>
      <c r="B71" s="37">
        <f>COUNTIF(I:AL,"최임이")</f>
        <v>0</v>
      </c>
      <c r="C71" s="193" t="s">
        <v>231</v>
      </c>
      <c r="D71" s="194">
        <f>COUNTIF(K:AN,"배이준;")</f>
        <v>3</v>
      </c>
      <c r="E71" s="37"/>
      <c r="F71" s="188"/>
      <c r="H71" s="610"/>
      <c r="I71" s="207"/>
      <c r="J71" s="208"/>
      <c r="K71" s="207"/>
      <c r="L71" s="208"/>
      <c r="M71" s="207"/>
      <c r="N71" s="208"/>
      <c r="O71" s="207"/>
      <c r="P71" s="208"/>
      <c r="Q71" s="207"/>
      <c r="R71" s="208"/>
      <c r="S71" s="207"/>
      <c r="T71" s="208"/>
      <c r="U71" s="207"/>
      <c r="V71" s="208"/>
    </row>
    <row r="72" spans="1:22" ht="17.5" thickTop="1" x14ac:dyDescent="0.45">
      <c r="A72" s="195" t="s">
        <v>247</v>
      </c>
      <c r="B72" s="37">
        <f>COUNTIF(I:AL,"김혜정")</f>
        <v>0</v>
      </c>
      <c r="C72" s="193" t="s">
        <v>240</v>
      </c>
      <c r="D72" s="194">
        <f>COUNTIF(K:AN,"임하령;")</f>
        <v>0</v>
      </c>
      <c r="E72" s="37"/>
      <c r="F72" s="188"/>
      <c r="H72" s="609">
        <v>5</v>
      </c>
      <c r="I72" s="204"/>
      <c r="J72" s="205"/>
      <c r="K72" s="204"/>
      <c r="L72" s="205"/>
      <c r="M72" s="204" t="s">
        <v>129</v>
      </c>
      <c r="N72" s="205"/>
      <c r="O72" s="204"/>
      <c r="P72" s="205"/>
      <c r="Q72" s="204"/>
      <c r="R72" s="205"/>
      <c r="S72" s="204"/>
      <c r="T72" s="205"/>
      <c r="U72" s="204"/>
      <c r="V72" s="205"/>
    </row>
    <row r="73" spans="1:22" ht="17.5" thickBot="1" x14ac:dyDescent="0.5">
      <c r="A73" s="195" t="s">
        <v>168</v>
      </c>
      <c r="B73" s="37">
        <f>COUNTIF(I:AL,"박사랑")</f>
        <v>4</v>
      </c>
      <c r="C73" s="193" t="s">
        <v>233</v>
      </c>
      <c r="D73" s="194">
        <f>COUNTIF(K:AN,"이소영;")</f>
        <v>2</v>
      </c>
      <c r="E73" s="37"/>
      <c r="F73" s="188"/>
      <c r="H73" s="610"/>
      <c r="I73" s="207"/>
      <c r="J73" s="208"/>
      <c r="K73" s="207"/>
      <c r="L73" s="208"/>
      <c r="M73" s="207"/>
      <c r="N73" s="208"/>
      <c r="O73" s="207"/>
      <c r="P73" s="208"/>
      <c r="Q73" s="207"/>
      <c r="R73" s="208"/>
      <c r="S73" s="207"/>
      <c r="T73" s="208"/>
      <c r="U73" s="207"/>
      <c r="V73" s="208"/>
    </row>
    <row r="74" spans="1:22" ht="17.5" thickTop="1" x14ac:dyDescent="0.45">
      <c r="A74" s="195" t="s">
        <v>171</v>
      </c>
      <c r="B74" s="37">
        <f>COUNTIF(I:AL,"신정인")</f>
        <v>3</v>
      </c>
      <c r="C74" s="193" t="s">
        <v>238</v>
      </c>
      <c r="D74" s="194">
        <f>COUNTIF(K:AN,"이기찬;")</f>
        <v>3</v>
      </c>
      <c r="E74" s="37"/>
      <c r="F74" s="188"/>
      <c r="H74" s="609">
        <v>6</v>
      </c>
      <c r="I74" s="204"/>
      <c r="J74" s="205"/>
      <c r="K74" s="204"/>
      <c r="L74" s="205"/>
      <c r="M74" s="204" t="s">
        <v>270</v>
      </c>
      <c r="N74" s="205"/>
      <c r="O74" s="204"/>
      <c r="P74" s="205"/>
      <c r="Q74" s="204"/>
      <c r="R74" s="205"/>
      <c r="S74" s="204"/>
      <c r="T74" s="205"/>
      <c r="U74" s="204"/>
      <c r="V74" s="205"/>
    </row>
    <row r="75" spans="1:22" x14ac:dyDescent="0.45">
      <c r="A75" s="196"/>
      <c r="C75" s="193"/>
      <c r="D75" s="194"/>
      <c r="E75" s="37"/>
      <c r="F75" s="188"/>
      <c r="H75" s="609"/>
      <c r="I75" s="204"/>
      <c r="J75" s="205"/>
      <c r="K75" s="204"/>
      <c r="L75" s="205"/>
      <c r="M75" s="204" t="s">
        <v>246</v>
      </c>
      <c r="N75" s="205"/>
      <c r="O75" s="204"/>
      <c r="P75" s="205"/>
      <c r="Q75" s="204"/>
      <c r="R75" s="205"/>
      <c r="S75" s="204"/>
      <c r="T75" s="205"/>
      <c r="U75" s="204"/>
      <c r="V75" s="205"/>
    </row>
    <row r="76" spans="1:22" x14ac:dyDescent="0.45">
      <c r="A76" s="195"/>
      <c r="B76" s="37"/>
      <c r="C76" s="193"/>
      <c r="D76" s="194"/>
      <c r="E76" s="37"/>
      <c r="F76" s="188"/>
      <c r="H76" s="609"/>
      <c r="I76" s="204"/>
      <c r="J76" s="205"/>
      <c r="K76" s="204"/>
      <c r="L76" s="205"/>
      <c r="M76" s="204" t="s">
        <v>271</v>
      </c>
      <c r="N76" s="205"/>
      <c r="O76" s="204"/>
      <c r="P76" s="205"/>
      <c r="Q76" s="204"/>
      <c r="R76" s="205"/>
      <c r="S76" s="204"/>
      <c r="T76" s="205"/>
      <c r="U76" s="204"/>
      <c r="V76" s="205"/>
    </row>
    <row r="77" spans="1:22" ht="17.5" thickBot="1" x14ac:dyDescent="0.5">
      <c r="A77" s="187"/>
      <c r="B77" s="37"/>
      <c r="C77" s="193"/>
      <c r="D77" s="194"/>
      <c r="E77" s="37"/>
      <c r="F77" s="188"/>
      <c r="H77" s="610"/>
      <c r="I77" s="207"/>
      <c r="J77" s="208"/>
      <c r="K77" s="207"/>
      <c r="L77" s="208"/>
      <c r="M77" s="207"/>
      <c r="N77" s="208"/>
      <c r="O77" s="207"/>
      <c r="P77" s="208"/>
      <c r="Q77" s="207"/>
      <c r="R77" s="208"/>
      <c r="S77" s="207"/>
      <c r="T77" s="208"/>
      <c r="U77" s="207"/>
      <c r="V77" s="208"/>
    </row>
    <row r="78" spans="1:22" ht="17.25" customHeight="1" thickTop="1" thickBot="1" x14ac:dyDescent="0.5">
      <c r="A78" s="197"/>
      <c r="B78" s="198"/>
      <c r="C78" s="199"/>
      <c r="D78" s="200"/>
      <c r="E78" s="198"/>
      <c r="F78" s="201"/>
      <c r="H78" s="614">
        <v>7</v>
      </c>
      <c r="I78" s="204"/>
      <c r="J78" s="205"/>
      <c r="K78" s="204"/>
      <c r="L78" s="205"/>
      <c r="M78" s="204"/>
      <c r="N78" s="205"/>
      <c r="O78" s="204"/>
      <c r="P78" s="205"/>
      <c r="Q78" s="204"/>
      <c r="R78" s="205"/>
      <c r="S78" s="204"/>
      <c r="T78" s="205"/>
      <c r="U78" s="204"/>
      <c r="V78" s="205"/>
    </row>
    <row r="79" spans="1:22" ht="18" customHeight="1" thickTop="1" thickBot="1" x14ac:dyDescent="0.5">
      <c r="H79" s="610"/>
      <c r="I79" s="207"/>
      <c r="J79" s="208"/>
      <c r="K79" s="207"/>
      <c r="L79" s="208"/>
      <c r="M79" s="207"/>
      <c r="N79" s="208"/>
      <c r="O79" s="207"/>
      <c r="P79" s="208"/>
      <c r="Q79" s="207"/>
      <c r="R79" s="208"/>
      <c r="S79" s="207"/>
      <c r="T79" s="208"/>
      <c r="U79" s="207"/>
      <c r="V79" s="208"/>
    </row>
    <row r="80" spans="1:22" ht="17.5" thickTop="1" x14ac:dyDescent="0.45">
      <c r="H80" s="112"/>
      <c r="I80" s="112"/>
      <c r="J80" s="112"/>
      <c r="K80" s="112"/>
      <c r="L80" s="112"/>
      <c r="M80" s="112"/>
      <c r="N80" s="112"/>
      <c r="O80" s="112"/>
      <c r="P80" s="112"/>
      <c r="Q80" s="112"/>
      <c r="R80" s="112"/>
      <c r="S80" s="112"/>
      <c r="T80" s="112"/>
      <c r="U80" s="112"/>
    </row>
    <row r="81" spans="1:22" x14ac:dyDescent="0.45">
      <c r="H81" s="112"/>
      <c r="I81" s="112"/>
      <c r="J81" s="112"/>
      <c r="K81" s="112"/>
      <c r="L81" s="112"/>
      <c r="M81" s="112"/>
      <c r="N81" s="112"/>
      <c r="O81" s="112"/>
      <c r="P81" s="112"/>
      <c r="Q81" s="112"/>
      <c r="R81" s="112"/>
      <c r="S81" s="112"/>
      <c r="T81" s="112"/>
      <c r="U81" s="112"/>
    </row>
    <row r="82" spans="1:22" x14ac:dyDescent="0.45">
      <c r="H82" s="112"/>
      <c r="I82" s="112"/>
      <c r="J82" s="112"/>
      <c r="K82" s="112"/>
      <c r="L82" s="112"/>
      <c r="M82" s="112"/>
      <c r="N82" s="112"/>
      <c r="O82" s="112"/>
      <c r="P82" s="112"/>
      <c r="Q82" s="112"/>
      <c r="R82" s="112"/>
      <c r="S82" s="112"/>
      <c r="T82" s="112"/>
      <c r="U82" s="112"/>
    </row>
    <row r="83" spans="1:22" ht="17.5" thickBot="1" x14ac:dyDescent="0.5"/>
    <row r="84" spans="1:22" ht="27" thickTop="1" thickBot="1" x14ac:dyDescent="0.5">
      <c r="A84" s="182" t="s">
        <v>216</v>
      </c>
      <c r="B84" s="183"/>
      <c r="C84" s="182" t="s">
        <v>217</v>
      </c>
      <c r="D84" s="184" t="s">
        <v>218</v>
      </c>
      <c r="E84" s="182" t="s">
        <v>219</v>
      </c>
      <c r="F84" s="184" t="s">
        <v>220</v>
      </c>
      <c r="H84" s="611" t="s">
        <v>261</v>
      </c>
      <c r="I84" s="612"/>
      <c r="J84" s="613"/>
      <c r="K84" s="185"/>
      <c r="L84" s="186"/>
      <c r="M84" s="186"/>
      <c r="N84" s="186"/>
      <c r="O84" s="186"/>
      <c r="P84" s="186"/>
    </row>
    <row r="85" spans="1:22" ht="26.5" thickTop="1" thickBot="1" x14ac:dyDescent="0.5">
      <c r="A85" s="187" t="s">
        <v>203</v>
      </c>
      <c r="B85" s="37">
        <f>COUNTIF(I:AL,"우리인력")</f>
        <v>5</v>
      </c>
      <c r="C85" s="37" t="s">
        <v>222</v>
      </c>
      <c r="D85" s="37">
        <f>COUNTIF(I:AL,"고영숙;")</f>
        <v>5</v>
      </c>
      <c r="E85" s="37" t="s">
        <v>222</v>
      </c>
      <c r="F85" s="188">
        <f>COUNTIF(I:AL,"고영숙]")</f>
        <v>0</v>
      </c>
      <c r="H85" s="189"/>
      <c r="I85" s="608">
        <v>26</v>
      </c>
      <c r="J85" s="608"/>
      <c r="K85" s="608">
        <v>27</v>
      </c>
      <c r="L85" s="608"/>
      <c r="M85" s="608">
        <v>28</v>
      </c>
      <c r="N85" s="608"/>
      <c r="O85" s="608">
        <v>29</v>
      </c>
      <c r="P85" s="608"/>
    </row>
    <row r="86" spans="1:22" ht="26.5" thickTop="1" thickBot="1" x14ac:dyDescent="0.5">
      <c r="A86" s="187" t="s">
        <v>138</v>
      </c>
      <c r="B86" s="37">
        <f>COUNTIF(I:AL,"김혜숙")</f>
        <v>0</v>
      </c>
      <c r="C86" s="37" t="s">
        <v>223</v>
      </c>
      <c r="D86" s="37">
        <f>COUNTIF(I:AL,"공하정;")</f>
        <v>1</v>
      </c>
      <c r="E86" s="37" t="s">
        <v>223</v>
      </c>
      <c r="F86" s="188">
        <f>COUNTIF(I:AL,"공하정]")</f>
        <v>0</v>
      </c>
      <c r="H86" s="190"/>
      <c r="I86" s="607" t="s">
        <v>224</v>
      </c>
      <c r="J86" s="607"/>
      <c r="K86" s="607" t="s">
        <v>225</v>
      </c>
      <c r="L86" s="607"/>
      <c r="M86" s="607" t="s">
        <v>226</v>
      </c>
      <c r="N86" s="607"/>
      <c r="O86" s="607" t="s">
        <v>227</v>
      </c>
      <c r="P86" s="607"/>
    </row>
    <row r="87" spans="1:22" ht="17.5" thickTop="1" x14ac:dyDescent="0.45">
      <c r="A87" s="187" t="s">
        <v>231</v>
      </c>
      <c r="B87" s="37">
        <f>COUNTIF(I:AL,"배이준")</f>
        <v>3</v>
      </c>
      <c r="C87" s="37" t="s">
        <v>232</v>
      </c>
      <c r="D87" s="37">
        <f>COUNTIF(I:AL,"김다정;")</f>
        <v>0</v>
      </c>
      <c r="E87" s="37" t="s">
        <v>212</v>
      </c>
      <c r="F87" s="188">
        <f>COUNTIF(I:AL,"소영하린]")</f>
        <v>2</v>
      </c>
      <c r="H87" s="614">
        <v>10</v>
      </c>
      <c r="I87" s="204" t="s">
        <v>203</v>
      </c>
      <c r="J87" s="203"/>
      <c r="K87" s="202"/>
      <c r="L87" s="203"/>
      <c r="M87" s="202"/>
      <c r="N87" s="203"/>
      <c r="O87" s="202" t="s">
        <v>203</v>
      </c>
      <c r="P87" s="203"/>
      <c r="Q87" s="212"/>
      <c r="R87" s="212"/>
      <c r="S87" s="212"/>
      <c r="T87" s="212"/>
      <c r="U87" s="212"/>
      <c r="V87" s="212"/>
    </row>
    <row r="88" spans="1:22" ht="17.5" thickBot="1" x14ac:dyDescent="0.5">
      <c r="A88" s="187" t="s">
        <v>234</v>
      </c>
      <c r="B88" s="37">
        <f>COUNTIF(I:AL,"신하린")</f>
        <v>2</v>
      </c>
      <c r="C88" s="37" t="s">
        <v>235</v>
      </c>
      <c r="D88" s="37">
        <f>COUNTIF(I:AL,"김용;")</f>
        <v>3</v>
      </c>
      <c r="E88" s="37"/>
      <c r="F88" s="188"/>
      <c r="H88" s="610"/>
      <c r="I88" s="207"/>
      <c r="J88" s="208"/>
      <c r="K88" s="207"/>
      <c r="L88" s="208"/>
      <c r="M88" s="207"/>
      <c r="N88" s="208"/>
      <c r="O88" s="207"/>
      <c r="P88" s="208"/>
    </row>
    <row r="89" spans="1:22" ht="18" thickTop="1" thickBot="1" x14ac:dyDescent="0.5">
      <c r="A89" s="187" t="s">
        <v>215</v>
      </c>
      <c r="B89" s="37">
        <f>COUNTIF(I:AL,"아름다움")</f>
        <v>0</v>
      </c>
      <c r="C89" s="37" t="s">
        <v>237</v>
      </c>
      <c r="D89" s="37">
        <f>COUNTIF(I:AL,"윤분숙;")</f>
        <v>4</v>
      </c>
      <c r="F89" s="188"/>
      <c r="H89" s="615">
        <v>11</v>
      </c>
      <c r="I89" s="211"/>
      <c r="J89" s="205"/>
      <c r="K89" s="245" t="s">
        <v>168</v>
      </c>
      <c r="L89" s="205"/>
      <c r="M89" s="204" t="s">
        <v>171</v>
      </c>
      <c r="N89" s="205"/>
      <c r="O89" s="204"/>
      <c r="P89" s="205"/>
    </row>
    <row r="90" spans="1:22" ht="18" thickTop="1" thickBot="1" x14ac:dyDescent="0.5">
      <c r="A90" s="187" t="s">
        <v>238</v>
      </c>
      <c r="B90" s="37">
        <f>COUNTIF(I:AL,"이기찬")</f>
        <v>3</v>
      </c>
      <c r="C90" s="37" t="s">
        <v>163</v>
      </c>
      <c r="D90" s="37">
        <f>COUNTIF(I:AL,"이말진;")</f>
        <v>0</v>
      </c>
      <c r="E90" s="37"/>
      <c r="F90" s="188"/>
      <c r="H90" s="610"/>
      <c r="I90" s="207"/>
      <c r="J90" s="208"/>
      <c r="K90" s="207"/>
      <c r="L90" s="208"/>
      <c r="M90" s="207"/>
      <c r="N90" s="208"/>
      <c r="O90" s="207"/>
      <c r="P90" s="208"/>
    </row>
    <row r="91" spans="1:22" ht="17.5" thickTop="1" x14ac:dyDescent="0.45">
      <c r="A91" s="187" t="s">
        <v>166</v>
      </c>
      <c r="B91" s="37">
        <f>COUNTIF(I:AL,"초연")</f>
        <v>0</v>
      </c>
      <c r="C91" s="37" t="s">
        <v>159</v>
      </c>
      <c r="D91" s="37">
        <f>COUNTIF(I:AL,"최임이;")</f>
        <v>3</v>
      </c>
      <c r="E91" s="37"/>
      <c r="F91" s="188"/>
      <c r="H91" s="609">
        <v>12</v>
      </c>
      <c r="I91" s="204"/>
      <c r="J91" s="205"/>
      <c r="K91" s="204"/>
      <c r="L91" s="205"/>
      <c r="M91" s="204"/>
      <c r="N91" s="205"/>
      <c r="O91" s="204"/>
      <c r="P91" s="205"/>
    </row>
    <row r="92" spans="1:22" ht="17.5" thickBot="1" x14ac:dyDescent="0.5">
      <c r="A92" s="187" t="s">
        <v>233</v>
      </c>
      <c r="B92" s="37">
        <f>COUNTIF(I:AL,"이소영")</f>
        <v>5</v>
      </c>
      <c r="C92" s="37" t="s">
        <v>12</v>
      </c>
      <c r="D92" s="37">
        <f>COUNTIF(I:AL,"김혜정;")</f>
        <v>0</v>
      </c>
      <c r="E92" s="37"/>
      <c r="F92" s="188"/>
      <c r="H92" s="610"/>
      <c r="I92" s="207"/>
      <c r="J92" s="208"/>
      <c r="K92" s="207"/>
      <c r="L92" s="208"/>
      <c r="M92" s="207"/>
      <c r="N92" s="208"/>
      <c r="O92" s="207"/>
      <c r="P92" s="208"/>
    </row>
    <row r="93" spans="1:22" ht="18" thickTop="1" thickBot="1" x14ac:dyDescent="0.5">
      <c r="A93" s="187" t="s">
        <v>240</v>
      </c>
      <c r="B93" s="37">
        <f>COUNTIF(I:AL,"임하령")</f>
        <v>0</v>
      </c>
      <c r="C93" s="37"/>
      <c r="E93" s="37"/>
      <c r="F93" s="188"/>
      <c r="H93" s="609">
        <v>1</v>
      </c>
      <c r="I93" s="204" t="s">
        <v>164</v>
      </c>
      <c r="J93" s="205"/>
      <c r="K93" s="204"/>
      <c r="L93" s="205"/>
      <c r="M93" s="204"/>
      <c r="N93" s="205"/>
      <c r="O93" s="204"/>
      <c r="P93" s="205"/>
    </row>
    <row r="94" spans="1:22" ht="18" thickTop="1" thickBot="1" x14ac:dyDescent="0.5">
      <c r="A94" s="187" t="s">
        <v>236</v>
      </c>
      <c r="B94" s="37">
        <f>COUNTIF(I:AL,"임하린")</f>
        <v>4</v>
      </c>
      <c r="C94" s="191" t="s">
        <v>236</v>
      </c>
      <c r="D94" s="192">
        <f>COUNTIF(K:AN,"임하린;")</f>
        <v>3</v>
      </c>
      <c r="E94" s="37"/>
      <c r="F94" s="188"/>
      <c r="H94" s="610"/>
      <c r="I94" s="207"/>
      <c r="J94" s="208"/>
      <c r="K94" s="207"/>
      <c r="L94" s="208"/>
      <c r="M94" s="207"/>
      <c r="N94" s="208"/>
      <c r="O94" s="207"/>
      <c r="P94" s="208"/>
    </row>
    <row r="95" spans="1:22" ht="17.5" thickTop="1" x14ac:dyDescent="0.45">
      <c r="A95" s="195" t="s">
        <v>241</v>
      </c>
      <c r="B95" s="37">
        <f>COUNTIF(I:AL,"정지원")</f>
        <v>3</v>
      </c>
      <c r="C95" s="193" t="s">
        <v>241</v>
      </c>
      <c r="D95" s="194">
        <f>COUNTIF(K:AN,"정지원;")</f>
        <v>3</v>
      </c>
      <c r="E95" s="37"/>
      <c r="F95" s="188"/>
      <c r="H95" s="609">
        <v>2</v>
      </c>
      <c r="I95" s="204"/>
      <c r="J95" s="205"/>
      <c r="K95" s="204" t="s">
        <v>1</v>
      </c>
      <c r="L95" s="205"/>
      <c r="M95" s="204"/>
      <c r="N95" s="205"/>
      <c r="O95" s="204" t="s">
        <v>20</v>
      </c>
      <c r="P95" s="205"/>
    </row>
    <row r="96" spans="1:22" ht="17.5" thickBot="1" x14ac:dyDescent="0.5">
      <c r="A96" s="195" t="s">
        <v>157</v>
      </c>
      <c r="B96" s="37">
        <f>COUNTIF(I:AL,"최은실")</f>
        <v>0</v>
      </c>
      <c r="C96" s="193" t="s">
        <v>166</v>
      </c>
      <c r="D96" s="194">
        <f>COUNTIF(K:AN,"초연;")</f>
        <v>0</v>
      </c>
      <c r="E96" s="37"/>
      <c r="F96" s="188"/>
      <c r="H96" s="610"/>
      <c r="I96" s="207"/>
      <c r="J96" s="208"/>
      <c r="K96" s="207" t="s">
        <v>134</v>
      </c>
      <c r="L96" s="208"/>
      <c r="M96" s="207"/>
      <c r="N96" s="208"/>
      <c r="O96" s="207"/>
      <c r="P96" s="208"/>
    </row>
    <row r="97" spans="1:16" ht="17.5" thickTop="1" x14ac:dyDescent="0.45">
      <c r="A97" s="195" t="s">
        <v>242</v>
      </c>
      <c r="B97" s="37">
        <f>COUNTIF(I:AL,"박창민")</f>
        <v>0</v>
      </c>
      <c r="C97" s="193" t="s">
        <v>215</v>
      </c>
      <c r="D97" s="194">
        <f>COUNTIF(K:AN,"아름다움;")</f>
        <v>0</v>
      </c>
      <c r="E97" s="37"/>
      <c r="F97" s="188"/>
      <c r="H97" s="609">
        <v>3</v>
      </c>
      <c r="I97" s="204"/>
      <c r="J97" s="205"/>
      <c r="K97" s="204" t="s">
        <v>276</v>
      </c>
      <c r="L97" s="205"/>
      <c r="M97" s="204"/>
      <c r="N97" s="205"/>
      <c r="O97" s="204" t="s">
        <v>132</v>
      </c>
      <c r="P97" s="205"/>
    </row>
    <row r="98" spans="1:16" ht="17.5" thickBot="1" x14ac:dyDescent="0.5">
      <c r="A98" s="195" t="s">
        <v>245</v>
      </c>
      <c r="B98" s="37">
        <f>COUNTIF(I:AL,"채린")</f>
        <v>0</v>
      </c>
      <c r="C98" s="193" t="s">
        <v>242</v>
      </c>
      <c r="D98" s="194">
        <f>COUNTIF(K:AN,"박창민;")</f>
        <v>0</v>
      </c>
      <c r="E98" s="37"/>
      <c r="F98" s="188"/>
      <c r="H98" s="610"/>
      <c r="I98" s="207"/>
      <c r="J98" s="208"/>
      <c r="K98" s="207"/>
      <c r="L98" s="208"/>
      <c r="M98" s="207"/>
      <c r="N98" s="208"/>
      <c r="O98" s="207"/>
      <c r="P98" s="208"/>
    </row>
    <row r="99" spans="1:16" ht="17.5" thickTop="1" x14ac:dyDescent="0.45">
      <c r="A99" s="195" t="s">
        <v>159</v>
      </c>
      <c r="B99" s="37">
        <f>COUNTIF(I:AL,"최임이")</f>
        <v>0</v>
      </c>
      <c r="C99" s="193" t="s">
        <v>231</v>
      </c>
      <c r="D99" s="194">
        <f>COUNTIF(K:AN,"배이준;")</f>
        <v>3</v>
      </c>
      <c r="E99" s="37"/>
      <c r="F99" s="188"/>
      <c r="H99" s="609">
        <v>4</v>
      </c>
      <c r="I99" s="204"/>
      <c r="J99" s="205"/>
      <c r="K99" s="204"/>
      <c r="L99" s="205"/>
      <c r="M99" s="204" t="s">
        <v>246</v>
      </c>
      <c r="N99" s="205" t="s">
        <v>267</v>
      </c>
      <c r="O99" s="204"/>
      <c r="P99" s="205"/>
    </row>
    <row r="100" spans="1:16" ht="17.5" thickBot="1" x14ac:dyDescent="0.5">
      <c r="A100" s="195" t="s">
        <v>247</v>
      </c>
      <c r="B100" s="37">
        <f>COUNTIF(I:AL,"김혜정")</f>
        <v>0</v>
      </c>
      <c r="C100" s="193" t="s">
        <v>240</v>
      </c>
      <c r="D100" s="194">
        <f>COUNTIF(K:AN,"임하령;")</f>
        <v>0</v>
      </c>
      <c r="E100" s="37"/>
      <c r="F100" s="188"/>
      <c r="H100" s="610"/>
      <c r="I100" s="207"/>
      <c r="J100" s="208"/>
      <c r="K100" s="207"/>
      <c r="L100" s="208"/>
      <c r="M100" s="207" t="s">
        <v>243</v>
      </c>
      <c r="N100" s="208" t="s">
        <v>272</v>
      </c>
      <c r="O100" s="207"/>
      <c r="P100" s="208"/>
    </row>
    <row r="101" spans="1:16" ht="17.5" thickTop="1" x14ac:dyDescent="0.45">
      <c r="A101" s="195" t="s">
        <v>168</v>
      </c>
      <c r="B101" s="37">
        <f>COUNTIF(I:AL,"박사랑")</f>
        <v>4</v>
      </c>
      <c r="C101" s="193" t="s">
        <v>233</v>
      </c>
      <c r="D101" s="194">
        <f>COUNTIF(K:AN,"이소영;")</f>
        <v>2</v>
      </c>
      <c r="E101" s="37"/>
      <c r="F101" s="188"/>
      <c r="H101" s="609">
        <v>5</v>
      </c>
      <c r="I101" s="204"/>
      <c r="J101" s="205"/>
      <c r="K101" s="204"/>
      <c r="L101" s="205"/>
      <c r="M101" s="204"/>
      <c r="N101" s="205"/>
      <c r="O101" s="204"/>
      <c r="P101" s="205"/>
    </row>
    <row r="102" spans="1:16" ht="17.5" thickBot="1" x14ac:dyDescent="0.5">
      <c r="A102" s="195" t="s">
        <v>171</v>
      </c>
      <c r="B102" s="37">
        <f>COUNTIF(I:AL,"신정인")</f>
        <v>3</v>
      </c>
      <c r="C102" s="193" t="s">
        <v>238</v>
      </c>
      <c r="D102" s="194">
        <f>COUNTIF(K:AN,"이기찬;")</f>
        <v>3</v>
      </c>
      <c r="E102" s="37"/>
      <c r="F102" s="188"/>
      <c r="H102" s="610"/>
      <c r="I102" s="207"/>
      <c r="J102" s="208"/>
      <c r="K102" s="207"/>
      <c r="L102" s="208"/>
      <c r="M102" s="207"/>
      <c r="N102" s="208"/>
      <c r="O102" s="207"/>
      <c r="P102" s="208"/>
    </row>
    <row r="103" spans="1:16" ht="17.5" thickTop="1" x14ac:dyDescent="0.45">
      <c r="A103" s="196"/>
      <c r="C103" s="193"/>
      <c r="D103" s="194"/>
      <c r="E103" s="37"/>
      <c r="F103" s="188"/>
      <c r="H103" s="609">
        <v>6</v>
      </c>
      <c r="I103" s="204"/>
      <c r="J103" s="205"/>
      <c r="K103" s="204" t="s">
        <v>251</v>
      </c>
      <c r="L103" s="205" t="s">
        <v>252</v>
      </c>
      <c r="M103" s="204"/>
      <c r="N103" s="205"/>
      <c r="O103" s="204"/>
      <c r="P103" s="205"/>
    </row>
    <row r="104" spans="1:16" x14ac:dyDescent="0.45">
      <c r="A104" s="195"/>
      <c r="B104" s="37"/>
      <c r="C104" s="193"/>
      <c r="D104" s="194"/>
      <c r="E104" s="37"/>
      <c r="F104" s="188"/>
      <c r="H104" s="609"/>
      <c r="I104" s="204"/>
      <c r="J104" s="205"/>
      <c r="K104" s="204" t="s">
        <v>253</v>
      </c>
      <c r="L104" s="205" t="s">
        <v>249</v>
      </c>
      <c r="M104" s="204"/>
      <c r="N104" s="205"/>
      <c r="O104" s="204"/>
      <c r="P104" s="205"/>
    </row>
    <row r="105" spans="1:16" x14ac:dyDescent="0.45">
      <c r="A105" s="187"/>
      <c r="B105" s="37"/>
      <c r="C105" s="193"/>
      <c r="D105" s="194"/>
      <c r="E105" s="37"/>
      <c r="F105" s="188"/>
      <c r="H105" s="609"/>
      <c r="I105" s="204"/>
      <c r="J105" s="205"/>
      <c r="K105" s="204" t="s">
        <v>260</v>
      </c>
      <c r="L105" s="205"/>
      <c r="M105" s="204"/>
      <c r="N105" s="205"/>
      <c r="O105" s="204"/>
      <c r="P105" s="205"/>
    </row>
    <row r="106" spans="1:16" ht="17.5" thickBot="1" x14ac:dyDescent="0.5">
      <c r="A106" s="197"/>
      <c r="B106" s="198"/>
      <c r="C106" s="199"/>
      <c r="D106" s="200"/>
      <c r="E106" s="198"/>
      <c r="F106" s="201"/>
      <c r="H106" s="610"/>
      <c r="I106" s="207"/>
      <c r="J106" s="208"/>
      <c r="K106" s="207"/>
      <c r="L106" s="208"/>
      <c r="M106" s="207"/>
      <c r="N106" s="208"/>
      <c r="O106" s="207"/>
      <c r="P106" s="208"/>
    </row>
    <row r="107" spans="1:16" ht="17.5" thickTop="1" x14ac:dyDescent="0.45">
      <c r="H107" s="609">
        <v>7</v>
      </c>
      <c r="I107" s="204"/>
      <c r="J107" s="205"/>
      <c r="K107" s="204"/>
      <c r="L107" s="205"/>
      <c r="M107" s="204" t="s">
        <v>61</v>
      </c>
      <c r="N107" s="205"/>
      <c r="O107" s="204"/>
      <c r="P107" s="205"/>
    </row>
    <row r="108" spans="1:16" ht="17.5" thickBot="1" x14ac:dyDescent="0.5">
      <c r="H108" s="610"/>
      <c r="I108" s="207"/>
      <c r="J108" s="208"/>
      <c r="K108" s="207"/>
      <c r="L108" s="208"/>
      <c r="M108" s="207"/>
      <c r="N108" s="208"/>
      <c r="O108" s="207"/>
      <c r="P108" s="208"/>
    </row>
    <row r="109" spans="1:16" ht="17.5" thickTop="1" x14ac:dyDescent="0.45"/>
  </sheetData>
  <mergeCells count="96">
    <mergeCell ref="S2:T2"/>
    <mergeCell ref="U2:V2"/>
    <mergeCell ref="W2:X2"/>
    <mergeCell ref="H1:J1"/>
    <mergeCell ref="I2:J2"/>
    <mergeCell ref="K2:L2"/>
    <mergeCell ref="M2:N2"/>
    <mergeCell ref="O2:P2"/>
    <mergeCell ref="Q2:R2"/>
    <mergeCell ref="U3:V3"/>
    <mergeCell ref="W3:X3"/>
    <mergeCell ref="H4:H5"/>
    <mergeCell ref="I3:J3"/>
    <mergeCell ref="K3:L3"/>
    <mergeCell ref="M3:N3"/>
    <mergeCell ref="O3:P3"/>
    <mergeCell ref="Q3:R3"/>
    <mergeCell ref="S3:T3"/>
    <mergeCell ref="H16:H17"/>
    <mergeCell ref="H18:H19"/>
    <mergeCell ref="H20:H23"/>
    <mergeCell ref="H24:H25"/>
    <mergeCell ref="H28:J28"/>
    <mergeCell ref="H6:H7"/>
    <mergeCell ref="H8:H9"/>
    <mergeCell ref="H10:H11"/>
    <mergeCell ref="H12:H13"/>
    <mergeCell ref="H14:H15"/>
    <mergeCell ref="O29:P29"/>
    <mergeCell ref="Q29:R29"/>
    <mergeCell ref="S29:T29"/>
    <mergeCell ref="U29:V29"/>
    <mergeCell ref="K29:L29"/>
    <mergeCell ref="H39:H40"/>
    <mergeCell ref="H41:H42"/>
    <mergeCell ref="H43:H44"/>
    <mergeCell ref="H45:H46"/>
    <mergeCell ref="M29:N29"/>
    <mergeCell ref="I29:J29"/>
    <mergeCell ref="H37:H38"/>
    <mergeCell ref="I30:J30"/>
    <mergeCell ref="K30:L30"/>
    <mergeCell ref="M30:N30"/>
    <mergeCell ref="H35:H36"/>
    <mergeCell ref="O30:P30"/>
    <mergeCell ref="S30:T30"/>
    <mergeCell ref="U30:V30"/>
    <mergeCell ref="H31:H32"/>
    <mergeCell ref="H33:H34"/>
    <mergeCell ref="Q30:R30"/>
    <mergeCell ref="H47:H50"/>
    <mergeCell ref="H55:J55"/>
    <mergeCell ref="I56:J56"/>
    <mergeCell ref="K56:L56"/>
    <mergeCell ref="M56:N56"/>
    <mergeCell ref="H51:H52"/>
    <mergeCell ref="O56:P56"/>
    <mergeCell ref="H68:H69"/>
    <mergeCell ref="S56:T56"/>
    <mergeCell ref="U56:V56"/>
    <mergeCell ref="I57:J57"/>
    <mergeCell ref="K57:L57"/>
    <mergeCell ref="M57:N57"/>
    <mergeCell ref="O57:P57"/>
    <mergeCell ref="Q57:R57"/>
    <mergeCell ref="S57:T57"/>
    <mergeCell ref="U57:V57"/>
    <mergeCell ref="Q56:R56"/>
    <mergeCell ref="H58:H59"/>
    <mergeCell ref="H60:H61"/>
    <mergeCell ref="H62:H63"/>
    <mergeCell ref="H64:H65"/>
    <mergeCell ref="H66:H67"/>
    <mergeCell ref="H70:H71"/>
    <mergeCell ref="H72:H73"/>
    <mergeCell ref="H74:H77"/>
    <mergeCell ref="H78:H79"/>
    <mergeCell ref="H84:J84"/>
    <mergeCell ref="K85:L85"/>
    <mergeCell ref="M85:N85"/>
    <mergeCell ref="O85:P85"/>
    <mergeCell ref="I86:J86"/>
    <mergeCell ref="K86:L86"/>
    <mergeCell ref="M86:N86"/>
    <mergeCell ref="O86:P86"/>
    <mergeCell ref="I85:J85"/>
    <mergeCell ref="H99:H100"/>
    <mergeCell ref="H101:H102"/>
    <mergeCell ref="H103:H106"/>
    <mergeCell ref="H107:H108"/>
    <mergeCell ref="H87:H88"/>
    <mergeCell ref="H89:H90"/>
    <mergeCell ref="H91:H92"/>
    <mergeCell ref="H93:H94"/>
    <mergeCell ref="H95:H96"/>
    <mergeCell ref="H97:H98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F6D25-9A7B-4EF7-9403-49E8ED38388E}">
  <sheetPr>
    <tabColor theme="9" tint="0.79998168889431442"/>
  </sheetPr>
  <dimension ref="A1:AB109"/>
  <sheetViews>
    <sheetView showGridLines="0" topLeftCell="A58" workbookViewId="0">
      <selection activeCell="S39" sqref="S39"/>
    </sheetView>
  </sheetViews>
  <sheetFormatPr defaultRowHeight="17" x14ac:dyDescent="0.45"/>
  <cols>
    <col min="1" max="1" width="8.58203125" customWidth="1"/>
    <col min="2" max="2" width="4.08203125" customWidth="1"/>
    <col min="3" max="3" width="8.58203125" customWidth="1"/>
    <col min="4" max="4" width="4.08203125" customWidth="1"/>
    <col min="5" max="5" width="8.58203125" customWidth="1"/>
    <col min="6" max="6" width="4.08203125" customWidth="1"/>
    <col min="7" max="7" width="2.58203125" customWidth="1"/>
    <col min="8" max="8" width="7.08203125" customWidth="1"/>
    <col min="9" max="30" width="7.5" customWidth="1"/>
  </cols>
  <sheetData>
    <row r="1" spans="1:28" ht="27" thickTop="1" thickBot="1" x14ac:dyDescent="0.5">
      <c r="A1" s="182" t="s">
        <v>7</v>
      </c>
      <c r="B1" s="183"/>
      <c r="C1" s="182" t="s">
        <v>9</v>
      </c>
      <c r="D1" s="184" t="s">
        <v>218</v>
      </c>
      <c r="E1" s="182" t="s">
        <v>204</v>
      </c>
      <c r="F1" s="184" t="s">
        <v>220</v>
      </c>
      <c r="H1" s="611" t="s">
        <v>221</v>
      </c>
      <c r="I1" s="612"/>
      <c r="J1" s="613"/>
      <c r="K1" s="185"/>
      <c r="L1" s="186"/>
      <c r="M1" s="186"/>
      <c r="N1" s="186"/>
      <c r="O1" s="186"/>
      <c r="P1" s="186"/>
      <c r="Q1" s="186"/>
      <c r="R1" s="186"/>
      <c r="S1" s="186"/>
      <c r="T1" s="186"/>
      <c r="U1" s="186"/>
      <c r="V1" s="186"/>
    </row>
    <row r="2" spans="1:28" ht="17.25" customHeight="1" thickTop="1" thickBot="1" x14ac:dyDescent="0.5">
      <c r="A2" s="187" t="s">
        <v>164</v>
      </c>
      <c r="B2" s="37">
        <f>COUNTIF(I:AL,"구로")</f>
        <v>4</v>
      </c>
      <c r="C2" s="37" t="s">
        <v>222</v>
      </c>
      <c r="D2" s="37">
        <f>COUNTIF(I:AL,"고영숙;")</f>
        <v>4</v>
      </c>
      <c r="E2" s="37" t="s">
        <v>233</v>
      </c>
      <c r="F2" s="188">
        <f>COUNTIF(I:AL,"이소영]")</f>
        <v>4</v>
      </c>
      <c r="G2" s="37"/>
      <c r="H2" s="189"/>
      <c r="I2" s="624">
        <v>1</v>
      </c>
      <c r="J2" s="625"/>
      <c r="K2" s="624">
        <v>2</v>
      </c>
      <c r="L2" s="625"/>
      <c r="M2" s="624">
        <v>3</v>
      </c>
      <c r="N2" s="625"/>
      <c r="O2" s="624">
        <v>4</v>
      </c>
      <c r="P2" s="625"/>
      <c r="Q2" s="624">
        <v>5</v>
      </c>
      <c r="R2" s="625"/>
      <c r="S2" s="624">
        <v>6</v>
      </c>
      <c r="T2" s="625"/>
      <c r="U2" s="624">
        <v>7</v>
      </c>
      <c r="V2" s="625"/>
      <c r="W2" s="608">
        <v>8</v>
      </c>
      <c r="X2" s="608"/>
      <c r="Y2" s="608">
        <v>9</v>
      </c>
      <c r="Z2" s="608"/>
      <c r="AA2" s="608">
        <v>10</v>
      </c>
      <c r="AB2" s="608"/>
    </row>
    <row r="3" spans="1:28" ht="17.5" customHeight="1" thickTop="1" thickBot="1" x14ac:dyDescent="0.5">
      <c r="A3" s="187" t="s">
        <v>203</v>
      </c>
      <c r="B3" s="37">
        <f>COUNTIF(I:AL,"우리인력")</f>
        <v>4</v>
      </c>
      <c r="C3" s="37" t="s">
        <v>235</v>
      </c>
      <c r="D3" s="37">
        <f>COUNTIF(I:AL,"김용;")</f>
        <v>4</v>
      </c>
      <c r="E3" s="37" t="s">
        <v>212</v>
      </c>
      <c r="F3" s="188">
        <f>COUNTIF(I:AL,"소영하린]")</f>
        <v>4</v>
      </c>
      <c r="H3" s="190"/>
      <c r="I3" s="628" t="s">
        <v>202</v>
      </c>
      <c r="J3" s="629"/>
      <c r="K3" s="628" t="s">
        <v>200</v>
      </c>
      <c r="L3" s="629"/>
      <c r="M3" s="628" t="s">
        <v>201</v>
      </c>
      <c r="N3" s="629"/>
      <c r="O3" s="628" t="s">
        <v>196</v>
      </c>
      <c r="P3" s="629"/>
      <c r="Q3" s="628" t="s">
        <v>197</v>
      </c>
      <c r="R3" s="629"/>
      <c r="S3" s="628" t="s">
        <v>198</v>
      </c>
      <c r="T3" s="629"/>
      <c r="U3" s="628" t="s">
        <v>199</v>
      </c>
      <c r="V3" s="629"/>
      <c r="W3" s="623" t="s">
        <v>202</v>
      </c>
      <c r="X3" s="623"/>
      <c r="Y3" s="623" t="s">
        <v>200</v>
      </c>
      <c r="Z3" s="623"/>
      <c r="AA3" s="623" t="s">
        <v>201</v>
      </c>
      <c r="AB3" s="623"/>
    </row>
    <row r="4" spans="1:28" ht="17.25" customHeight="1" thickTop="1" x14ac:dyDescent="0.45">
      <c r="A4" s="187" t="s">
        <v>168</v>
      </c>
      <c r="B4" s="37">
        <f>COUNTIF(I:AL,"박사랑")</f>
        <v>4</v>
      </c>
      <c r="C4" s="37" t="s">
        <v>237</v>
      </c>
      <c r="D4" s="37">
        <f>COUNTIF(I:AL,"윤분숙;")</f>
        <v>4</v>
      </c>
      <c r="F4" s="188"/>
      <c r="H4" s="614">
        <v>10</v>
      </c>
      <c r="I4" s="202"/>
      <c r="J4" s="203"/>
      <c r="K4" s="202"/>
      <c r="L4" s="203"/>
      <c r="M4" s="202"/>
      <c r="N4" s="203"/>
      <c r="O4" s="202"/>
      <c r="P4" s="203"/>
      <c r="Q4" s="202"/>
      <c r="R4" s="203"/>
      <c r="S4" s="202"/>
      <c r="T4" s="203"/>
      <c r="U4" s="202"/>
      <c r="V4" s="203"/>
      <c r="W4" s="202"/>
      <c r="X4" s="203"/>
      <c r="Y4" s="202"/>
      <c r="Z4" s="203"/>
      <c r="AA4" s="202"/>
      <c r="AB4" s="203"/>
    </row>
    <row r="5" spans="1:28" ht="17.25" customHeight="1" thickBot="1" x14ac:dyDescent="0.5">
      <c r="A5" s="187" t="s">
        <v>233</v>
      </c>
      <c r="B5" s="37">
        <f>COUNTIF(I:AL,"이소영")</f>
        <v>4</v>
      </c>
      <c r="C5" s="37" t="s">
        <v>159</v>
      </c>
      <c r="D5" s="37">
        <f>COUNTIF(I:AL,"최임이;")</f>
        <v>4</v>
      </c>
      <c r="E5" s="37"/>
      <c r="F5" s="188"/>
      <c r="H5" s="610"/>
      <c r="I5" s="207"/>
      <c r="J5" s="208"/>
      <c r="K5" s="207"/>
      <c r="L5" s="208"/>
      <c r="M5" s="207"/>
      <c r="N5" s="208"/>
      <c r="O5" s="207"/>
      <c r="P5" s="208"/>
      <c r="Q5" s="207"/>
      <c r="R5" s="208"/>
      <c r="S5" s="207"/>
      <c r="T5" s="208"/>
      <c r="U5" s="207"/>
      <c r="V5" s="208"/>
      <c r="W5" s="210"/>
      <c r="X5" s="208"/>
      <c r="Y5" s="207"/>
      <c r="Z5" s="208"/>
      <c r="AA5" s="207"/>
      <c r="AB5" s="208"/>
    </row>
    <row r="6" spans="1:28" ht="17.25" customHeight="1" thickTop="1" x14ac:dyDescent="0.45">
      <c r="A6" s="187" t="s">
        <v>236</v>
      </c>
      <c r="B6" s="37">
        <f>COUNTIF(I:AL,"임하린")</f>
        <v>4</v>
      </c>
      <c r="C6" s="37" t="s">
        <v>163</v>
      </c>
      <c r="D6" s="37">
        <f>COUNTIF(I:AL,"이말진;")</f>
        <v>3</v>
      </c>
      <c r="E6" s="37"/>
      <c r="F6" s="188"/>
      <c r="H6" s="609">
        <v>11</v>
      </c>
      <c r="I6" s="204"/>
      <c r="J6" s="205"/>
      <c r="K6" s="204"/>
      <c r="L6" s="205"/>
      <c r="M6" s="204"/>
      <c r="N6" s="205"/>
      <c r="O6" s="204"/>
      <c r="P6" s="205"/>
      <c r="Q6" s="204" t="s">
        <v>168</v>
      </c>
      <c r="R6" s="205"/>
      <c r="S6" s="204"/>
      <c r="T6" s="205"/>
      <c r="U6" s="204"/>
      <c r="V6" s="205"/>
      <c r="W6" s="204"/>
      <c r="X6" s="205"/>
      <c r="Y6" s="204"/>
      <c r="Z6" s="205"/>
      <c r="AA6" s="204"/>
      <c r="AB6" s="205"/>
    </row>
    <row r="7" spans="1:28" ht="17.25" customHeight="1" thickBot="1" x14ac:dyDescent="0.5">
      <c r="A7" s="187" t="s">
        <v>241</v>
      </c>
      <c r="B7" s="37">
        <f>COUNTIF(I:AL,"정지원")</f>
        <v>4</v>
      </c>
      <c r="C7" s="37" t="s">
        <v>207</v>
      </c>
      <c r="D7" s="37">
        <f>COUNTIF(I:AL,"김인애;")</f>
        <v>4</v>
      </c>
      <c r="E7" s="37"/>
      <c r="F7" s="188"/>
      <c r="H7" s="610"/>
      <c r="I7" s="207"/>
      <c r="J7" s="208"/>
      <c r="K7" s="207"/>
      <c r="L7" s="208"/>
      <c r="M7" s="207"/>
      <c r="N7" s="208"/>
      <c r="O7" s="207"/>
      <c r="P7" s="208"/>
      <c r="Q7" s="207"/>
      <c r="R7" s="208"/>
      <c r="S7" s="207"/>
      <c r="T7" s="208"/>
      <c r="U7" s="207"/>
      <c r="V7" s="208"/>
      <c r="W7" s="210"/>
      <c r="X7" s="208"/>
      <c r="Y7" s="207"/>
      <c r="Z7" s="208"/>
      <c r="AA7" s="207"/>
      <c r="AB7" s="208"/>
    </row>
    <row r="8" spans="1:28" ht="17.25" customHeight="1" thickTop="1" x14ac:dyDescent="0.45">
      <c r="A8" s="187" t="s">
        <v>238</v>
      </c>
      <c r="B8" s="37">
        <f>COUNTIF(I:AL,"이기찬")</f>
        <v>3</v>
      </c>
      <c r="C8" s="37" t="s">
        <v>206</v>
      </c>
      <c r="D8" s="37">
        <f>COUNTIF(I:AL,"석경남;")</f>
        <v>5</v>
      </c>
      <c r="E8" s="37"/>
      <c r="F8" s="188"/>
      <c r="H8" s="609">
        <v>12</v>
      </c>
      <c r="I8" s="204"/>
      <c r="J8" s="205"/>
      <c r="K8" s="204"/>
      <c r="L8" s="205"/>
      <c r="M8" s="204"/>
      <c r="N8" s="205"/>
      <c r="O8" s="204"/>
      <c r="P8" s="205"/>
      <c r="Q8" s="204"/>
      <c r="R8" s="205"/>
      <c r="S8" s="204"/>
      <c r="T8" s="205"/>
      <c r="U8" s="204"/>
      <c r="V8" s="205"/>
      <c r="W8" s="204"/>
      <c r="X8" s="205"/>
      <c r="Y8" s="204"/>
      <c r="Z8" s="205"/>
      <c r="AA8" s="204"/>
      <c r="AB8" s="205"/>
    </row>
    <row r="9" spans="1:28" ht="17.25" customHeight="1" thickBot="1" x14ac:dyDescent="0.5">
      <c r="A9" s="187" t="s">
        <v>231</v>
      </c>
      <c r="B9" s="37">
        <f>COUNTIF(I:AL,"배이준")</f>
        <v>3</v>
      </c>
      <c r="C9" s="37" t="s">
        <v>183</v>
      </c>
      <c r="D9" s="37">
        <f>COUNTIF(I:AL,"윤미호;")</f>
        <v>4</v>
      </c>
      <c r="E9" s="37"/>
      <c r="F9" s="188"/>
      <c r="H9" s="610"/>
      <c r="I9" s="207"/>
      <c r="J9" s="208"/>
      <c r="K9" s="207"/>
      <c r="L9" s="208"/>
      <c r="M9" s="207"/>
      <c r="N9" s="208"/>
      <c r="O9" s="207"/>
      <c r="P9" s="208"/>
      <c r="Q9" s="207"/>
      <c r="R9" s="208"/>
      <c r="S9" s="207"/>
      <c r="T9" s="208"/>
      <c r="U9" s="207"/>
      <c r="V9" s="208"/>
      <c r="W9" s="210"/>
      <c r="X9" s="208"/>
      <c r="Y9" s="207"/>
      <c r="Z9" s="208"/>
      <c r="AA9" s="207"/>
      <c r="AB9" s="208"/>
    </row>
    <row r="10" spans="1:28" ht="17.25" customHeight="1" thickTop="1" x14ac:dyDescent="0.45">
      <c r="A10" s="187" t="s">
        <v>171</v>
      </c>
      <c r="B10" s="37">
        <f>COUNTIF(I:AL,"신정인")</f>
        <v>2</v>
      </c>
      <c r="C10" s="37" t="s">
        <v>280</v>
      </c>
      <c r="D10" s="37">
        <f>COUNTIF(I:AL,"김견희;")</f>
        <v>4</v>
      </c>
      <c r="E10" s="37"/>
      <c r="F10" s="188"/>
      <c r="H10" s="609">
        <v>1</v>
      </c>
      <c r="I10" s="204"/>
      <c r="J10" s="205"/>
      <c r="K10" s="204"/>
      <c r="L10" s="205"/>
      <c r="M10" s="204"/>
      <c r="N10" s="205"/>
      <c r="O10" s="204" t="s">
        <v>164</v>
      </c>
      <c r="P10" s="205"/>
      <c r="Q10" s="204"/>
      <c r="R10" s="205"/>
      <c r="S10" s="204"/>
      <c r="T10" s="205"/>
      <c r="U10" s="204"/>
      <c r="V10" s="205"/>
      <c r="W10" s="204"/>
      <c r="X10" s="205"/>
      <c r="Y10" s="204"/>
      <c r="Z10" s="205"/>
      <c r="AA10" s="204"/>
      <c r="AB10" s="205"/>
    </row>
    <row r="11" spans="1:28" ht="17.25" customHeight="1" thickBot="1" x14ac:dyDescent="0.5">
      <c r="A11" s="187" t="s">
        <v>173</v>
      </c>
      <c r="B11" s="37">
        <f>COUNTIF(I:AL,"변이서")</f>
        <v>4</v>
      </c>
      <c r="C11" s="37" t="s">
        <v>210</v>
      </c>
      <c r="D11" s="37">
        <f>COUNTIF(I:AL,"박상혜;")</f>
        <v>2</v>
      </c>
      <c r="E11" s="37"/>
      <c r="F11" s="188"/>
      <c r="H11" s="610"/>
      <c r="I11" s="207"/>
      <c r="J11" s="208"/>
      <c r="K11" s="207"/>
      <c r="L11" s="208"/>
      <c r="M11" s="207"/>
      <c r="N11" s="208"/>
      <c r="O11" s="207"/>
      <c r="P11" s="208"/>
      <c r="Q11" s="207"/>
      <c r="R11" s="208"/>
      <c r="S11" s="207"/>
      <c r="T11" s="208"/>
      <c r="U11" s="207"/>
      <c r="V11" s="208"/>
      <c r="W11" s="210"/>
      <c r="X11" s="208"/>
      <c r="Y11" s="207"/>
      <c r="Z11" s="208"/>
      <c r="AA11" s="207"/>
      <c r="AB11" s="208"/>
    </row>
    <row r="12" spans="1:28" ht="17.25" customHeight="1" thickTop="1" x14ac:dyDescent="0.45">
      <c r="A12" s="187" t="s">
        <v>242</v>
      </c>
      <c r="B12" s="37">
        <f>COUNTIF(I:AL,"박창민")</f>
        <v>4</v>
      </c>
      <c r="C12" s="250" t="s">
        <v>234</v>
      </c>
      <c r="D12" s="250">
        <f>COUNTIF(I:AL,"신하린;")</f>
        <v>1</v>
      </c>
      <c r="E12" s="37"/>
      <c r="F12" s="188"/>
      <c r="H12" s="609">
        <v>2</v>
      </c>
      <c r="I12" s="204"/>
      <c r="J12" s="205"/>
      <c r="K12" s="204"/>
      <c r="L12" s="205"/>
      <c r="M12" s="204"/>
      <c r="N12" s="205"/>
      <c r="O12" s="204"/>
      <c r="P12" s="205"/>
      <c r="Q12" s="204" t="s">
        <v>1</v>
      </c>
      <c r="R12" s="205"/>
      <c r="S12" s="204"/>
      <c r="T12" s="205"/>
      <c r="U12" s="204"/>
      <c r="V12" s="205"/>
      <c r="W12" s="204"/>
      <c r="X12" s="205"/>
      <c r="Y12" s="204"/>
      <c r="Z12" s="205"/>
      <c r="AA12" s="204"/>
      <c r="AB12" s="205"/>
    </row>
    <row r="13" spans="1:28" ht="17.25" customHeight="1" thickBot="1" x14ac:dyDescent="0.5">
      <c r="A13" s="187" t="s">
        <v>186</v>
      </c>
      <c r="B13" s="37">
        <f>COUNTIF(I:AL,"정윤후")</f>
        <v>3</v>
      </c>
      <c r="C13" s="250" t="s">
        <v>12</v>
      </c>
      <c r="D13" s="250">
        <f>COUNTIF(I:AL,"김혜정;")</f>
        <v>1</v>
      </c>
      <c r="E13" s="37"/>
      <c r="F13" s="188"/>
      <c r="H13" s="610"/>
      <c r="I13" s="207"/>
      <c r="J13" s="208"/>
      <c r="K13" s="207"/>
      <c r="L13" s="208"/>
      <c r="M13" s="207"/>
      <c r="N13" s="208"/>
      <c r="O13" s="207"/>
      <c r="P13" s="208"/>
      <c r="Q13" s="207"/>
      <c r="R13" s="208"/>
      <c r="S13" s="207"/>
      <c r="T13" s="208"/>
      <c r="U13" s="207"/>
      <c r="V13" s="208"/>
      <c r="W13" s="210"/>
      <c r="X13" s="208"/>
      <c r="Y13" s="207"/>
      <c r="Z13" s="208"/>
      <c r="AA13" s="207"/>
      <c r="AB13" s="208"/>
    </row>
    <row r="14" spans="1:28" ht="18" customHeight="1" thickTop="1" x14ac:dyDescent="0.45">
      <c r="A14" s="195" t="s">
        <v>169</v>
      </c>
      <c r="B14" s="37">
        <f>COUNTIF(M:AP,"이순희")</f>
        <v>2</v>
      </c>
      <c r="E14" s="37"/>
      <c r="F14" s="188"/>
      <c r="H14" s="609">
        <v>3</v>
      </c>
      <c r="I14" s="204"/>
      <c r="J14" s="205"/>
      <c r="K14" s="204"/>
      <c r="L14" s="205"/>
      <c r="M14" s="204"/>
      <c r="N14" s="205"/>
      <c r="O14" s="204"/>
      <c r="P14" s="205"/>
      <c r="Q14" s="204" t="s">
        <v>276</v>
      </c>
      <c r="R14" s="205"/>
      <c r="S14" s="204" t="s">
        <v>246</v>
      </c>
      <c r="T14" s="205" t="s">
        <v>262</v>
      </c>
      <c r="U14" s="204" t="s">
        <v>20</v>
      </c>
      <c r="V14" s="205"/>
      <c r="W14" s="204" t="s">
        <v>125</v>
      </c>
      <c r="X14" s="205"/>
      <c r="Y14" s="204"/>
      <c r="Z14" s="205"/>
      <c r="AA14" s="204"/>
      <c r="AB14" s="205"/>
    </row>
    <row r="15" spans="1:28" ht="18" customHeight="1" thickBot="1" x14ac:dyDescent="0.5">
      <c r="A15" s="195"/>
      <c r="B15" s="37"/>
      <c r="E15" s="37"/>
      <c r="F15" s="188"/>
      <c r="H15" s="610"/>
      <c r="I15" s="207"/>
      <c r="J15" s="208"/>
      <c r="K15" s="207"/>
      <c r="L15" s="208"/>
      <c r="M15" s="207"/>
      <c r="N15" s="208"/>
      <c r="O15" s="207"/>
      <c r="P15" s="208"/>
      <c r="Q15" s="207"/>
      <c r="R15" s="208"/>
      <c r="S15" s="207" t="s">
        <v>267</v>
      </c>
      <c r="T15" s="208" t="s">
        <v>243</v>
      </c>
      <c r="U15" s="207"/>
      <c r="V15" s="208"/>
      <c r="W15" s="210"/>
      <c r="X15" s="208"/>
      <c r="Y15" s="207"/>
      <c r="Z15" s="208"/>
      <c r="AA15" s="207"/>
      <c r="AB15" s="208"/>
    </row>
    <row r="16" spans="1:28" ht="17.25" customHeight="1" thickTop="1" x14ac:dyDescent="0.45">
      <c r="A16" s="187"/>
      <c r="B16" s="37"/>
      <c r="E16" s="37"/>
      <c r="F16" s="188"/>
      <c r="H16" s="609">
        <v>4</v>
      </c>
      <c r="I16" s="204"/>
      <c r="J16" s="205"/>
      <c r="K16" s="204"/>
      <c r="L16" s="205"/>
      <c r="M16" s="204"/>
      <c r="N16" s="205"/>
      <c r="O16" s="204"/>
      <c r="P16" s="205"/>
      <c r="Q16" s="204"/>
      <c r="R16" s="205"/>
      <c r="S16" s="204"/>
      <c r="T16" s="205"/>
      <c r="U16" s="204" t="s">
        <v>132</v>
      </c>
      <c r="V16" s="205"/>
      <c r="W16" s="204" t="s">
        <v>173</v>
      </c>
      <c r="X16" s="205"/>
      <c r="Y16" s="204" t="s">
        <v>74</v>
      </c>
      <c r="Z16" s="205"/>
      <c r="AA16" s="204"/>
      <c r="AB16" s="205"/>
    </row>
    <row r="17" spans="1:28" ht="17.25" customHeight="1" thickBot="1" x14ac:dyDescent="0.5">
      <c r="A17" s="187"/>
      <c r="B17" s="37"/>
      <c r="E17" s="37"/>
      <c r="F17" s="188"/>
      <c r="H17" s="610"/>
      <c r="I17" s="207"/>
      <c r="J17" s="208"/>
      <c r="K17" s="207"/>
      <c r="L17" s="208"/>
      <c r="M17" s="207"/>
      <c r="N17" s="208"/>
      <c r="O17" s="207"/>
      <c r="P17" s="208"/>
      <c r="Q17" s="207"/>
      <c r="R17" s="208"/>
      <c r="S17" s="207"/>
      <c r="T17" s="208"/>
      <c r="U17" s="207"/>
      <c r="V17" s="208"/>
      <c r="W17" s="210"/>
      <c r="X17" s="208"/>
      <c r="Y17" s="207"/>
      <c r="Z17" s="208"/>
      <c r="AA17" s="207"/>
      <c r="AB17" s="208"/>
    </row>
    <row r="18" spans="1:28" ht="17.25" customHeight="1" thickTop="1" thickBot="1" x14ac:dyDescent="0.5">
      <c r="A18" s="187"/>
      <c r="B18" s="37"/>
      <c r="C18" s="224" t="s">
        <v>223</v>
      </c>
      <c r="D18" s="224">
        <f>COUNTIF(I:AL,"공하정;")</f>
        <v>0</v>
      </c>
      <c r="E18" s="37"/>
      <c r="F18" s="188"/>
      <c r="H18" s="609">
        <v>5</v>
      </c>
      <c r="I18" s="204"/>
      <c r="J18" s="205"/>
      <c r="K18" s="204"/>
      <c r="L18" s="205"/>
      <c r="M18" s="204"/>
      <c r="N18" s="205"/>
      <c r="O18" s="204"/>
      <c r="P18" s="205"/>
      <c r="Q18" s="204" t="s">
        <v>134</v>
      </c>
      <c r="R18" s="205"/>
      <c r="S18" s="204"/>
      <c r="T18" s="205"/>
      <c r="U18" s="204"/>
      <c r="V18" s="205"/>
      <c r="W18" s="204"/>
      <c r="X18" s="205"/>
      <c r="Y18" s="204" t="s">
        <v>269</v>
      </c>
      <c r="Z18" s="205"/>
      <c r="AA18" s="204"/>
      <c r="AB18" s="205"/>
    </row>
    <row r="19" spans="1:28" ht="17.25" customHeight="1" thickTop="1" thickBot="1" x14ac:dyDescent="0.5">
      <c r="A19" s="187"/>
      <c r="B19" s="37"/>
      <c r="C19" s="191" t="s">
        <v>236</v>
      </c>
      <c r="D19" s="192">
        <f>COUNTIF(K:AN,"임하린;")</f>
        <v>4</v>
      </c>
      <c r="E19" s="37"/>
      <c r="F19" s="188"/>
      <c r="H19" s="610"/>
      <c r="I19" s="207"/>
      <c r="J19" s="208"/>
      <c r="K19" s="207"/>
      <c r="L19" s="208"/>
      <c r="M19" s="207"/>
      <c r="N19" s="208"/>
      <c r="O19" s="207"/>
      <c r="P19" s="208"/>
      <c r="Q19" s="207"/>
      <c r="R19" s="208"/>
      <c r="S19" s="207"/>
      <c r="T19" s="208"/>
      <c r="U19" s="207"/>
      <c r="V19" s="208"/>
      <c r="W19" s="210"/>
      <c r="X19" s="208"/>
      <c r="Y19" s="207"/>
      <c r="Z19" s="208"/>
      <c r="AA19" s="207"/>
      <c r="AB19" s="208"/>
    </row>
    <row r="20" spans="1:28" ht="17.25" customHeight="1" thickTop="1" x14ac:dyDescent="0.45">
      <c r="A20" s="187"/>
      <c r="B20" s="37"/>
      <c r="C20" s="193" t="s">
        <v>241</v>
      </c>
      <c r="D20" s="194">
        <f>COUNTIF(K:AN,"정지원;")</f>
        <v>4</v>
      </c>
      <c r="E20" s="37"/>
      <c r="F20" s="188"/>
      <c r="H20" s="609">
        <v>6</v>
      </c>
      <c r="I20" s="204"/>
      <c r="J20" s="205"/>
      <c r="K20" s="204"/>
      <c r="L20" s="205"/>
      <c r="M20" s="204"/>
      <c r="N20" s="205"/>
      <c r="O20" s="204"/>
      <c r="P20" s="205"/>
      <c r="Q20" s="209" t="s">
        <v>251</v>
      </c>
      <c r="R20" s="203" t="s">
        <v>260</v>
      </c>
      <c r="S20" s="204" t="s">
        <v>250</v>
      </c>
      <c r="T20" s="205"/>
      <c r="U20" s="204"/>
      <c r="V20" s="205"/>
      <c r="W20" s="204"/>
      <c r="X20" s="205"/>
      <c r="Y20" s="204"/>
      <c r="Z20" s="205"/>
      <c r="AA20" s="204"/>
      <c r="AB20" s="205"/>
    </row>
    <row r="21" spans="1:28" ht="16.5" customHeight="1" x14ac:dyDescent="0.45">
      <c r="A21" s="187"/>
      <c r="B21" s="37"/>
      <c r="C21" s="193" t="s">
        <v>231</v>
      </c>
      <c r="D21" s="194">
        <f>COUNTIF(K:AN,"배이준;")</f>
        <v>3</v>
      </c>
      <c r="E21" s="37"/>
      <c r="F21" s="188"/>
      <c r="H21" s="609"/>
      <c r="I21" s="204"/>
      <c r="J21" s="205"/>
      <c r="K21" s="204"/>
      <c r="L21" s="205"/>
      <c r="M21" s="204"/>
      <c r="N21" s="205"/>
      <c r="O21" s="204"/>
      <c r="P21" s="205"/>
      <c r="Q21" s="211" t="s">
        <v>252</v>
      </c>
      <c r="R21" s="205" t="s">
        <v>253</v>
      </c>
      <c r="T21" s="205"/>
      <c r="U21" s="204"/>
      <c r="V21" s="205"/>
      <c r="W21" s="204"/>
      <c r="X21" s="205"/>
      <c r="Y21" s="204"/>
      <c r="Z21" s="205"/>
      <c r="AA21" s="204"/>
      <c r="AB21" s="205"/>
    </row>
    <row r="22" spans="1:28" ht="16.5" customHeight="1" x14ac:dyDescent="0.45">
      <c r="A22" s="196"/>
      <c r="B22" s="37"/>
      <c r="C22" s="193" t="s">
        <v>233</v>
      </c>
      <c r="D22" s="194">
        <f>COUNTIF(K:AN,"이소영;")</f>
        <v>4</v>
      </c>
      <c r="E22" s="37"/>
      <c r="F22" s="188"/>
      <c r="H22" s="609"/>
      <c r="I22" s="204"/>
      <c r="J22" s="205"/>
      <c r="K22" s="204"/>
      <c r="L22" s="205"/>
      <c r="M22" s="204"/>
      <c r="N22" s="205"/>
      <c r="O22" s="204"/>
      <c r="P22" s="205"/>
      <c r="Q22" s="211" t="s">
        <v>249</v>
      </c>
      <c r="R22" s="205"/>
      <c r="S22" s="204"/>
      <c r="T22" s="205"/>
      <c r="U22" s="204"/>
      <c r="V22" s="205"/>
      <c r="W22" s="204"/>
      <c r="X22" s="205"/>
      <c r="Y22" s="204"/>
      <c r="Z22" s="205"/>
      <c r="AA22" s="204"/>
      <c r="AB22" s="205"/>
    </row>
    <row r="23" spans="1:28" ht="17.25" customHeight="1" thickBot="1" x14ac:dyDescent="0.5">
      <c r="A23" s="196"/>
      <c r="C23" s="193" t="s">
        <v>238</v>
      </c>
      <c r="D23" s="194">
        <f>COUNTIF(K:AN,"이기찬;")</f>
        <v>3</v>
      </c>
      <c r="E23" s="37"/>
      <c r="F23" s="188"/>
      <c r="H23" s="610"/>
      <c r="I23" s="207"/>
      <c r="J23" s="208"/>
      <c r="K23" s="207"/>
      <c r="L23" s="208"/>
      <c r="M23" s="207"/>
      <c r="N23" s="208"/>
      <c r="O23" s="207"/>
      <c r="P23" s="208"/>
      <c r="Q23" s="210"/>
      <c r="R23" s="208"/>
      <c r="S23" s="207"/>
      <c r="T23" s="208"/>
      <c r="U23" s="207"/>
      <c r="V23" s="208"/>
      <c r="W23" s="210"/>
      <c r="X23" s="208"/>
      <c r="Y23" s="207"/>
      <c r="Z23" s="208"/>
      <c r="AA23" s="207"/>
      <c r="AB23" s="208"/>
    </row>
    <row r="24" spans="1:28" ht="18" customHeight="1" thickTop="1" x14ac:dyDescent="0.45">
      <c r="A24" s="225" t="s">
        <v>157</v>
      </c>
      <c r="B24" s="224">
        <f>COUNTIF(I:AL,"최은실")</f>
        <v>0</v>
      </c>
      <c r="C24" s="193" t="s">
        <v>242</v>
      </c>
      <c r="D24" s="194">
        <f>COUNTIF(K:AN,"박창민;")</f>
        <v>0</v>
      </c>
      <c r="E24" s="37"/>
      <c r="F24" s="188"/>
      <c r="H24" s="609">
        <v>7</v>
      </c>
      <c r="I24" s="204"/>
      <c r="J24" s="205"/>
      <c r="K24" s="204"/>
      <c r="L24" s="205"/>
      <c r="M24" s="204"/>
      <c r="N24" s="205"/>
      <c r="O24" s="204"/>
      <c r="P24" s="205"/>
      <c r="Q24" s="204"/>
      <c r="R24" s="205"/>
      <c r="S24" s="204"/>
      <c r="T24" s="205"/>
      <c r="U24" s="204"/>
      <c r="V24" s="205"/>
      <c r="W24" s="204"/>
      <c r="X24" s="205"/>
      <c r="Y24" s="204"/>
      <c r="Z24" s="205"/>
      <c r="AA24" s="204"/>
      <c r="AB24" s="205"/>
    </row>
    <row r="25" spans="1:28" ht="18" customHeight="1" thickBot="1" x14ac:dyDescent="0.5">
      <c r="A25" s="226" t="s">
        <v>138</v>
      </c>
      <c r="B25" s="227">
        <f>COUNTIF(I:AL,"김혜숙")</f>
        <v>0</v>
      </c>
      <c r="C25" s="222"/>
      <c r="D25" s="223"/>
      <c r="E25" s="220"/>
      <c r="F25" s="221"/>
      <c r="H25" s="610"/>
      <c r="I25" s="207"/>
      <c r="J25" s="208"/>
      <c r="K25" s="207"/>
      <c r="L25" s="208"/>
      <c r="M25" s="207"/>
      <c r="N25" s="208"/>
      <c r="O25" s="207"/>
      <c r="P25" s="208"/>
      <c r="Q25" s="207"/>
      <c r="R25" s="208"/>
      <c r="S25" s="207"/>
      <c r="T25" s="208"/>
      <c r="U25" s="207"/>
      <c r="V25" s="208"/>
      <c r="W25" s="210"/>
      <c r="X25" s="208"/>
      <c r="Y25" s="207"/>
      <c r="Z25" s="208"/>
      <c r="AA25" s="207"/>
      <c r="AB25" s="208"/>
    </row>
    <row r="26" spans="1:28" ht="17.5" thickTop="1" x14ac:dyDescent="0.45">
      <c r="A26" s="37"/>
      <c r="B26" s="37"/>
      <c r="C26" s="37"/>
      <c r="D26" s="37"/>
      <c r="E26" s="37"/>
      <c r="F26" s="37"/>
    </row>
    <row r="27" spans="1:28" ht="17.5" thickBot="1" x14ac:dyDescent="0.5">
      <c r="A27" s="37"/>
      <c r="B27" s="37"/>
      <c r="C27" s="37"/>
      <c r="D27" s="37"/>
      <c r="E27" s="37"/>
      <c r="F27" s="37"/>
    </row>
    <row r="28" spans="1:28" ht="27" thickTop="1" thickBot="1" x14ac:dyDescent="0.5">
      <c r="A28" s="182" t="s">
        <v>7</v>
      </c>
      <c r="B28" s="183"/>
      <c r="C28" s="182" t="s">
        <v>9</v>
      </c>
      <c r="D28" s="184" t="s">
        <v>218</v>
      </c>
      <c r="E28" s="182" t="s">
        <v>204</v>
      </c>
      <c r="F28" s="184" t="s">
        <v>220</v>
      </c>
      <c r="H28" s="611" t="s">
        <v>254</v>
      </c>
      <c r="I28" s="612"/>
      <c r="J28" s="613"/>
      <c r="K28" s="185"/>
      <c r="L28" s="186"/>
      <c r="M28" s="186"/>
      <c r="N28" s="186"/>
      <c r="O28" s="186"/>
      <c r="P28" s="186"/>
      <c r="Q28" s="186"/>
      <c r="R28" s="186"/>
      <c r="S28" s="186"/>
      <c r="T28" s="186"/>
      <c r="U28" s="186"/>
      <c r="V28" s="186"/>
    </row>
    <row r="29" spans="1:28" ht="17.25" customHeight="1" thickTop="1" thickBot="1" x14ac:dyDescent="0.5">
      <c r="A29" s="187" t="s">
        <v>164</v>
      </c>
      <c r="B29" s="37">
        <f>COUNTIF(I:AL,"구로")</f>
        <v>4</v>
      </c>
      <c r="C29" s="37" t="s">
        <v>222</v>
      </c>
      <c r="D29" s="37">
        <f>COUNTIF(I:AL,"고영숙;")</f>
        <v>4</v>
      </c>
      <c r="E29" s="37" t="s">
        <v>233</v>
      </c>
      <c r="F29" s="188">
        <f>COUNTIF(I:AL,"이소영]")</f>
        <v>4</v>
      </c>
      <c r="H29" s="189"/>
      <c r="I29" s="624">
        <v>11</v>
      </c>
      <c r="J29" s="625"/>
      <c r="K29" s="624">
        <v>12</v>
      </c>
      <c r="L29" s="625"/>
      <c r="M29" s="624">
        <v>13</v>
      </c>
      <c r="N29" s="625"/>
      <c r="O29" s="624">
        <v>14</v>
      </c>
      <c r="P29" s="625"/>
      <c r="Q29" s="624">
        <v>15</v>
      </c>
      <c r="R29" s="625"/>
      <c r="S29" s="624">
        <v>16</v>
      </c>
      <c r="T29" s="625"/>
      <c r="U29" s="624">
        <v>17</v>
      </c>
      <c r="V29" s="625"/>
    </row>
    <row r="30" spans="1:28" ht="17.5" customHeight="1" thickTop="1" thickBot="1" x14ac:dyDescent="0.5">
      <c r="A30" s="187" t="s">
        <v>203</v>
      </c>
      <c r="B30" s="37">
        <f>COUNTIF(I:AL,"우리인력")</f>
        <v>4</v>
      </c>
      <c r="C30" s="37" t="s">
        <v>235</v>
      </c>
      <c r="D30" s="37">
        <f>COUNTIF(I:AL,"김용;")</f>
        <v>4</v>
      </c>
      <c r="E30" s="37" t="s">
        <v>212</v>
      </c>
      <c r="F30" s="188">
        <f>COUNTIF(I:AL,"소영하린]")</f>
        <v>4</v>
      </c>
      <c r="H30" s="190"/>
      <c r="I30" s="626" t="s">
        <v>224</v>
      </c>
      <c r="J30" s="627"/>
      <c r="K30" s="626" t="s">
        <v>225</v>
      </c>
      <c r="L30" s="627"/>
      <c r="M30" s="626" t="s">
        <v>226</v>
      </c>
      <c r="N30" s="627"/>
      <c r="O30" s="626" t="s">
        <v>227</v>
      </c>
      <c r="P30" s="627"/>
      <c r="Q30" s="626" t="s">
        <v>228</v>
      </c>
      <c r="R30" s="627"/>
      <c r="S30" s="626" t="s">
        <v>229</v>
      </c>
      <c r="T30" s="627"/>
      <c r="U30" s="626" t="s">
        <v>230</v>
      </c>
      <c r="V30" s="627"/>
    </row>
    <row r="31" spans="1:28" ht="17.25" customHeight="1" thickTop="1" x14ac:dyDescent="0.45">
      <c r="A31" s="187" t="s">
        <v>168</v>
      </c>
      <c r="B31" s="37">
        <f>COUNTIF(I:AL,"박사랑")</f>
        <v>4</v>
      </c>
      <c r="C31" s="37" t="s">
        <v>237</v>
      </c>
      <c r="D31" s="37">
        <f>COUNTIF(I:AL,"윤분숙;")</f>
        <v>4</v>
      </c>
      <c r="F31" s="188"/>
      <c r="H31" s="614">
        <v>10</v>
      </c>
      <c r="I31" s="204" t="s">
        <v>203</v>
      </c>
      <c r="J31" s="203"/>
      <c r="K31" s="202"/>
      <c r="L31" s="203"/>
      <c r="M31" s="204"/>
      <c r="N31" s="203"/>
      <c r="O31" s="202" t="s">
        <v>203</v>
      </c>
      <c r="P31" s="203"/>
      <c r="Q31" s="202" t="s">
        <v>273</v>
      </c>
      <c r="R31" s="203" t="s">
        <v>274</v>
      </c>
      <c r="S31" s="202"/>
      <c r="T31" s="203"/>
      <c r="U31" s="202"/>
      <c r="V31" s="203"/>
    </row>
    <row r="32" spans="1:28" ht="17.25" customHeight="1" thickBot="1" x14ac:dyDescent="0.5">
      <c r="A32" s="187" t="s">
        <v>233</v>
      </c>
      <c r="B32" s="37">
        <f>COUNTIF(I:AL,"이소영")</f>
        <v>4</v>
      </c>
      <c r="C32" s="37" t="s">
        <v>159</v>
      </c>
      <c r="D32" s="37">
        <f>COUNTIF(I:AL,"최임이;")</f>
        <v>4</v>
      </c>
      <c r="E32" s="37"/>
      <c r="F32" s="188"/>
      <c r="H32" s="610"/>
      <c r="I32" s="207"/>
      <c r="J32" s="208"/>
      <c r="K32" s="207"/>
      <c r="L32" s="208"/>
      <c r="M32" s="207"/>
      <c r="N32" s="208"/>
      <c r="O32" s="207"/>
      <c r="P32" s="208"/>
      <c r="Q32" s="207"/>
      <c r="R32" s="208"/>
      <c r="S32" s="207"/>
      <c r="T32" s="208"/>
      <c r="U32" s="207"/>
      <c r="V32" s="208"/>
    </row>
    <row r="33" spans="1:22" ht="17.25" customHeight="1" thickTop="1" x14ac:dyDescent="0.45">
      <c r="A33" s="187" t="s">
        <v>236</v>
      </c>
      <c r="B33" s="37">
        <f>COUNTIF(I:AL,"임하린")</f>
        <v>4</v>
      </c>
      <c r="C33" s="37" t="s">
        <v>163</v>
      </c>
      <c r="D33" s="37">
        <f>COUNTIF(I:AL,"이말진;")</f>
        <v>3</v>
      </c>
      <c r="E33" s="37"/>
      <c r="F33" s="188"/>
      <c r="H33" s="609">
        <v>11</v>
      </c>
      <c r="I33" s="204"/>
      <c r="J33" s="205"/>
      <c r="K33" s="204"/>
      <c r="L33" s="205"/>
      <c r="M33" s="204" t="s">
        <v>171</v>
      </c>
      <c r="N33" s="205"/>
      <c r="O33" s="204"/>
      <c r="P33" s="205"/>
      <c r="Q33" s="204"/>
      <c r="R33" s="205"/>
      <c r="S33" s="204"/>
      <c r="T33" s="205"/>
      <c r="U33" s="204"/>
      <c r="V33" s="205"/>
    </row>
    <row r="34" spans="1:22" ht="17.25" customHeight="1" thickBot="1" x14ac:dyDescent="0.5">
      <c r="A34" s="187" t="s">
        <v>241</v>
      </c>
      <c r="B34" s="37">
        <f>COUNTIF(I:AL,"정지원")</f>
        <v>4</v>
      </c>
      <c r="C34" s="37" t="s">
        <v>207</v>
      </c>
      <c r="D34" s="37">
        <f>COUNTIF(I:AL,"김인애;")</f>
        <v>4</v>
      </c>
      <c r="E34" s="37"/>
      <c r="F34" s="188"/>
      <c r="H34" s="610"/>
      <c r="I34" s="207"/>
      <c r="J34" s="208"/>
      <c r="K34" s="207"/>
      <c r="L34" s="208"/>
      <c r="M34" s="207"/>
      <c r="N34" s="208"/>
      <c r="O34" s="207"/>
      <c r="P34" s="208"/>
      <c r="Q34" s="207"/>
      <c r="R34" s="208"/>
      <c r="S34" s="207"/>
      <c r="T34" s="208"/>
      <c r="U34" s="207"/>
      <c r="V34" s="208"/>
    </row>
    <row r="35" spans="1:22" ht="17.25" customHeight="1" thickTop="1" x14ac:dyDescent="0.45">
      <c r="A35" s="187" t="s">
        <v>238</v>
      </c>
      <c r="B35" s="37">
        <f>COUNTIF(I:AL,"이기찬")</f>
        <v>3</v>
      </c>
      <c r="C35" s="37" t="s">
        <v>206</v>
      </c>
      <c r="D35" s="37">
        <f>COUNTIF(I:AL,"석경남;")</f>
        <v>5</v>
      </c>
      <c r="E35" s="37"/>
      <c r="F35" s="188"/>
      <c r="H35" s="609">
        <v>12</v>
      </c>
      <c r="I35" s="204"/>
      <c r="J35" s="205"/>
      <c r="K35" s="204"/>
      <c r="L35" s="205"/>
      <c r="M35" s="204" t="s">
        <v>173</v>
      </c>
      <c r="N35" s="205"/>
      <c r="O35" s="204"/>
      <c r="P35" s="205"/>
      <c r="Q35" s="204"/>
      <c r="R35" s="205"/>
      <c r="S35" s="204"/>
      <c r="T35" s="205"/>
      <c r="U35" s="204"/>
      <c r="V35" s="205"/>
    </row>
    <row r="36" spans="1:22" ht="17.25" customHeight="1" thickBot="1" x14ac:dyDescent="0.5">
      <c r="A36" s="187" t="s">
        <v>231</v>
      </c>
      <c r="B36" s="37">
        <f>COUNTIF(I:AL,"배이준")</f>
        <v>3</v>
      </c>
      <c r="C36" s="37" t="s">
        <v>183</v>
      </c>
      <c r="D36" s="37">
        <f>COUNTIF(I:AL,"윤미호;")</f>
        <v>4</v>
      </c>
      <c r="E36" s="37"/>
      <c r="F36" s="188"/>
      <c r="H36" s="610"/>
      <c r="I36" s="207"/>
      <c r="J36" s="208"/>
      <c r="K36" s="207"/>
      <c r="L36" s="208"/>
      <c r="M36" s="207"/>
      <c r="N36" s="208"/>
      <c r="O36" s="207"/>
      <c r="P36" s="208"/>
      <c r="Q36" s="207"/>
      <c r="R36" s="208"/>
      <c r="S36" s="207"/>
      <c r="T36" s="208"/>
      <c r="U36" s="207"/>
      <c r="V36" s="208"/>
    </row>
    <row r="37" spans="1:22" ht="17.25" customHeight="1" thickTop="1" x14ac:dyDescent="0.45">
      <c r="A37" s="187" t="s">
        <v>171</v>
      </c>
      <c r="B37" s="37">
        <f>COUNTIF(I:AL,"신정인")</f>
        <v>2</v>
      </c>
      <c r="C37" s="37" t="s">
        <v>280</v>
      </c>
      <c r="D37" s="37">
        <f>COUNTIF(I:AL,"김견희;")</f>
        <v>4</v>
      </c>
      <c r="E37" s="37"/>
      <c r="F37" s="188"/>
      <c r="H37" s="609">
        <v>1</v>
      </c>
      <c r="I37" s="204" t="s">
        <v>164</v>
      </c>
      <c r="J37" s="205"/>
      <c r="K37" s="204"/>
      <c r="L37" s="205"/>
      <c r="M37" s="204"/>
      <c r="N37" s="205"/>
      <c r="O37" s="204"/>
      <c r="P37" s="205"/>
      <c r="Q37" s="204" t="s">
        <v>74</v>
      </c>
      <c r="R37" s="205"/>
      <c r="S37" s="204"/>
      <c r="T37" s="205"/>
      <c r="U37" s="204"/>
      <c r="V37" s="205"/>
    </row>
    <row r="38" spans="1:22" ht="17.25" customHeight="1" thickBot="1" x14ac:dyDescent="0.5">
      <c r="A38" s="187" t="s">
        <v>173</v>
      </c>
      <c r="B38" s="37">
        <f>COUNTIF(I:AL,"변이서")</f>
        <v>4</v>
      </c>
      <c r="C38" s="37" t="s">
        <v>210</v>
      </c>
      <c r="D38" s="37">
        <f>COUNTIF(I:AL,"박상혜;")</f>
        <v>2</v>
      </c>
      <c r="E38" s="37"/>
      <c r="F38" s="188"/>
      <c r="H38" s="610"/>
      <c r="I38" s="207"/>
      <c r="J38" s="208"/>
      <c r="K38" s="207"/>
      <c r="L38" s="208"/>
      <c r="M38" s="207"/>
      <c r="N38" s="208"/>
      <c r="O38" s="207"/>
      <c r="P38" s="208"/>
      <c r="Q38" s="207"/>
      <c r="R38" s="208"/>
      <c r="S38" s="207"/>
      <c r="T38" s="208"/>
      <c r="U38" s="207"/>
      <c r="V38" s="208"/>
    </row>
    <row r="39" spans="1:22" ht="17.25" customHeight="1" thickTop="1" x14ac:dyDescent="0.45">
      <c r="A39" s="187" t="s">
        <v>242</v>
      </c>
      <c r="B39" s="37">
        <f>COUNTIF(I:AL,"박창민")</f>
        <v>4</v>
      </c>
      <c r="C39" s="250" t="s">
        <v>234</v>
      </c>
      <c r="D39" s="250">
        <f>COUNTIF(I:AL,"신하린;")</f>
        <v>1</v>
      </c>
      <c r="E39" s="37"/>
      <c r="F39" s="188"/>
      <c r="H39" s="609">
        <v>2</v>
      </c>
      <c r="I39" s="204"/>
      <c r="J39" s="205"/>
      <c r="K39" s="204" t="s">
        <v>1</v>
      </c>
      <c r="L39" s="205"/>
      <c r="M39" s="204"/>
      <c r="N39" s="205"/>
      <c r="O39" s="204"/>
      <c r="P39" s="205"/>
      <c r="Q39" s="204" t="s">
        <v>125</v>
      </c>
      <c r="R39" s="205"/>
      <c r="S39" s="204" t="s">
        <v>269</v>
      </c>
      <c r="T39" s="205"/>
      <c r="U39" s="204"/>
      <c r="V39" s="205"/>
    </row>
    <row r="40" spans="1:22" ht="17.25" customHeight="1" thickBot="1" x14ac:dyDescent="0.5">
      <c r="A40" s="187" t="s">
        <v>186</v>
      </c>
      <c r="B40" s="37">
        <f>COUNTIF(I:AL,"정윤후")</f>
        <v>3</v>
      </c>
      <c r="C40" s="250" t="s">
        <v>12</v>
      </c>
      <c r="D40" s="250">
        <f>COUNTIF(I:AL,"김혜정;")</f>
        <v>1</v>
      </c>
      <c r="E40" s="37"/>
      <c r="F40" s="188"/>
      <c r="H40" s="610"/>
      <c r="I40" s="207"/>
      <c r="J40" s="208"/>
      <c r="K40" s="207"/>
      <c r="L40" s="208"/>
      <c r="M40" s="207"/>
      <c r="N40" s="208"/>
      <c r="O40" s="207"/>
      <c r="P40" s="208"/>
      <c r="Q40" s="207"/>
      <c r="R40" s="208"/>
      <c r="S40" s="207"/>
      <c r="T40" s="208"/>
      <c r="U40" s="207"/>
      <c r="V40" s="208"/>
    </row>
    <row r="41" spans="1:22" ht="17.25" customHeight="1" thickTop="1" x14ac:dyDescent="0.45">
      <c r="A41" s="195" t="s">
        <v>169</v>
      </c>
      <c r="B41" s="37">
        <f>COUNTIF(M:AP,"이순희")</f>
        <v>2</v>
      </c>
      <c r="E41" s="37"/>
      <c r="F41" s="188"/>
      <c r="H41" s="609">
        <v>3</v>
      </c>
      <c r="I41" s="204"/>
      <c r="J41" s="205"/>
      <c r="K41" s="245" t="s">
        <v>276</v>
      </c>
      <c r="L41" s="205"/>
      <c r="M41" s="204" t="s">
        <v>246</v>
      </c>
      <c r="N41" s="205" t="s">
        <v>262</v>
      </c>
      <c r="O41" s="204" t="s">
        <v>20</v>
      </c>
      <c r="P41" s="205"/>
      <c r="Q41" s="204"/>
      <c r="R41" s="205"/>
      <c r="S41" s="204" t="s">
        <v>275</v>
      </c>
      <c r="T41" s="205" t="s">
        <v>281</v>
      </c>
      <c r="U41" s="204"/>
      <c r="V41" s="205"/>
    </row>
    <row r="42" spans="1:22" ht="17.25" customHeight="1" thickBot="1" x14ac:dyDescent="0.5">
      <c r="A42" s="195"/>
      <c r="B42" s="37"/>
      <c r="E42" s="37"/>
      <c r="F42" s="188"/>
      <c r="H42" s="610"/>
      <c r="I42" s="207"/>
      <c r="J42" s="208"/>
      <c r="K42" s="207"/>
      <c r="L42" s="208"/>
      <c r="M42" s="207" t="s">
        <v>267</v>
      </c>
      <c r="N42" s="208" t="s">
        <v>243</v>
      </c>
      <c r="O42" s="207"/>
      <c r="P42" s="208"/>
      <c r="Q42" s="207"/>
      <c r="R42" s="208"/>
      <c r="S42" s="207"/>
      <c r="T42" s="208"/>
      <c r="U42" s="207"/>
      <c r="V42" s="208"/>
    </row>
    <row r="43" spans="1:22" ht="18" customHeight="1" thickTop="1" x14ac:dyDescent="0.45">
      <c r="A43" s="187"/>
      <c r="B43" s="37"/>
      <c r="E43" s="37"/>
      <c r="F43" s="188"/>
      <c r="H43" s="609">
        <v>4</v>
      </c>
      <c r="I43" s="204" t="s">
        <v>168</v>
      </c>
      <c r="J43" s="205"/>
      <c r="K43" s="204" t="s">
        <v>134</v>
      </c>
      <c r="L43" s="205"/>
      <c r="M43" s="204" t="s">
        <v>273</v>
      </c>
      <c r="N43" s="205" t="s">
        <v>274</v>
      </c>
      <c r="O43" s="245" t="s">
        <v>132</v>
      </c>
      <c r="P43" s="205"/>
      <c r="Q43" s="204"/>
      <c r="R43" s="205"/>
      <c r="S43" s="204" t="s">
        <v>186</v>
      </c>
      <c r="T43" s="205"/>
      <c r="U43" s="204"/>
      <c r="V43" s="205"/>
    </row>
    <row r="44" spans="1:22" ht="18" customHeight="1" thickBot="1" x14ac:dyDescent="0.5">
      <c r="A44" s="187"/>
      <c r="B44" s="37"/>
      <c r="E44" s="37"/>
      <c r="F44" s="188"/>
      <c r="H44" s="610"/>
      <c r="I44" s="207"/>
      <c r="J44" s="208"/>
      <c r="K44" s="207"/>
      <c r="L44" s="208"/>
      <c r="M44" s="207"/>
      <c r="N44" s="208"/>
      <c r="O44" s="207"/>
      <c r="P44" s="208"/>
      <c r="Q44" s="207"/>
      <c r="R44" s="208"/>
      <c r="S44" s="207"/>
      <c r="T44" s="208"/>
      <c r="U44" s="207"/>
      <c r="V44" s="208"/>
    </row>
    <row r="45" spans="1:22" ht="17.25" customHeight="1" thickTop="1" thickBot="1" x14ac:dyDescent="0.5">
      <c r="A45" s="187"/>
      <c r="B45" s="37"/>
      <c r="C45" s="224" t="s">
        <v>223</v>
      </c>
      <c r="D45" s="224">
        <f>COUNTIF(I:AL,"공하정;")</f>
        <v>0</v>
      </c>
      <c r="E45" s="37"/>
      <c r="F45" s="188"/>
      <c r="H45" s="609">
        <v>5</v>
      </c>
      <c r="I45" s="204"/>
      <c r="J45" s="205"/>
      <c r="K45" s="204"/>
      <c r="L45" s="206"/>
      <c r="M45" s="204"/>
      <c r="N45" s="205"/>
      <c r="O45" s="204"/>
      <c r="P45" s="205"/>
      <c r="Q45" s="204" t="s">
        <v>169</v>
      </c>
      <c r="R45" s="205"/>
      <c r="S45" s="204"/>
      <c r="T45" s="205"/>
      <c r="U45" s="204"/>
      <c r="V45" s="205"/>
    </row>
    <row r="46" spans="1:22" ht="17.25" customHeight="1" thickTop="1" thickBot="1" x14ac:dyDescent="0.5">
      <c r="A46" s="187"/>
      <c r="B46" s="37"/>
      <c r="C46" s="191" t="s">
        <v>236</v>
      </c>
      <c r="D46" s="192">
        <f>COUNTIF(K:AN,"임하린;")</f>
        <v>4</v>
      </c>
      <c r="E46" s="37"/>
      <c r="F46" s="188"/>
      <c r="H46" s="610"/>
      <c r="I46" s="207"/>
      <c r="J46" s="208"/>
      <c r="K46" s="215"/>
      <c r="L46" s="216"/>
      <c r="M46" s="207"/>
      <c r="N46" s="208"/>
      <c r="O46" s="207"/>
      <c r="P46" s="208"/>
      <c r="Q46" s="207"/>
      <c r="R46" s="208"/>
      <c r="S46" s="207"/>
      <c r="T46" s="208"/>
      <c r="U46" s="207"/>
      <c r="V46" s="208"/>
    </row>
    <row r="47" spans="1:22" ht="17.25" customHeight="1" thickTop="1" x14ac:dyDescent="0.45">
      <c r="A47" s="187"/>
      <c r="B47" s="37"/>
      <c r="C47" s="193" t="s">
        <v>241</v>
      </c>
      <c r="D47" s="194">
        <f>COUNTIF(K:AN,"정지원;")</f>
        <v>4</v>
      </c>
      <c r="E47" s="37"/>
      <c r="F47" s="188"/>
      <c r="H47" s="609">
        <v>6</v>
      </c>
      <c r="I47" s="204"/>
      <c r="J47" s="205"/>
      <c r="K47" s="204" t="s">
        <v>251</v>
      </c>
      <c r="L47" s="205" t="s">
        <v>260</v>
      </c>
      <c r="M47" s="204"/>
      <c r="N47" s="205"/>
      <c r="O47" s="204"/>
      <c r="P47" s="205"/>
      <c r="Q47" s="204"/>
      <c r="R47" s="205"/>
      <c r="S47" s="204"/>
      <c r="T47" s="205"/>
      <c r="U47" s="204"/>
      <c r="V47" s="205"/>
    </row>
    <row r="48" spans="1:22" ht="16.5" customHeight="1" x14ac:dyDescent="0.45">
      <c r="A48" s="187"/>
      <c r="B48" s="37"/>
      <c r="C48" s="193" t="s">
        <v>231</v>
      </c>
      <c r="D48" s="194">
        <f>COUNTIF(K:AN,"배이준;")</f>
        <v>3</v>
      </c>
      <c r="E48" s="37"/>
      <c r="F48" s="188"/>
      <c r="H48" s="609"/>
      <c r="I48" s="204"/>
      <c r="J48" s="205"/>
      <c r="K48" s="204" t="s">
        <v>252</v>
      </c>
      <c r="L48" s="205" t="s">
        <v>253</v>
      </c>
      <c r="M48" s="204"/>
      <c r="N48" s="205"/>
      <c r="O48" s="204"/>
      <c r="P48" s="205"/>
      <c r="Q48" s="204"/>
      <c r="R48" s="205"/>
      <c r="S48" s="204"/>
      <c r="T48" s="205"/>
      <c r="U48" s="204"/>
      <c r="V48" s="205"/>
    </row>
    <row r="49" spans="1:22" ht="16.5" customHeight="1" x14ac:dyDescent="0.45">
      <c r="A49" s="196"/>
      <c r="B49" s="37"/>
      <c r="C49" s="193" t="s">
        <v>233</v>
      </c>
      <c r="D49" s="194">
        <f>COUNTIF(K:AN,"이소영;")</f>
        <v>4</v>
      </c>
      <c r="E49" s="37"/>
      <c r="F49" s="188"/>
      <c r="H49" s="609"/>
      <c r="I49" s="204"/>
      <c r="J49" s="205"/>
      <c r="K49" s="204" t="s">
        <v>249</v>
      </c>
      <c r="L49" s="205"/>
      <c r="M49" s="204"/>
      <c r="N49" s="205"/>
      <c r="O49" s="204"/>
      <c r="P49" s="205"/>
      <c r="Q49" s="204"/>
      <c r="R49" s="205"/>
      <c r="S49" s="204"/>
      <c r="T49" s="205"/>
      <c r="U49" s="204"/>
      <c r="V49" s="205"/>
    </row>
    <row r="50" spans="1:22" ht="17.25" customHeight="1" thickBot="1" x14ac:dyDescent="0.5">
      <c r="A50" s="196"/>
      <c r="C50" s="193" t="s">
        <v>238</v>
      </c>
      <c r="D50" s="194">
        <f>COUNTIF(K:AN,"이기찬;")</f>
        <v>3</v>
      </c>
      <c r="E50" s="37"/>
      <c r="F50" s="188"/>
      <c r="H50" s="610"/>
      <c r="I50" s="207"/>
      <c r="J50" s="208"/>
      <c r="K50" s="207"/>
      <c r="L50" s="208"/>
      <c r="M50" s="207"/>
      <c r="N50" s="208"/>
      <c r="O50" s="207"/>
      <c r="P50" s="208"/>
      <c r="Q50" s="207"/>
      <c r="R50" s="208"/>
      <c r="S50" s="207"/>
      <c r="T50" s="208"/>
      <c r="U50" s="207"/>
      <c r="V50" s="208"/>
    </row>
    <row r="51" spans="1:22" ht="17.25" customHeight="1" thickTop="1" x14ac:dyDescent="0.45">
      <c r="A51" s="225" t="s">
        <v>157</v>
      </c>
      <c r="B51" s="224">
        <f>COUNTIF(I:AL,"최은실")</f>
        <v>0</v>
      </c>
      <c r="C51" s="193" t="s">
        <v>242</v>
      </c>
      <c r="D51" s="194">
        <f>COUNTIF(K:AN,"박창민;")</f>
        <v>0</v>
      </c>
      <c r="E51" s="37"/>
      <c r="F51" s="188"/>
      <c r="H51" s="609">
        <v>7</v>
      </c>
      <c r="I51" s="204"/>
      <c r="J51" s="205"/>
      <c r="K51" s="204"/>
      <c r="L51" s="205"/>
      <c r="M51" s="204"/>
      <c r="N51" s="205"/>
      <c r="O51" s="204"/>
      <c r="P51" s="205"/>
      <c r="Q51" s="204"/>
      <c r="R51" s="205"/>
      <c r="S51" s="204"/>
      <c r="T51" s="205"/>
      <c r="U51" s="204"/>
      <c r="V51" s="205"/>
    </row>
    <row r="52" spans="1:22" ht="17.25" customHeight="1" thickBot="1" x14ac:dyDescent="0.5">
      <c r="A52" s="226" t="s">
        <v>138</v>
      </c>
      <c r="B52" s="227">
        <f>COUNTIF(I:AL,"김혜숙")</f>
        <v>0</v>
      </c>
      <c r="C52" s="222"/>
      <c r="D52" s="223"/>
      <c r="E52" s="220"/>
      <c r="F52" s="221"/>
      <c r="H52" s="610"/>
      <c r="I52" s="207"/>
      <c r="J52" s="208"/>
      <c r="K52" s="207"/>
      <c r="L52" s="208"/>
      <c r="M52" s="207"/>
      <c r="N52" s="208"/>
      <c r="O52" s="207"/>
      <c r="P52" s="208"/>
      <c r="Q52" s="207"/>
      <c r="R52" s="208"/>
      <c r="S52" s="207"/>
      <c r="T52" s="208"/>
      <c r="U52" s="207"/>
      <c r="V52" s="208"/>
    </row>
    <row r="53" spans="1:22" ht="17.5" thickTop="1" x14ac:dyDescent="0.45">
      <c r="H53" s="112"/>
      <c r="I53" s="112"/>
      <c r="J53" s="112"/>
      <c r="K53" s="112"/>
      <c r="L53" s="112"/>
      <c r="M53" s="112"/>
      <c r="N53" s="112"/>
      <c r="O53" s="112"/>
      <c r="P53" s="112"/>
      <c r="Q53" s="112"/>
      <c r="R53" s="112"/>
      <c r="S53" s="112"/>
      <c r="T53" s="112"/>
      <c r="U53" s="112"/>
    </row>
    <row r="55" spans="1:22" ht="17.5" thickBot="1" x14ac:dyDescent="0.5"/>
    <row r="56" spans="1:22" ht="27" thickTop="1" thickBot="1" x14ac:dyDescent="0.5">
      <c r="A56" s="182" t="s">
        <v>7</v>
      </c>
      <c r="B56" s="183"/>
      <c r="C56" s="182" t="s">
        <v>9</v>
      </c>
      <c r="D56" s="184" t="s">
        <v>218</v>
      </c>
      <c r="E56" s="182" t="s">
        <v>204</v>
      </c>
      <c r="F56" s="184" t="s">
        <v>220</v>
      </c>
      <c r="H56" s="611" t="s">
        <v>258</v>
      </c>
      <c r="I56" s="612"/>
      <c r="J56" s="613"/>
      <c r="K56" s="185"/>
      <c r="L56" s="186"/>
      <c r="M56" s="186"/>
      <c r="N56" s="186"/>
      <c r="O56" s="186"/>
      <c r="P56" s="186"/>
      <c r="Q56" s="186"/>
      <c r="R56" s="186"/>
      <c r="S56" s="186"/>
      <c r="T56" s="186"/>
      <c r="U56" s="186"/>
      <c r="V56" s="186"/>
    </row>
    <row r="57" spans="1:22" ht="17.25" customHeight="1" thickTop="1" thickBot="1" x14ac:dyDescent="0.5">
      <c r="A57" s="187" t="s">
        <v>164</v>
      </c>
      <c r="B57" s="37">
        <f>COUNTIF(I:AL,"구로")</f>
        <v>4</v>
      </c>
      <c r="C57" s="37" t="s">
        <v>222</v>
      </c>
      <c r="D57" s="37">
        <f>COUNTIF(I:AL,"고영숙;")</f>
        <v>4</v>
      </c>
      <c r="E57" s="37" t="s">
        <v>233</v>
      </c>
      <c r="F57" s="188">
        <f>COUNTIF(I:AL,"이소영]")</f>
        <v>4</v>
      </c>
      <c r="H57" s="189"/>
      <c r="I57" s="624">
        <v>18</v>
      </c>
      <c r="J57" s="625"/>
      <c r="K57" s="624">
        <v>19</v>
      </c>
      <c r="L57" s="625"/>
      <c r="M57" s="624">
        <v>20</v>
      </c>
      <c r="N57" s="625"/>
      <c r="O57" s="624">
        <v>21</v>
      </c>
      <c r="P57" s="625"/>
      <c r="Q57" s="624">
        <v>22</v>
      </c>
      <c r="R57" s="625"/>
      <c r="S57" s="624">
        <v>23</v>
      </c>
      <c r="T57" s="625"/>
      <c r="U57" s="624">
        <v>24</v>
      </c>
      <c r="V57" s="625"/>
    </row>
    <row r="58" spans="1:22" ht="17.5" customHeight="1" thickTop="1" thickBot="1" x14ac:dyDescent="0.5">
      <c r="A58" s="187" t="s">
        <v>203</v>
      </c>
      <c r="B58" s="37">
        <f>COUNTIF(I:AL,"우리인력")</f>
        <v>4</v>
      </c>
      <c r="C58" s="37" t="s">
        <v>235</v>
      </c>
      <c r="D58" s="37">
        <f>COUNTIF(I:AL,"김용;")</f>
        <v>4</v>
      </c>
      <c r="E58" s="37" t="s">
        <v>212</v>
      </c>
      <c r="F58" s="188">
        <f>COUNTIF(I:AL,"소영하린]")</f>
        <v>4</v>
      </c>
      <c r="H58" s="190"/>
      <c r="I58" s="626" t="s">
        <v>224</v>
      </c>
      <c r="J58" s="627"/>
      <c r="K58" s="626" t="s">
        <v>225</v>
      </c>
      <c r="L58" s="627"/>
      <c r="M58" s="626" t="s">
        <v>226</v>
      </c>
      <c r="N58" s="627"/>
      <c r="O58" s="626" t="s">
        <v>227</v>
      </c>
      <c r="P58" s="627"/>
      <c r="Q58" s="626" t="s">
        <v>228</v>
      </c>
      <c r="R58" s="627"/>
      <c r="S58" s="626" t="s">
        <v>229</v>
      </c>
      <c r="T58" s="627"/>
      <c r="U58" s="626" t="s">
        <v>230</v>
      </c>
      <c r="V58" s="627"/>
    </row>
    <row r="59" spans="1:22" ht="17.25" customHeight="1" thickTop="1" x14ac:dyDescent="0.45">
      <c r="A59" s="187" t="s">
        <v>168</v>
      </c>
      <c r="B59" s="37">
        <f>COUNTIF(I:AL,"박사랑")</f>
        <v>4</v>
      </c>
      <c r="C59" s="37" t="s">
        <v>237</v>
      </c>
      <c r="D59" s="37">
        <f>COUNTIF(I:AL,"윤분숙;")</f>
        <v>4</v>
      </c>
      <c r="F59" s="188"/>
      <c r="H59" s="614">
        <v>10</v>
      </c>
      <c r="I59" s="204" t="s">
        <v>203</v>
      </c>
      <c r="J59" s="203"/>
      <c r="K59" s="202"/>
      <c r="L59" s="203"/>
      <c r="M59" s="202"/>
      <c r="N59" s="203"/>
      <c r="O59" s="251"/>
      <c r="P59" s="203"/>
      <c r="Q59" s="202" t="s">
        <v>274</v>
      </c>
      <c r="R59" s="203"/>
      <c r="S59" s="202"/>
      <c r="T59" s="205"/>
      <c r="U59" s="202"/>
      <c r="V59" s="203"/>
    </row>
    <row r="60" spans="1:22" ht="18" customHeight="1" thickBot="1" x14ac:dyDescent="0.5">
      <c r="A60" s="187" t="s">
        <v>233</v>
      </c>
      <c r="B60" s="37">
        <f>COUNTIF(I:AL,"이소영")</f>
        <v>4</v>
      </c>
      <c r="C60" s="37" t="s">
        <v>159</v>
      </c>
      <c r="D60" s="37">
        <f>COUNTIF(I:AL,"최임이;")</f>
        <v>4</v>
      </c>
      <c r="E60" s="37"/>
      <c r="F60" s="188"/>
      <c r="H60" s="610"/>
      <c r="I60" s="207"/>
      <c r="J60" s="208"/>
      <c r="K60" s="207"/>
      <c r="L60" s="208"/>
      <c r="M60" s="207"/>
      <c r="N60" s="208"/>
      <c r="O60" s="207"/>
      <c r="P60" s="208"/>
      <c r="Q60" s="207"/>
      <c r="R60" s="208"/>
      <c r="S60" s="207"/>
      <c r="T60" s="208"/>
      <c r="U60" s="207"/>
      <c r="V60" s="208"/>
    </row>
    <row r="61" spans="1:22" ht="18" customHeight="1" thickTop="1" x14ac:dyDescent="0.45">
      <c r="A61" s="187" t="s">
        <v>236</v>
      </c>
      <c r="B61" s="37">
        <f>COUNTIF(I:AL,"임하린")</f>
        <v>4</v>
      </c>
      <c r="C61" s="37" t="s">
        <v>163</v>
      </c>
      <c r="D61" s="37">
        <f>COUNTIF(I:AL,"이말진;")</f>
        <v>3</v>
      </c>
      <c r="E61" s="37"/>
      <c r="F61" s="188"/>
      <c r="H61" s="609">
        <v>11</v>
      </c>
      <c r="I61" s="211"/>
      <c r="J61" s="205"/>
      <c r="K61" s="204"/>
      <c r="L61" s="205"/>
      <c r="M61" s="249"/>
      <c r="N61" s="205"/>
      <c r="O61" s="204"/>
      <c r="P61" s="205"/>
      <c r="Q61" s="204"/>
      <c r="R61" s="205"/>
      <c r="S61" s="204"/>
      <c r="T61" s="205"/>
      <c r="U61" s="204"/>
      <c r="V61" s="205"/>
    </row>
    <row r="62" spans="1:22" ht="17.25" customHeight="1" thickBot="1" x14ac:dyDescent="0.5">
      <c r="A62" s="187" t="s">
        <v>241</v>
      </c>
      <c r="B62" s="37">
        <f>COUNTIF(I:AL,"정지원")</f>
        <v>4</v>
      </c>
      <c r="C62" s="37" t="s">
        <v>207</v>
      </c>
      <c r="D62" s="37">
        <f>COUNTIF(I:AL,"김인애;")</f>
        <v>4</v>
      </c>
      <c r="E62" s="37"/>
      <c r="F62" s="188"/>
      <c r="H62" s="610"/>
      <c r="I62" s="207"/>
      <c r="J62" s="208"/>
      <c r="K62" s="207"/>
      <c r="L62" s="208"/>
      <c r="M62" s="207"/>
      <c r="N62" s="208"/>
      <c r="O62" s="207"/>
      <c r="P62" s="208"/>
      <c r="Q62" s="207"/>
      <c r="R62" s="208"/>
      <c r="S62" s="207"/>
      <c r="T62" s="208"/>
      <c r="U62" s="207"/>
      <c r="V62" s="208"/>
    </row>
    <row r="63" spans="1:22" ht="17.25" customHeight="1" thickTop="1" x14ac:dyDescent="0.45">
      <c r="A63" s="187" t="s">
        <v>238</v>
      </c>
      <c r="B63" s="37">
        <f>COUNTIF(I:AL,"이기찬")</f>
        <v>3</v>
      </c>
      <c r="C63" s="37" t="s">
        <v>206</v>
      </c>
      <c r="D63" s="37">
        <f>COUNTIF(I:AL,"석경남;")</f>
        <v>5</v>
      </c>
      <c r="E63" s="37"/>
      <c r="F63" s="188"/>
      <c r="H63" s="609">
        <v>12</v>
      </c>
      <c r="I63" s="204" t="s">
        <v>178</v>
      </c>
      <c r="J63" s="205"/>
      <c r="K63" s="204"/>
      <c r="L63" s="205"/>
      <c r="M63" s="204"/>
      <c r="N63" s="205"/>
      <c r="O63" s="204"/>
      <c r="P63" s="205"/>
      <c r="Q63" s="204"/>
      <c r="R63" s="205"/>
      <c r="S63" s="204"/>
      <c r="T63" s="205"/>
      <c r="U63" s="204"/>
      <c r="V63" s="205"/>
    </row>
    <row r="64" spans="1:22" ht="17.25" customHeight="1" thickBot="1" x14ac:dyDescent="0.5">
      <c r="A64" s="187" t="s">
        <v>231</v>
      </c>
      <c r="B64" s="37">
        <f>COUNTIF(I:AL,"배이준")</f>
        <v>3</v>
      </c>
      <c r="C64" s="37" t="s">
        <v>183</v>
      </c>
      <c r="D64" s="37">
        <f>COUNTIF(I:AL,"윤미호;")</f>
        <v>4</v>
      </c>
      <c r="E64" s="37"/>
      <c r="F64" s="188"/>
      <c r="H64" s="610"/>
      <c r="I64" s="207"/>
      <c r="J64" s="208"/>
      <c r="K64" s="207"/>
      <c r="L64" s="208"/>
      <c r="M64" s="207"/>
      <c r="N64" s="208"/>
      <c r="O64" s="207"/>
      <c r="P64" s="208"/>
      <c r="Q64" s="207"/>
      <c r="R64" s="208"/>
      <c r="S64" s="207"/>
      <c r="T64" s="208"/>
      <c r="U64" s="207"/>
      <c r="V64" s="208"/>
    </row>
    <row r="65" spans="1:22" ht="17.25" customHeight="1" thickTop="1" x14ac:dyDescent="0.45">
      <c r="A65" s="187" t="s">
        <v>171</v>
      </c>
      <c r="B65" s="37">
        <f>COUNTIF(I:AL,"신정인")</f>
        <v>2</v>
      </c>
      <c r="C65" s="37" t="s">
        <v>280</v>
      </c>
      <c r="D65" s="37">
        <f>COUNTIF(I:AL,"김견희;")</f>
        <v>4</v>
      </c>
      <c r="E65" s="37"/>
      <c r="F65" s="188"/>
      <c r="H65" s="609">
        <v>1</v>
      </c>
      <c r="I65" s="204" t="s">
        <v>164</v>
      </c>
      <c r="J65" s="205"/>
      <c r="K65" s="204"/>
      <c r="L65" s="205"/>
      <c r="M65" s="204"/>
      <c r="N65" s="205"/>
      <c r="O65" s="249"/>
      <c r="P65" s="205"/>
      <c r="Q65" s="204"/>
      <c r="R65" s="205"/>
      <c r="S65" s="204" t="s">
        <v>134</v>
      </c>
      <c r="T65" s="205"/>
      <c r="U65" s="204"/>
      <c r="V65" s="205"/>
    </row>
    <row r="66" spans="1:22" ht="17.25" customHeight="1" thickBot="1" x14ac:dyDescent="0.5">
      <c r="A66" s="187" t="s">
        <v>173</v>
      </c>
      <c r="B66" s="37">
        <f>COUNTIF(I:AL,"변이서")</f>
        <v>4</v>
      </c>
      <c r="C66" s="37" t="s">
        <v>210</v>
      </c>
      <c r="D66" s="37">
        <f>COUNTIF(I:AL,"박상혜;")</f>
        <v>2</v>
      </c>
      <c r="E66" s="37"/>
      <c r="F66" s="188"/>
      <c r="H66" s="610"/>
      <c r="I66" s="207"/>
      <c r="J66" s="208"/>
      <c r="K66" s="207"/>
      <c r="L66" s="208"/>
      <c r="M66" s="207"/>
      <c r="N66" s="208"/>
      <c r="O66" s="207"/>
      <c r="P66" s="208"/>
      <c r="Q66" s="207"/>
      <c r="R66" s="208"/>
      <c r="S66" s="207"/>
      <c r="T66" s="208"/>
      <c r="U66" s="207"/>
      <c r="V66" s="208"/>
    </row>
    <row r="67" spans="1:22" ht="17.25" customHeight="1" thickTop="1" x14ac:dyDescent="0.45">
      <c r="A67" s="187" t="s">
        <v>242</v>
      </c>
      <c r="B67" s="37">
        <f>COUNTIF(I:AL,"박창민")</f>
        <v>4</v>
      </c>
      <c r="C67" s="250" t="s">
        <v>234</v>
      </c>
      <c r="D67" s="250">
        <f>COUNTIF(I:AL,"신하린;")</f>
        <v>1</v>
      </c>
      <c r="E67" s="37"/>
      <c r="F67" s="188"/>
      <c r="H67" s="609">
        <v>2</v>
      </c>
      <c r="I67" s="204"/>
      <c r="J67" s="205"/>
      <c r="K67" s="204" t="s">
        <v>125</v>
      </c>
      <c r="L67" s="205"/>
      <c r="M67" s="204"/>
      <c r="N67" s="205"/>
      <c r="O67" s="204"/>
      <c r="P67" s="205"/>
      <c r="Q67" s="204"/>
      <c r="R67" s="205"/>
      <c r="S67" s="204" t="s">
        <v>269</v>
      </c>
      <c r="T67" s="205"/>
      <c r="U67" s="204"/>
      <c r="V67" s="205"/>
    </row>
    <row r="68" spans="1:22" ht="17.25" customHeight="1" thickBot="1" x14ac:dyDescent="0.5">
      <c r="A68" s="187" t="s">
        <v>186</v>
      </c>
      <c r="B68" s="37">
        <f>COUNTIF(I:AL,"정윤후")</f>
        <v>3</v>
      </c>
      <c r="C68" s="250" t="s">
        <v>12</v>
      </c>
      <c r="D68" s="250">
        <f>COUNTIF(I:AL,"김혜정;")</f>
        <v>1</v>
      </c>
      <c r="E68" s="37"/>
      <c r="F68" s="188"/>
      <c r="H68" s="610"/>
      <c r="I68" s="207"/>
      <c r="J68" s="208"/>
      <c r="K68" s="207"/>
      <c r="L68" s="208"/>
      <c r="M68" s="207"/>
      <c r="N68" s="208"/>
      <c r="O68" s="207"/>
      <c r="P68" s="208"/>
      <c r="Q68" s="207"/>
      <c r="R68" s="208"/>
      <c r="S68" s="207"/>
      <c r="T68" s="208"/>
      <c r="U68" s="207"/>
      <c r="V68" s="208"/>
    </row>
    <row r="69" spans="1:22" ht="17.25" customHeight="1" thickTop="1" x14ac:dyDescent="0.45">
      <c r="A69" s="195" t="s">
        <v>169</v>
      </c>
      <c r="B69" s="37">
        <f>COUNTIF(M:AP,"이순희")</f>
        <v>2</v>
      </c>
      <c r="E69" s="37"/>
      <c r="F69" s="188"/>
      <c r="H69" s="609">
        <v>3</v>
      </c>
      <c r="I69" s="204"/>
      <c r="J69" s="205"/>
      <c r="K69" s="245" t="s">
        <v>1</v>
      </c>
      <c r="L69" s="205"/>
      <c r="M69" s="204" t="s">
        <v>246</v>
      </c>
      <c r="N69" s="205" t="s">
        <v>262</v>
      </c>
      <c r="O69" s="245" t="s">
        <v>20</v>
      </c>
      <c r="P69" s="205"/>
      <c r="Q69" s="204"/>
      <c r="R69" s="205"/>
      <c r="S69" s="204"/>
      <c r="T69" s="205"/>
      <c r="U69" s="204"/>
      <c r="V69" s="205"/>
    </row>
    <row r="70" spans="1:22" ht="18" customHeight="1" thickBot="1" x14ac:dyDescent="0.5">
      <c r="A70" s="195"/>
      <c r="B70" s="37"/>
      <c r="E70" s="37"/>
      <c r="F70" s="188"/>
      <c r="H70" s="610"/>
      <c r="I70" s="207"/>
      <c r="J70" s="208"/>
      <c r="K70" s="207"/>
      <c r="L70" s="208"/>
      <c r="M70" s="207" t="s">
        <v>267</v>
      </c>
      <c r="N70" s="208" t="s">
        <v>243</v>
      </c>
      <c r="O70" s="207"/>
      <c r="P70" s="208"/>
      <c r="Q70" s="207"/>
      <c r="R70" s="208"/>
      <c r="S70" s="207"/>
      <c r="T70" s="208"/>
      <c r="U70" s="207"/>
      <c r="V70" s="208"/>
    </row>
    <row r="71" spans="1:22" ht="18" customHeight="1" thickTop="1" x14ac:dyDescent="0.45">
      <c r="A71" s="187"/>
      <c r="B71" s="37"/>
      <c r="E71" s="37"/>
      <c r="F71" s="188"/>
      <c r="H71" s="609">
        <v>4</v>
      </c>
      <c r="I71" s="204" t="s">
        <v>168</v>
      </c>
      <c r="J71" s="205"/>
      <c r="K71" s="204" t="s">
        <v>276</v>
      </c>
      <c r="L71" s="205"/>
      <c r="M71" s="204" t="s">
        <v>273</v>
      </c>
      <c r="N71" s="205" t="s">
        <v>274</v>
      </c>
      <c r="O71" s="204"/>
      <c r="P71" s="205"/>
      <c r="Q71" s="204"/>
      <c r="R71" s="205"/>
      <c r="S71" s="204" t="s">
        <v>186</v>
      </c>
      <c r="T71" s="205"/>
      <c r="U71" s="204"/>
      <c r="V71" s="205"/>
    </row>
    <row r="72" spans="1:22" ht="17.25" customHeight="1" thickBot="1" x14ac:dyDescent="0.5">
      <c r="A72" s="187"/>
      <c r="B72" s="37"/>
      <c r="E72" s="37"/>
      <c r="F72" s="188"/>
      <c r="H72" s="610"/>
      <c r="I72" s="207"/>
      <c r="J72" s="208"/>
      <c r="K72" s="207"/>
      <c r="L72" s="208"/>
      <c r="M72" s="207" t="s">
        <v>275</v>
      </c>
      <c r="N72" s="208" t="s">
        <v>281</v>
      </c>
      <c r="O72" s="207"/>
      <c r="P72" s="208"/>
      <c r="Q72" s="207"/>
      <c r="R72" s="208"/>
      <c r="S72" s="207"/>
      <c r="T72" s="208"/>
      <c r="U72" s="207"/>
      <c r="V72" s="208"/>
    </row>
    <row r="73" spans="1:22" ht="17.25" customHeight="1" thickTop="1" thickBot="1" x14ac:dyDescent="0.5">
      <c r="A73" s="187"/>
      <c r="B73" s="37"/>
      <c r="C73" s="224" t="s">
        <v>223</v>
      </c>
      <c r="D73" s="224">
        <f>COUNTIF(I:AL,"공하정;")</f>
        <v>0</v>
      </c>
      <c r="E73" s="37"/>
      <c r="F73" s="188"/>
      <c r="H73" s="609">
        <v>5</v>
      </c>
      <c r="I73" s="204" t="s">
        <v>173</v>
      </c>
      <c r="J73" s="205"/>
      <c r="K73" s="217"/>
      <c r="L73" s="206"/>
      <c r="M73" s="204" t="s">
        <v>270</v>
      </c>
      <c r="N73" s="205" t="s">
        <v>277</v>
      </c>
      <c r="O73" s="204" t="s">
        <v>132</v>
      </c>
      <c r="P73" s="205"/>
      <c r="Q73" s="204"/>
      <c r="R73" s="205"/>
      <c r="S73" s="204" t="s">
        <v>74</v>
      </c>
      <c r="T73" s="205"/>
      <c r="U73" s="204"/>
      <c r="V73" s="205"/>
    </row>
    <row r="74" spans="1:22" ht="17.25" customHeight="1" thickTop="1" thickBot="1" x14ac:dyDescent="0.5">
      <c r="A74" s="187"/>
      <c r="B74" s="37"/>
      <c r="C74" s="191" t="s">
        <v>236</v>
      </c>
      <c r="D74" s="192">
        <f>COUNTIF(K:AN,"임하린;")</f>
        <v>4</v>
      </c>
      <c r="E74" s="37"/>
      <c r="F74" s="188"/>
      <c r="H74" s="610"/>
      <c r="I74" s="207"/>
      <c r="J74" s="208"/>
      <c r="K74" s="215"/>
      <c r="L74" s="216"/>
      <c r="M74" s="207" t="s">
        <v>250</v>
      </c>
      <c r="N74" s="208"/>
      <c r="O74" s="207"/>
      <c r="P74" s="208"/>
      <c r="Q74" s="207"/>
      <c r="R74" s="208"/>
      <c r="S74" s="207"/>
      <c r="T74" s="208"/>
      <c r="U74" s="207"/>
      <c r="V74" s="208"/>
    </row>
    <row r="75" spans="1:22" ht="16.5" customHeight="1" thickTop="1" x14ac:dyDescent="0.45">
      <c r="A75" s="187"/>
      <c r="B75" s="37"/>
      <c r="C75" s="193" t="s">
        <v>241</v>
      </c>
      <c r="D75" s="194">
        <f>COUNTIF(K:AN,"정지원;")</f>
        <v>4</v>
      </c>
      <c r="E75" s="37"/>
      <c r="F75" s="188"/>
      <c r="H75" s="609">
        <v>6</v>
      </c>
      <c r="I75" s="204"/>
      <c r="J75" s="205"/>
      <c r="K75" s="204" t="s">
        <v>251</v>
      </c>
      <c r="L75" s="205" t="s">
        <v>260</v>
      </c>
      <c r="M75" s="204"/>
      <c r="N75" s="205"/>
      <c r="O75" s="204"/>
      <c r="P75" s="205"/>
      <c r="Q75" s="204"/>
      <c r="R75" s="205"/>
      <c r="S75" s="204"/>
      <c r="T75" s="205"/>
      <c r="U75" s="204"/>
      <c r="V75" s="205"/>
    </row>
    <row r="76" spans="1:22" ht="16.5" customHeight="1" x14ac:dyDescent="0.45">
      <c r="A76" s="187"/>
      <c r="B76" s="37"/>
      <c r="C76" s="193" t="s">
        <v>231</v>
      </c>
      <c r="D76" s="194">
        <f>COUNTIF(K:AN,"배이준;")</f>
        <v>3</v>
      </c>
      <c r="E76" s="37"/>
      <c r="F76" s="188"/>
      <c r="H76" s="609"/>
      <c r="I76" s="204"/>
      <c r="J76" s="205"/>
      <c r="K76" s="204" t="s">
        <v>252</v>
      </c>
      <c r="L76" s="205" t="s">
        <v>249</v>
      </c>
      <c r="M76" s="204"/>
      <c r="N76" s="205"/>
      <c r="O76" s="204"/>
      <c r="P76" s="205"/>
      <c r="Q76" s="204"/>
      <c r="R76" s="205"/>
      <c r="S76" s="204"/>
      <c r="T76" s="205"/>
      <c r="U76" s="204"/>
      <c r="V76" s="205"/>
    </row>
    <row r="77" spans="1:22" ht="17.25" customHeight="1" x14ac:dyDescent="0.45">
      <c r="A77" s="196"/>
      <c r="B77" s="37"/>
      <c r="C77" s="193" t="s">
        <v>233</v>
      </c>
      <c r="D77" s="194">
        <f>COUNTIF(K:AN,"이소영;")</f>
        <v>4</v>
      </c>
      <c r="E77" s="37"/>
      <c r="F77" s="188"/>
      <c r="H77" s="609"/>
      <c r="I77" s="204"/>
      <c r="J77" s="205"/>
      <c r="K77" s="204"/>
      <c r="L77" s="205"/>
      <c r="M77" s="204"/>
      <c r="N77" s="205"/>
      <c r="O77" s="204"/>
      <c r="P77" s="205"/>
      <c r="Q77" s="204"/>
      <c r="R77" s="205"/>
      <c r="S77" s="204"/>
      <c r="T77" s="205"/>
      <c r="U77" s="204"/>
      <c r="V77" s="205"/>
    </row>
    <row r="78" spans="1:22" ht="17.25" customHeight="1" thickBot="1" x14ac:dyDescent="0.5">
      <c r="A78" s="196"/>
      <c r="C78" s="193" t="s">
        <v>238</v>
      </c>
      <c r="D78" s="194">
        <f>COUNTIF(K:AN,"이기찬;")</f>
        <v>3</v>
      </c>
      <c r="E78" s="37"/>
      <c r="F78" s="188"/>
      <c r="H78" s="610"/>
      <c r="I78" s="207"/>
      <c r="J78" s="208"/>
      <c r="K78" s="207"/>
      <c r="L78" s="208"/>
      <c r="M78" s="207"/>
      <c r="N78" s="208"/>
      <c r="O78" s="207"/>
      <c r="P78" s="208"/>
      <c r="Q78" s="207"/>
      <c r="R78" s="208"/>
      <c r="S78" s="207"/>
      <c r="T78" s="208"/>
      <c r="U78" s="207"/>
      <c r="V78" s="208"/>
    </row>
    <row r="79" spans="1:22" ht="17.25" customHeight="1" thickTop="1" x14ac:dyDescent="0.45">
      <c r="A79" s="225" t="s">
        <v>157</v>
      </c>
      <c r="B79" s="224">
        <f>COUNTIF(I:AL,"최은실")</f>
        <v>0</v>
      </c>
      <c r="C79" s="193" t="s">
        <v>242</v>
      </c>
      <c r="D79" s="194">
        <f>COUNTIF(K:AN,"박창민;")</f>
        <v>0</v>
      </c>
      <c r="E79" s="37"/>
      <c r="F79" s="188"/>
      <c r="H79" s="609">
        <v>7</v>
      </c>
      <c r="I79" s="204"/>
      <c r="J79" s="205"/>
      <c r="K79" s="204"/>
      <c r="L79" s="205"/>
      <c r="M79" s="204" t="s">
        <v>61</v>
      </c>
      <c r="N79" s="205"/>
      <c r="O79" s="204"/>
      <c r="P79" s="205"/>
      <c r="Q79" s="204"/>
      <c r="R79" s="205"/>
      <c r="S79" s="204"/>
      <c r="T79" s="205"/>
      <c r="U79" s="204"/>
      <c r="V79" s="205"/>
    </row>
    <row r="80" spans="1:22" ht="17.5" thickBot="1" x14ac:dyDescent="0.5">
      <c r="A80" s="226" t="s">
        <v>138</v>
      </c>
      <c r="B80" s="227">
        <f>COUNTIF(I:AL,"김혜숙")</f>
        <v>0</v>
      </c>
      <c r="C80" s="222"/>
      <c r="D80" s="223"/>
      <c r="E80" s="220"/>
      <c r="F80" s="221"/>
      <c r="H80" s="610"/>
      <c r="I80" s="207"/>
      <c r="J80" s="208"/>
      <c r="K80" s="207"/>
      <c r="L80" s="208"/>
      <c r="M80" s="207"/>
      <c r="N80" s="208"/>
      <c r="O80" s="207"/>
      <c r="P80" s="208"/>
      <c r="Q80" s="207"/>
      <c r="R80" s="208"/>
      <c r="S80" s="207"/>
      <c r="T80" s="208"/>
      <c r="U80" s="207"/>
      <c r="V80" s="208"/>
    </row>
    <row r="81" spans="1:22" ht="17.5" thickTop="1" x14ac:dyDescent="0.45">
      <c r="H81" s="112"/>
      <c r="I81" s="112"/>
      <c r="J81" s="112"/>
      <c r="K81" s="112"/>
      <c r="L81" s="112"/>
      <c r="M81" s="112"/>
      <c r="N81" s="112"/>
      <c r="O81" s="112"/>
      <c r="P81" s="112"/>
      <c r="Q81" s="112"/>
      <c r="R81" s="112"/>
      <c r="S81" s="112"/>
      <c r="T81" s="112"/>
      <c r="U81" s="112"/>
    </row>
    <row r="82" spans="1:22" x14ac:dyDescent="0.45">
      <c r="H82" s="112"/>
      <c r="I82" s="112"/>
      <c r="J82" s="112"/>
      <c r="K82" s="112"/>
      <c r="L82" s="112"/>
      <c r="M82" s="112"/>
      <c r="N82" s="112"/>
      <c r="O82" s="112"/>
      <c r="P82" s="112"/>
      <c r="Q82" s="112"/>
      <c r="R82" s="112"/>
      <c r="S82" s="112"/>
      <c r="T82" s="112"/>
      <c r="U82" s="112"/>
    </row>
    <row r="83" spans="1:22" ht="17.5" thickBot="1" x14ac:dyDescent="0.5"/>
    <row r="84" spans="1:22" ht="27" thickTop="1" thickBot="1" x14ac:dyDescent="0.5">
      <c r="A84" s="182" t="s">
        <v>7</v>
      </c>
      <c r="B84" s="183"/>
      <c r="C84" s="182" t="s">
        <v>9</v>
      </c>
      <c r="D84" s="184" t="s">
        <v>218</v>
      </c>
      <c r="E84" s="182" t="s">
        <v>204</v>
      </c>
      <c r="F84" s="184" t="s">
        <v>220</v>
      </c>
      <c r="H84" s="611" t="s">
        <v>261</v>
      </c>
      <c r="I84" s="612"/>
      <c r="J84" s="613"/>
      <c r="K84" s="185"/>
      <c r="L84" s="186"/>
      <c r="M84" s="186"/>
      <c r="N84" s="186"/>
      <c r="O84" s="186"/>
      <c r="P84" s="186"/>
    </row>
    <row r="85" spans="1:22" ht="17.25" customHeight="1" thickTop="1" thickBot="1" x14ac:dyDescent="0.5">
      <c r="A85" s="187" t="s">
        <v>164</v>
      </c>
      <c r="B85" s="37">
        <f>COUNTIF(I:AL,"구로")</f>
        <v>4</v>
      </c>
      <c r="C85" s="37" t="s">
        <v>222</v>
      </c>
      <c r="D85" s="37">
        <f>COUNTIF(I:AL,"고영숙;")</f>
        <v>4</v>
      </c>
      <c r="E85" s="37" t="s">
        <v>233</v>
      </c>
      <c r="F85" s="188">
        <f>COUNTIF(I:AL,"이소영]")</f>
        <v>4</v>
      </c>
      <c r="H85" s="189"/>
      <c r="I85" s="624">
        <v>25</v>
      </c>
      <c r="J85" s="625"/>
      <c r="K85" s="624">
        <v>26</v>
      </c>
      <c r="L85" s="625"/>
      <c r="M85" s="624">
        <v>27</v>
      </c>
      <c r="N85" s="625"/>
      <c r="O85" s="624">
        <v>28</v>
      </c>
      <c r="P85" s="625"/>
      <c r="Q85" s="624">
        <v>29</v>
      </c>
      <c r="R85" s="625"/>
      <c r="S85" s="624">
        <v>30</v>
      </c>
      <c r="T85" s="625"/>
      <c r="U85" s="624">
        <v>31</v>
      </c>
      <c r="V85" s="625"/>
    </row>
    <row r="86" spans="1:22" ht="17.5" customHeight="1" thickTop="1" thickBot="1" x14ac:dyDescent="0.5">
      <c r="A86" s="187" t="s">
        <v>203</v>
      </c>
      <c r="B86" s="37">
        <f>COUNTIF(I:AL,"우리인력")</f>
        <v>4</v>
      </c>
      <c r="C86" s="37" t="s">
        <v>235</v>
      </c>
      <c r="D86" s="37">
        <f>COUNTIF(I:AL,"김용;")</f>
        <v>4</v>
      </c>
      <c r="E86" s="37" t="s">
        <v>212</v>
      </c>
      <c r="F86" s="188">
        <f>COUNTIF(I:AL,"소영하린]")</f>
        <v>4</v>
      </c>
      <c r="H86" s="190"/>
      <c r="I86" s="628" t="s">
        <v>224</v>
      </c>
      <c r="J86" s="629"/>
      <c r="K86" s="628" t="s">
        <v>225</v>
      </c>
      <c r="L86" s="629"/>
      <c r="M86" s="628" t="s">
        <v>226</v>
      </c>
      <c r="N86" s="629"/>
      <c r="O86" s="628" t="s">
        <v>227</v>
      </c>
      <c r="P86" s="629"/>
      <c r="Q86" s="628" t="s">
        <v>202</v>
      </c>
      <c r="R86" s="629"/>
      <c r="S86" s="628" t="s">
        <v>200</v>
      </c>
      <c r="T86" s="629"/>
      <c r="U86" s="628" t="s">
        <v>201</v>
      </c>
      <c r="V86" s="629"/>
    </row>
    <row r="87" spans="1:22" ht="17.25" customHeight="1" thickTop="1" x14ac:dyDescent="0.45">
      <c r="A87" s="187" t="s">
        <v>168</v>
      </c>
      <c r="B87" s="37">
        <f>COUNTIF(I:AL,"박사랑")</f>
        <v>4</v>
      </c>
      <c r="C87" s="37" t="s">
        <v>237</v>
      </c>
      <c r="D87" s="37">
        <f>COUNTIF(I:AL,"윤분숙;")</f>
        <v>4</v>
      </c>
      <c r="F87" s="188"/>
      <c r="H87" s="614">
        <v>10</v>
      </c>
      <c r="I87" s="263" t="s">
        <v>203</v>
      </c>
      <c r="J87" s="203"/>
      <c r="K87" s="204"/>
      <c r="L87" s="203"/>
      <c r="M87" s="202"/>
      <c r="N87" s="203"/>
      <c r="O87" s="202"/>
      <c r="P87" s="203"/>
      <c r="Q87" s="202"/>
      <c r="R87" s="203"/>
      <c r="S87" s="202"/>
      <c r="T87" s="203"/>
      <c r="U87" s="202"/>
      <c r="V87" s="203"/>
    </row>
    <row r="88" spans="1:22" ht="17.25" customHeight="1" thickBot="1" x14ac:dyDescent="0.5">
      <c r="A88" s="187" t="s">
        <v>233</v>
      </c>
      <c r="B88" s="37">
        <f>COUNTIF(I:AL,"이소영")</f>
        <v>4</v>
      </c>
      <c r="C88" s="37" t="s">
        <v>159</v>
      </c>
      <c r="D88" s="37">
        <f>COUNTIF(I:AL,"최임이;")</f>
        <v>4</v>
      </c>
      <c r="E88" s="37"/>
      <c r="F88" s="188"/>
      <c r="H88" s="610"/>
      <c r="I88" s="207"/>
      <c r="J88" s="208"/>
      <c r="K88" s="207"/>
      <c r="L88" s="208"/>
      <c r="M88" s="207"/>
      <c r="N88" s="208"/>
      <c r="O88" s="207"/>
      <c r="P88" s="208"/>
      <c r="Q88" s="207"/>
      <c r="R88" s="208"/>
      <c r="S88" s="207"/>
      <c r="T88" s="208"/>
      <c r="U88" s="207"/>
      <c r="V88" s="208"/>
    </row>
    <row r="89" spans="1:22" ht="18" customHeight="1" thickTop="1" x14ac:dyDescent="0.45">
      <c r="A89" s="187" t="s">
        <v>236</v>
      </c>
      <c r="B89" s="37">
        <f>COUNTIF(I:AL,"임하린")</f>
        <v>4</v>
      </c>
      <c r="C89" s="37" t="s">
        <v>163</v>
      </c>
      <c r="D89" s="37">
        <f>COUNTIF(I:AL,"이말진;")</f>
        <v>3</v>
      </c>
      <c r="E89" s="37"/>
      <c r="F89" s="188"/>
      <c r="H89" s="609">
        <v>11</v>
      </c>
      <c r="I89" s="211"/>
      <c r="J89" s="205"/>
      <c r="K89" s="204"/>
      <c r="L89" s="205"/>
      <c r="M89" s="204"/>
      <c r="N89" s="205"/>
      <c r="O89" s="204"/>
      <c r="P89" s="205"/>
      <c r="Q89" s="204"/>
      <c r="R89" s="205"/>
      <c r="S89" s="204"/>
      <c r="T89" s="205"/>
      <c r="U89" s="204"/>
      <c r="V89" s="205"/>
    </row>
    <row r="90" spans="1:22" ht="18" customHeight="1" thickBot="1" x14ac:dyDescent="0.5">
      <c r="A90" s="187" t="s">
        <v>241</v>
      </c>
      <c r="B90" s="37">
        <f>COUNTIF(I:AL,"정지원")</f>
        <v>4</v>
      </c>
      <c r="C90" s="37" t="s">
        <v>207</v>
      </c>
      <c r="D90" s="37">
        <f>COUNTIF(I:AL,"김인애;")</f>
        <v>4</v>
      </c>
      <c r="E90" s="37"/>
      <c r="F90" s="188"/>
      <c r="H90" s="610"/>
      <c r="I90" s="207"/>
      <c r="J90" s="208"/>
      <c r="K90" s="207"/>
      <c r="L90" s="208"/>
      <c r="M90" s="207"/>
      <c r="N90" s="208"/>
      <c r="O90" s="207"/>
      <c r="P90" s="208"/>
      <c r="Q90" s="207"/>
      <c r="R90" s="208"/>
      <c r="S90" s="207"/>
      <c r="T90" s="208"/>
      <c r="U90" s="207"/>
      <c r="V90" s="208"/>
    </row>
    <row r="91" spans="1:22" ht="17.25" customHeight="1" thickTop="1" x14ac:dyDescent="0.45">
      <c r="A91" s="187" t="s">
        <v>238</v>
      </c>
      <c r="B91" s="37">
        <f>COUNTIF(I:AL,"이기찬")</f>
        <v>3</v>
      </c>
      <c r="C91" s="37" t="s">
        <v>206</v>
      </c>
      <c r="D91" s="37">
        <f>COUNTIF(I:AL,"석경남;")</f>
        <v>5</v>
      </c>
      <c r="E91" s="37"/>
      <c r="F91" s="188"/>
      <c r="H91" s="609">
        <v>12</v>
      </c>
      <c r="I91" s="204"/>
      <c r="J91" s="205"/>
      <c r="K91" s="204"/>
      <c r="L91" s="205"/>
      <c r="M91" s="204"/>
      <c r="N91" s="205"/>
      <c r="O91" s="204"/>
      <c r="P91" s="205"/>
      <c r="Q91" s="204"/>
      <c r="R91" s="205"/>
      <c r="S91" s="204"/>
      <c r="T91" s="205"/>
      <c r="U91" s="204"/>
      <c r="V91" s="205"/>
    </row>
    <row r="92" spans="1:22" ht="17.25" customHeight="1" thickBot="1" x14ac:dyDescent="0.5">
      <c r="A92" s="187" t="s">
        <v>231</v>
      </c>
      <c r="B92" s="37">
        <f>COUNTIF(I:AL,"배이준")</f>
        <v>3</v>
      </c>
      <c r="C92" s="37" t="s">
        <v>183</v>
      </c>
      <c r="D92" s="37">
        <f>COUNTIF(I:AL,"윤미호;")</f>
        <v>4</v>
      </c>
      <c r="E92" s="37"/>
      <c r="F92" s="188"/>
      <c r="H92" s="610"/>
      <c r="I92" s="207"/>
      <c r="J92" s="208"/>
      <c r="K92" s="207"/>
      <c r="L92" s="208"/>
      <c r="M92" s="207"/>
      <c r="N92" s="208"/>
      <c r="O92" s="207"/>
      <c r="P92" s="208"/>
      <c r="Q92" s="207"/>
      <c r="R92" s="208"/>
      <c r="S92" s="207"/>
      <c r="T92" s="208"/>
      <c r="U92" s="207"/>
      <c r="V92" s="208"/>
    </row>
    <row r="93" spans="1:22" ht="17.25" customHeight="1" thickTop="1" x14ac:dyDescent="0.45">
      <c r="A93" s="187" t="s">
        <v>171</v>
      </c>
      <c r="B93" s="37">
        <f>COUNTIF(I:AL,"신정인")</f>
        <v>2</v>
      </c>
      <c r="C93" s="37" t="s">
        <v>280</v>
      </c>
      <c r="D93" s="37">
        <f>COUNTIF(I:AL,"김견희;")</f>
        <v>4</v>
      </c>
      <c r="E93" s="37"/>
      <c r="F93" s="188"/>
      <c r="H93" s="609">
        <v>1</v>
      </c>
      <c r="I93" s="204" t="s">
        <v>164</v>
      </c>
      <c r="J93" s="205"/>
      <c r="K93" s="204"/>
      <c r="L93" s="205"/>
      <c r="M93" s="249"/>
      <c r="N93" s="205"/>
      <c r="O93" s="204"/>
      <c r="P93" s="205"/>
      <c r="Q93" s="204"/>
      <c r="R93" s="205"/>
      <c r="S93" s="204"/>
      <c r="T93" s="205"/>
      <c r="U93" s="204"/>
      <c r="V93" s="205"/>
    </row>
    <row r="94" spans="1:22" ht="17.25" customHeight="1" thickBot="1" x14ac:dyDescent="0.5">
      <c r="A94" s="187" t="s">
        <v>173</v>
      </c>
      <c r="B94" s="37">
        <f>COUNTIF(I:AL,"변이서")</f>
        <v>4</v>
      </c>
      <c r="C94" s="37" t="s">
        <v>210</v>
      </c>
      <c r="D94" s="37">
        <f>COUNTIF(I:AL,"박상혜;")</f>
        <v>2</v>
      </c>
      <c r="E94" s="37"/>
      <c r="F94" s="188"/>
      <c r="H94" s="610"/>
      <c r="I94" s="207"/>
      <c r="J94" s="208"/>
      <c r="K94" s="207"/>
      <c r="L94" s="208"/>
      <c r="M94" s="207"/>
      <c r="N94" s="208"/>
      <c r="O94" s="207"/>
      <c r="P94" s="208"/>
      <c r="Q94" s="207"/>
      <c r="R94" s="208"/>
      <c r="S94" s="207"/>
      <c r="T94" s="208"/>
      <c r="U94" s="207"/>
      <c r="V94" s="208"/>
    </row>
    <row r="95" spans="1:22" ht="17.25" customHeight="1" thickTop="1" x14ac:dyDescent="0.45">
      <c r="A95" s="187" t="s">
        <v>242</v>
      </c>
      <c r="B95" s="37">
        <f>COUNTIF(I:AL,"박창민")</f>
        <v>4</v>
      </c>
      <c r="C95" s="250" t="s">
        <v>234</v>
      </c>
      <c r="D95" s="250">
        <f>COUNTIF(I:AL,"신하린;")</f>
        <v>1</v>
      </c>
      <c r="E95" s="37"/>
      <c r="F95" s="188"/>
      <c r="H95" s="609">
        <v>2</v>
      </c>
      <c r="I95" s="204"/>
      <c r="J95" s="205"/>
      <c r="K95" s="204"/>
      <c r="L95" s="205"/>
      <c r="M95" s="245" t="s">
        <v>173</v>
      </c>
      <c r="N95" s="205"/>
      <c r="O95" s="245" t="s">
        <v>171</v>
      </c>
      <c r="P95" s="205"/>
      <c r="Q95" s="204" t="s">
        <v>125</v>
      </c>
      <c r="R95" s="205"/>
      <c r="S95" s="204" t="s">
        <v>269</v>
      </c>
      <c r="T95" s="205"/>
      <c r="U95" s="204"/>
      <c r="V95" s="205"/>
    </row>
    <row r="96" spans="1:22" ht="17.25" customHeight="1" thickBot="1" x14ac:dyDescent="0.5">
      <c r="A96" s="187" t="s">
        <v>186</v>
      </c>
      <c r="B96" s="37">
        <f>COUNTIF(I:AL,"정윤후")</f>
        <v>3</v>
      </c>
      <c r="C96" s="250" t="s">
        <v>12</v>
      </c>
      <c r="D96" s="250">
        <f>COUNTIF(I:AL,"김혜정;")</f>
        <v>1</v>
      </c>
      <c r="E96" s="37"/>
      <c r="F96" s="188"/>
      <c r="H96" s="610"/>
      <c r="I96" s="207"/>
      <c r="J96" s="208"/>
      <c r="K96" s="207"/>
      <c r="L96" s="208"/>
      <c r="M96" s="207"/>
      <c r="N96" s="208"/>
      <c r="O96" s="207"/>
      <c r="P96" s="208"/>
      <c r="Q96" s="207"/>
      <c r="R96" s="208"/>
      <c r="S96" s="207"/>
      <c r="T96" s="208"/>
      <c r="U96" s="207"/>
      <c r="V96" s="208"/>
    </row>
    <row r="97" spans="1:22" ht="17.25" customHeight="1" thickTop="1" x14ac:dyDescent="0.45">
      <c r="A97" s="195" t="s">
        <v>169</v>
      </c>
      <c r="B97" s="37">
        <f>COUNTIF(M:AP,"이순희")</f>
        <v>2</v>
      </c>
      <c r="E97" s="37"/>
      <c r="F97" s="188"/>
      <c r="H97" s="609">
        <v>3</v>
      </c>
      <c r="I97" s="204"/>
      <c r="J97" s="205"/>
      <c r="K97" s="204" t="s">
        <v>1</v>
      </c>
      <c r="L97" s="205"/>
      <c r="M97" s="245" t="s">
        <v>246</v>
      </c>
      <c r="N97" s="246" t="s">
        <v>262</v>
      </c>
      <c r="O97" s="204" t="s">
        <v>20</v>
      </c>
      <c r="P97" s="205"/>
      <c r="Q97" s="204"/>
      <c r="R97" s="205"/>
      <c r="S97" s="204"/>
      <c r="T97" s="205"/>
      <c r="U97" s="204"/>
      <c r="V97" s="205"/>
    </row>
    <row r="98" spans="1:22" ht="17.25" customHeight="1" thickBot="1" x14ac:dyDescent="0.5">
      <c r="A98" s="195"/>
      <c r="B98" s="37"/>
      <c r="E98" s="37"/>
      <c r="F98" s="188"/>
      <c r="H98" s="610"/>
      <c r="I98" s="207"/>
      <c r="J98" s="208"/>
      <c r="K98" s="207"/>
      <c r="L98" s="208"/>
      <c r="M98" s="247" t="s">
        <v>267</v>
      </c>
      <c r="N98" s="248" t="s">
        <v>243</v>
      </c>
      <c r="O98" s="207"/>
      <c r="P98" s="208"/>
      <c r="Q98" s="207"/>
      <c r="R98" s="208"/>
      <c r="S98" s="207"/>
      <c r="T98" s="208"/>
      <c r="U98" s="207"/>
      <c r="V98" s="208"/>
    </row>
    <row r="99" spans="1:22" ht="17.25" customHeight="1" thickTop="1" x14ac:dyDescent="0.45">
      <c r="A99" s="187"/>
      <c r="B99" s="37"/>
      <c r="E99" s="37"/>
      <c r="F99" s="188"/>
      <c r="H99" s="609">
        <v>4</v>
      </c>
      <c r="I99" s="245" t="s">
        <v>168</v>
      </c>
      <c r="J99" s="205"/>
      <c r="K99" s="204" t="s">
        <v>276</v>
      </c>
      <c r="L99" s="205"/>
      <c r="M99" s="245" t="s">
        <v>273</v>
      </c>
      <c r="N99" s="246" t="s">
        <v>274</v>
      </c>
      <c r="O99" s="204"/>
      <c r="P99" s="205"/>
      <c r="Q99" s="249"/>
      <c r="R99" s="205"/>
      <c r="S99" s="249" t="s">
        <v>186</v>
      </c>
      <c r="T99" s="205"/>
      <c r="U99" s="204"/>
      <c r="V99" s="205"/>
    </row>
    <row r="100" spans="1:22" ht="17.25" customHeight="1" thickBot="1" x14ac:dyDescent="0.5">
      <c r="A100" s="187"/>
      <c r="B100" s="37"/>
      <c r="E100" s="37"/>
      <c r="F100" s="188"/>
      <c r="H100" s="610"/>
      <c r="I100" s="207"/>
      <c r="J100" s="208"/>
      <c r="K100" s="207"/>
      <c r="L100" s="208"/>
      <c r="M100" s="207" t="s">
        <v>275</v>
      </c>
      <c r="N100" s="208" t="s">
        <v>281</v>
      </c>
      <c r="O100" s="207"/>
      <c r="P100" s="208"/>
      <c r="Q100" s="207"/>
      <c r="R100" s="208"/>
      <c r="S100" s="207"/>
      <c r="T100" s="208"/>
      <c r="U100" s="207"/>
      <c r="V100" s="208"/>
    </row>
    <row r="101" spans="1:22" ht="17.25" customHeight="1" thickTop="1" thickBot="1" x14ac:dyDescent="0.5">
      <c r="A101" s="187"/>
      <c r="B101" s="37"/>
      <c r="C101" s="224" t="s">
        <v>223</v>
      </c>
      <c r="D101" s="224">
        <f>COUNTIF(I:AL,"공하정;")</f>
        <v>0</v>
      </c>
      <c r="E101" s="37"/>
      <c r="F101" s="188"/>
      <c r="H101" s="609">
        <v>5</v>
      </c>
      <c r="I101" s="204"/>
      <c r="J101" s="205"/>
      <c r="K101" s="204"/>
      <c r="L101" s="205"/>
      <c r="M101" s="204" t="s">
        <v>263</v>
      </c>
      <c r="N101" s="205" t="s">
        <v>277</v>
      </c>
      <c r="O101" s="204" t="s">
        <v>132</v>
      </c>
      <c r="P101" s="205"/>
      <c r="Q101" s="204" t="s">
        <v>169</v>
      </c>
      <c r="R101" s="205"/>
      <c r="S101" s="204"/>
      <c r="T101" s="205"/>
      <c r="U101" s="204"/>
      <c r="V101" s="205"/>
    </row>
    <row r="102" spans="1:22" ht="17.25" customHeight="1" thickTop="1" thickBot="1" x14ac:dyDescent="0.5">
      <c r="A102" s="187"/>
      <c r="B102" s="37"/>
      <c r="C102" s="191" t="s">
        <v>236</v>
      </c>
      <c r="D102" s="192">
        <f>COUNTIF(K:AN,"임하린;")</f>
        <v>4</v>
      </c>
      <c r="E102" s="37"/>
      <c r="F102" s="188"/>
      <c r="H102" s="610"/>
      <c r="I102" s="207"/>
      <c r="J102" s="208"/>
      <c r="K102" s="207"/>
      <c r="L102" s="208"/>
      <c r="M102" s="207" t="s">
        <v>250</v>
      </c>
      <c r="N102" s="208"/>
      <c r="O102" s="207"/>
      <c r="P102" s="208"/>
      <c r="Q102" s="207"/>
      <c r="R102" s="208"/>
      <c r="S102" s="207"/>
      <c r="T102" s="208"/>
      <c r="U102" s="207"/>
      <c r="V102" s="208"/>
    </row>
    <row r="103" spans="1:22" ht="17.25" customHeight="1" thickTop="1" x14ac:dyDescent="0.45">
      <c r="A103" s="187"/>
      <c r="B103" s="37"/>
      <c r="C103" s="193" t="s">
        <v>241</v>
      </c>
      <c r="D103" s="194">
        <f>COUNTIF(K:AN,"정지원;")</f>
        <v>4</v>
      </c>
      <c r="E103" s="37"/>
      <c r="F103" s="188"/>
      <c r="H103" s="609">
        <v>6</v>
      </c>
      <c r="I103" s="204"/>
      <c r="J103" s="205"/>
      <c r="K103" s="204" t="s">
        <v>251</v>
      </c>
      <c r="L103" s="205" t="s">
        <v>260</v>
      </c>
      <c r="M103" s="204"/>
      <c r="N103" s="205"/>
      <c r="O103" s="249" t="s">
        <v>275</v>
      </c>
      <c r="P103" s="254" t="s">
        <v>281</v>
      </c>
      <c r="Q103" s="204"/>
      <c r="R103" s="205"/>
      <c r="S103" s="204"/>
      <c r="T103" s="205"/>
      <c r="U103" s="204"/>
      <c r="V103" s="205"/>
    </row>
    <row r="104" spans="1:22" ht="16.5" customHeight="1" x14ac:dyDescent="0.45">
      <c r="A104" s="187"/>
      <c r="B104" s="37"/>
      <c r="C104" s="193" t="s">
        <v>231</v>
      </c>
      <c r="D104" s="194">
        <f>COUNTIF(K:AN,"배이준;")</f>
        <v>3</v>
      </c>
      <c r="E104" s="37"/>
      <c r="F104" s="188"/>
      <c r="H104" s="609"/>
      <c r="I104" s="204"/>
      <c r="J104" s="205"/>
      <c r="K104" s="204" t="s">
        <v>252</v>
      </c>
      <c r="L104" s="205" t="s">
        <v>253</v>
      </c>
      <c r="M104" s="204"/>
      <c r="N104" s="205"/>
      <c r="O104" s="204"/>
      <c r="P104" s="205"/>
      <c r="Q104" s="204"/>
      <c r="R104" s="205"/>
      <c r="S104" s="204"/>
      <c r="T104" s="205"/>
      <c r="U104" s="204"/>
      <c r="V104" s="205"/>
    </row>
    <row r="105" spans="1:22" ht="16.5" customHeight="1" x14ac:dyDescent="0.45">
      <c r="A105" s="196"/>
      <c r="B105" s="37"/>
      <c r="C105" s="193" t="s">
        <v>233</v>
      </c>
      <c r="D105" s="194">
        <f>COUNTIF(K:AN,"이소영;")</f>
        <v>4</v>
      </c>
      <c r="E105" s="37"/>
      <c r="F105" s="188"/>
      <c r="H105" s="609"/>
      <c r="I105" s="204"/>
      <c r="J105" s="205"/>
      <c r="K105" s="204"/>
      <c r="L105" s="205"/>
      <c r="M105" s="204"/>
      <c r="N105" s="205"/>
      <c r="O105" s="204"/>
      <c r="P105" s="205"/>
      <c r="Q105" s="204"/>
      <c r="R105" s="205"/>
      <c r="S105" s="204"/>
      <c r="T105" s="205"/>
      <c r="U105" s="204"/>
      <c r="V105" s="205"/>
    </row>
    <row r="106" spans="1:22" ht="17.25" customHeight="1" thickBot="1" x14ac:dyDescent="0.5">
      <c r="A106" s="196"/>
      <c r="C106" s="193" t="s">
        <v>238</v>
      </c>
      <c r="D106" s="194">
        <f>COUNTIF(K:AN,"이기찬;")</f>
        <v>3</v>
      </c>
      <c r="E106" s="37"/>
      <c r="F106" s="188"/>
      <c r="H106" s="610"/>
      <c r="I106" s="207"/>
      <c r="J106" s="208"/>
      <c r="K106" s="207"/>
      <c r="L106" s="208"/>
      <c r="M106" s="207"/>
      <c r="N106" s="208"/>
      <c r="O106" s="207"/>
      <c r="P106" s="208"/>
      <c r="Q106" s="207"/>
      <c r="R106" s="208"/>
      <c r="S106" s="207"/>
      <c r="T106" s="208"/>
      <c r="U106" s="207"/>
      <c r="V106" s="208"/>
    </row>
    <row r="107" spans="1:22" ht="17.25" customHeight="1" thickTop="1" x14ac:dyDescent="0.45">
      <c r="A107" s="225" t="s">
        <v>157</v>
      </c>
      <c r="B107" s="224">
        <f>COUNTIF(I:AL,"최은실")</f>
        <v>0</v>
      </c>
      <c r="C107" s="193" t="s">
        <v>242</v>
      </c>
      <c r="D107" s="194">
        <f>COUNTIF(K:AN,"박창민;")</f>
        <v>0</v>
      </c>
      <c r="E107" s="37"/>
      <c r="F107" s="188"/>
      <c r="H107" s="609">
        <v>7</v>
      </c>
      <c r="I107" s="204"/>
      <c r="J107" s="205"/>
      <c r="K107" s="204"/>
      <c r="L107" s="205"/>
      <c r="M107" s="204" t="s">
        <v>61</v>
      </c>
      <c r="N107" s="205"/>
      <c r="O107" s="204"/>
      <c r="P107" s="205"/>
      <c r="Q107" s="204"/>
      <c r="R107" s="205"/>
      <c r="S107" s="204"/>
      <c r="T107" s="205"/>
      <c r="U107" s="204"/>
      <c r="V107" s="205"/>
    </row>
    <row r="108" spans="1:22" ht="17.25" customHeight="1" thickBot="1" x14ac:dyDescent="0.5">
      <c r="A108" s="226" t="s">
        <v>138</v>
      </c>
      <c r="B108" s="227">
        <f>COUNTIF(I:AL,"김혜숙")</f>
        <v>0</v>
      </c>
      <c r="C108" s="222"/>
      <c r="D108" s="223"/>
      <c r="E108" s="220"/>
      <c r="F108" s="221"/>
      <c r="H108" s="610"/>
      <c r="I108" s="207"/>
      <c r="J108" s="208"/>
      <c r="K108" s="207"/>
      <c r="L108" s="208"/>
      <c r="M108" s="207"/>
      <c r="N108" s="208"/>
      <c r="O108" s="207"/>
      <c r="P108" s="208"/>
      <c r="Q108" s="207"/>
      <c r="R108" s="208"/>
      <c r="S108" s="207"/>
      <c r="T108" s="208"/>
      <c r="U108" s="207"/>
      <c r="V108" s="208"/>
    </row>
    <row r="109" spans="1:22" ht="17.5" thickTop="1" x14ac:dyDescent="0.45"/>
  </sheetData>
  <mergeCells count="106">
    <mergeCell ref="H1:J1"/>
    <mergeCell ref="I2:J2"/>
    <mergeCell ref="K2:L2"/>
    <mergeCell ref="M2:N2"/>
    <mergeCell ref="O2:P2"/>
    <mergeCell ref="Q2:R2"/>
    <mergeCell ref="S3:T3"/>
    <mergeCell ref="U3:V3"/>
    <mergeCell ref="H4:H5"/>
    <mergeCell ref="S2:T2"/>
    <mergeCell ref="U2:V2"/>
    <mergeCell ref="I3:J3"/>
    <mergeCell ref="K3:L3"/>
    <mergeCell ref="M3:N3"/>
    <mergeCell ref="O3:P3"/>
    <mergeCell ref="Q3:R3"/>
    <mergeCell ref="H18:H19"/>
    <mergeCell ref="H20:H23"/>
    <mergeCell ref="H24:H25"/>
    <mergeCell ref="H28:J28"/>
    <mergeCell ref="I29:J29"/>
    <mergeCell ref="K29:L29"/>
    <mergeCell ref="H6:H7"/>
    <mergeCell ref="H8:H9"/>
    <mergeCell ref="H10:H11"/>
    <mergeCell ref="H12:H13"/>
    <mergeCell ref="H14:H15"/>
    <mergeCell ref="H16:H17"/>
    <mergeCell ref="M29:N29"/>
    <mergeCell ref="O29:P29"/>
    <mergeCell ref="Q29:R29"/>
    <mergeCell ref="S29:T29"/>
    <mergeCell ref="U29:V29"/>
    <mergeCell ref="I30:J30"/>
    <mergeCell ref="K30:L30"/>
    <mergeCell ref="M30:N30"/>
    <mergeCell ref="O30:P30"/>
    <mergeCell ref="Q30:R30"/>
    <mergeCell ref="H39:H40"/>
    <mergeCell ref="H41:H42"/>
    <mergeCell ref="H43:H44"/>
    <mergeCell ref="H45:H46"/>
    <mergeCell ref="H47:H50"/>
    <mergeCell ref="H51:H52"/>
    <mergeCell ref="S30:T30"/>
    <mergeCell ref="U30:V30"/>
    <mergeCell ref="H31:H32"/>
    <mergeCell ref="H33:H34"/>
    <mergeCell ref="H35:H36"/>
    <mergeCell ref="H37:H38"/>
    <mergeCell ref="Q58:R58"/>
    <mergeCell ref="S58:T58"/>
    <mergeCell ref="U58:V58"/>
    <mergeCell ref="H56:J56"/>
    <mergeCell ref="I57:J57"/>
    <mergeCell ref="K57:L57"/>
    <mergeCell ref="M57:N57"/>
    <mergeCell ref="O57:P57"/>
    <mergeCell ref="Q57:R57"/>
    <mergeCell ref="H103:H106"/>
    <mergeCell ref="H107:H108"/>
    <mergeCell ref="H79:H80"/>
    <mergeCell ref="U86:V86"/>
    <mergeCell ref="H87:H88"/>
    <mergeCell ref="H89:H90"/>
    <mergeCell ref="H91:H92"/>
    <mergeCell ref="H93:H94"/>
    <mergeCell ref="H95:H96"/>
    <mergeCell ref="I86:J86"/>
    <mergeCell ref="K86:L86"/>
    <mergeCell ref="M86:N86"/>
    <mergeCell ref="O86:P86"/>
    <mergeCell ref="Q86:R86"/>
    <mergeCell ref="S86:T86"/>
    <mergeCell ref="K85:L85"/>
    <mergeCell ref="M85:N85"/>
    <mergeCell ref="O85:P85"/>
    <mergeCell ref="Q85:R85"/>
    <mergeCell ref="S85:T85"/>
    <mergeCell ref="U85:V85"/>
    <mergeCell ref="H84:J84"/>
    <mergeCell ref="I85:J85"/>
    <mergeCell ref="W2:X2"/>
    <mergeCell ref="Y2:Z2"/>
    <mergeCell ref="AA2:AB2"/>
    <mergeCell ref="W3:X3"/>
    <mergeCell ref="Y3:Z3"/>
    <mergeCell ref="AA3:AB3"/>
    <mergeCell ref="H97:H98"/>
    <mergeCell ref="H99:H100"/>
    <mergeCell ref="H101:H102"/>
    <mergeCell ref="H71:H72"/>
    <mergeCell ref="H73:H74"/>
    <mergeCell ref="H75:H78"/>
    <mergeCell ref="H59:H60"/>
    <mergeCell ref="H61:H62"/>
    <mergeCell ref="H63:H64"/>
    <mergeCell ref="H65:H66"/>
    <mergeCell ref="H67:H68"/>
    <mergeCell ref="H69:H70"/>
    <mergeCell ref="S57:T57"/>
    <mergeCell ref="U57:V57"/>
    <mergeCell ref="I58:J58"/>
    <mergeCell ref="K58:L58"/>
    <mergeCell ref="M58:N58"/>
    <mergeCell ref="O58:P58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F13F0-31A8-4566-A388-A00A3F72CCBD}">
  <sheetPr>
    <tabColor theme="9" tint="0.79998168889431442"/>
  </sheetPr>
  <dimension ref="A1:Z109"/>
  <sheetViews>
    <sheetView showGridLines="0" topLeftCell="A85" workbookViewId="0">
      <selection activeCell="O99" sqref="O99"/>
    </sheetView>
  </sheetViews>
  <sheetFormatPr defaultRowHeight="17" x14ac:dyDescent="0.45"/>
  <cols>
    <col min="1" max="1" width="8.58203125" customWidth="1"/>
    <col min="2" max="2" width="4.08203125" customWidth="1"/>
    <col min="3" max="3" width="8.58203125" customWidth="1"/>
    <col min="4" max="4" width="4.08203125" customWidth="1"/>
    <col min="5" max="5" width="8.58203125" customWidth="1"/>
    <col min="6" max="6" width="4.08203125" customWidth="1"/>
    <col min="7" max="7" width="2.58203125" customWidth="1"/>
    <col min="8" max="8" width="7.08203125" customWidth="1"/>
    <col min="9" max="30" width="7.5" customWidth="1"/>
  </cols>
  <sheetData>
    <row r="1" spans="1:22" ht="27" thickTop="1" thickBot="1" x14ac:dyDescent="0.5">
      <c r="A1" s="182" t="s">
        <v>7</v>
      </c>
      <c r="B1" s="183"/>
      <c r="C1" s="182" t="s">
        <v>9</v>
      </c>
      <c r="D1" s="184" t="s">
        <v>218</v>
      </c>
      <c r="E1" s="182" t="s">
        <v>204</v>
      </c>
      <c r="F1" s="184" t="s">
        <v>220</v>
      </c>
      <c r="H1" s="611" t="s">
        <v>221</v>
      </c>
      <c r="I1" s="612"/>
      <c r="J1" s="613"/>
      <c r="K1" s="185"/>
      <c r="L1" s="186"/>
      <c r="M1" s="186"/>
      <c r="N1" s="186"/>
      <c r="O1" s="186"/>
      <c r="P1" s="186"/>
      <c r="Q1" s="186"/>
      <c r="R1" s="186"/>
      <c r="S1" s="186"/>
      <c r="T1" s="186"/>
      <c r="U1" s="186"/>
      <c r="V1" s="186"/>
    </row>
    <row r="2" spans="1:22" ht="17.25" customHeight="1" thickTop="1" thickBot="1" x14ac:dyDescent="0.5">
      <c r="A2" s="187" t="s">
        <v>164</v>
      </c>
      <c r="B2" s="37">
        <f>COUNTIF(I:AL,"구로")</f>
        <v>3</v>
      </c>
      <c r="C2" s="37" t="s">
        <v>222</v>
      </c>
      <c r="D2" s="37">
        <f>COUNTIF(I:AL,"고영숙;")</f>
        <v>4</v>
      </c>
      <c r="E2" s="37" t="s">
        <v>233</v>
      </c>
      <c r="F2" s="188">
        <f>COUNTIF(I:AL,"이소영]")</f>
        <v>2</v>
      </c>
      <c r="G2" s="37"/>
      <c r="H2" s="189"/>
      <c r="I2" s="624">
        <v>1</v>
      </c>
      <c r="J2" s="625"/>
      <c r="K2" s="624">
        <v>2</v>
      </c>
      <c r="L2" s="625"/>
      <c r="M2" s="624">
        <v>3</v>
      </c>
      <c r="N2" s="625"/>
      <c r="O2" s="624">
        <v>4</v>
      </c>
      <c r="P2" s="625"/>
      <c r="Q2" s="624">
        <v>5</v>
      </c>
      <c r="R2" s="625"/>
      <c r="S2" s="624">
        <v>6</v>
      </c>
      <c r="T2" s="625"/>
      <c r="U2" s="624">
        <v>7</v>
      </c>
      <c r="V2" s="625"/>
    </row>
    <row r="3" spans="1:22" ht="17.5" customHeight="1" thickTop="1" thickBot="1" x14ac:dyDescent="0.5">
      <c r="A3" s="187" t="s">
        <v>203</v>
      </c>
      <c r="B3" s="37">
        <f>COUNTIF(I:AL,"우리인력")</f>
        <v>5</v>
      </c>
      <c r="C3" s="37" t="s">
        <v>235</v>
      </c>
      <c r="D3" s="37">
        <f>COUNTIF(I:AL,"김용;")</f>
        <v>4</v>
      </c>
      <c r="E3" s="37" t="s">
        <v>212</v>
      </c>
      <c r="F3" s="188">
        <f>COUNTIF(I:AL,"소영하린]")</f>
        <v>3</v>
      </c>
      <c r="H3" s="190"/>
      <c r="I3" s="628" t="s">
        <v>196</v>
      </c>
      <c r="J3" s="629"/>
      <c r="K3" s="628" t="s">
        <v>197</v>
      </c>
      <c r="L3" s="629"/>
      <c r="M3" s="628" t="s">
        <v>198</v>
      </c>
      <c r="N3" s="629"/>
      <c r="O3" s="628" t="s">
        <v>199</v>
      </c>
      <c r="P3" s="629"/>
      <c r="Q3" s="628" t="s">
        <v>202</v>
      </c>
      <c r="R3" s="629"/>
      <c r="S3" s="628" t="s">
        <v>200</v>
      </c>
      <c r="T3" s="629"/>
      <c r="U3" s="628" t="s">
        <v>201</v>
      </c>
      <c r="V3" s="629"/>
    </row>
    <row r="4" spans="1:22" ht="17.25" customHeight="1" thickTop="1" x14ac:dyDescent="0.45">
      <c r="A4" s="187" t="s">
        <v>168</v>
      </c>
      <c r="B4" s="37">
        <f>COUNTIF(I:AL,"박사랑")</f>
        <v>6</v>
      </c>
      <c r="C4" s="37" t="s">
        <v>237</v>
      </c>
      <c r="D4" s="37">
        <f>COUNTIF(I:AL,"윤분숙;")</f>
        <v>1</v>
      </c>
      <c r="E4" s="37" t="s">
        <v>163</v>
      </c>
      <c r="F4" s="188">
        <f>COUNTIF(I:AL,"이말진]")</f>
        <v>1</v>
      </c>
      <c r="H4" s="614">
        <v>10</v>
      </c>
      <c r="I4" s="202" t="s">
        <v>203</v>
      </c>
      <c r="J4" s="203"/>
      <c r="K4" s="202"/>
      <c r="L4" s="203"/>
      <c r="M4" s="202"/>
      <c r="N4" s="203"/>
      <c r="O4" s="202" t="s">
        <v>203</v>
      </c>
      <c r="P4" s="203"/>
      <c r="Q4" s="202"/>
      <c r="R4" s="203"/>
      <c r="S4" s="202"/>
      <c r="T4" s="203"/>
      <c r="U4" s="202"/>
      <c r="V4" s="203"/>
    </row>
    <row r="5" spans="1:22" ht="17.25" customHeight="1" thickBot="1" x14ac:dyDescent="0.5">
      <c r="A5" s="187" t="s">
        <v>233</v>
      </c>
      <c r="B5" s="37">
        <f>COUNTIF(I:AL,"이소영")</f>
        <v>5</v>
      </c>
      <c r="C5" s="37" t="s">
        <v>159</v>
      </c>
      <c r="D5" s="37">
        <f>COUNTIF(I:AL,"최임이;")</f>
        <v>4</v>
      </c>
      <c r="E5" s="37" t="s">
        <v>173</v>
      </c>
      <c r="F5" s="188">
        <f>COUNTIF(I:AL,"변이서]")</f>
        <v>0</v>
      </c>
      <c r="H5" s="610"/>
      <c r="I5" s="207"/>
      <c r="J5" s="208"/>
      <c r="K5" s="207"/>
      <c r="L5" s="208"/>
      <c r="M5" s="207"/>
      <c r="N5" s="208"/>
      <c r="O5" s="207"/>
      <c r="P5" s="208"/>
      <c r="Q5" s="207"/>
      <c r="R5" s="208"/>
      <c r="S5" s="207"/>
      <c r="T5" s="208"/>
      <c r="U5" s="207"/>
      <c r="V5" s="208"/>
    </row>
    <row r="6" spans="1:22" ht="17.25" customHeight="1" thickTop="1" x14ac:dyDescent="0.45">
      <c r="A6" s="187" t="s">
        <v>236</v>
      </c>
      <c r="B6" s="37">
        <f>COUNTIF(I:AL,"임하린")</f>
        <v>4</v>
      </c>
      <c r="C6" s="37" t="s">
        <v>163</v>
      </c>
      <c r="D6" s="37">
        <f>COUNTIF(I:AL,"이말진;")</f>
        <v>4</v>
      </c>
      <c r="E6" s="37"/>
      <c r="F6" s="188"/>
      <c r="H6" s="609">
        <v>11</v>
      </c>
      <c r="I6" s="204"/>
      <c r="J6" s="205"/>
      <c r="K6" s="204"/>
      <c r="L6" s="205"/>
      <c r="M6" s="204"/>
      <c r="N6" s="205"/>
      <c r="O6" s="204"/>
      <c r="P6" s="205"/>
      <c r="Q6" s="204"/>
      <c r="R6" s="205"/>
      <c r="S6" s="204"/>
      <c r="T6" s="205"/>
      <c r="U6" s="204"/>
      <c r="V6" s="205"/>
    </row>
    <row r="7" spans="1:22" ht="17.25" customHeight="1" thickBot="1" x14ac:dyDescent="0.5">
      <c r="A7" s="187" t="s">
        <v>241</v>
      </c>
      <c r="B7" s="37">
        <f>COUNTIF(I:AL,"정지원")</f>
        <v>4</v>
      </c>
      <c r="C7" s="37" t="s">
        <v>207</v>
      </c>
      <c r="D7" s="37">
        <f>COUNTIF(I:AL,"김인애;")</f>
        <v>3</v>
      </c>
      <c r="E7" s="37"/>
      <c r="F7" s="188"/>
      <c r="H7" s="610"/>
      <c r="I7" s="207"/>
      <c r="J7" s="208"/>
      <c r="K7" s="207"/>
      <c r="L7" s="208"/>
      <c r="M7" s="207"/>
      <c r="N7" s="208"/>
      <c r="O7" s="207"/>
      <c r="P7" s="208"/>
      <c r="Q7" s="207"/>
      <c r="R7" s="208"/>
      <c r="S7" s="207"/>
      <c r="T7" s="208"/>
      <c r="U7" s="207"/>
      <c r="V7" s="208"/>
    </row>
    <row r="8" spans="1:22" ht="17.25" customHeight="1" thickTop="1" x14ac:dyDescent="0.45">
      <c r="A8" s="187" t="s">
        <v>238</v>
      </c>
      <c r="B8" s="37">
        <f>COUNTIF(I:AL,"이기찬")</f>
        <v>5</v>
      </c>
      <c r="C8" s="37" t="s">
        <v>206</v>
      </c>
      <c r="D8" s="37">
        <f>COUNTIF(I:AL,"석경남;")</f>
        <v>4</v>
      </c>
      <c r="E8" s="37"/>
      <c r="F8" s="188"/>
      <c r="H8" s="609">
        <v>12</v>
      </c>
      <c r="I8" s="204"/>
      <c r="J8" s="205"/>
      <c r="K8" s="204"/>
      <c r="L8" s="205"/>
      <c r="M8" s="204"/>
      <c r="N8" s="205"/>
      <c r="O8" s="204"/>
      <c r="P8" s="205"/>
      <c r="Q8" s="204"/>
      <c r="R8" s="205"/>
      <c r="S8" s="204"/>
      <c r="T8" s="205"/>
      <c r="U8" s="204"/>
      <c r="V8" s="205"/>
    </row>
    <row r="9" spans="1:22" ht="17.25" customHeight="1" thickBot="1" x14ac:dyDescent="0.5">
      <c r="A9" s="187" t="s">
        <v>231</v>
      </c>
      <c r="B9" s="37">
        <f>COUNTIF(I:AL,"배이준")</f>
        <v>2</v>
      </c>
      <c r="C9" s="37" t="s">
        <v>210</v>
      </c>
      <c r="D9" s="37">
        <f>COUNTIF(I:AL,"박상혜;")</f>
        <v>4</v>
      </c>
      <c r="E9" s="37"/>
      <c r="F9" s="188"/>
      <c r="H9" s="610"/>
      <c r="I9" s="207"/>
      <c r="J9" s="208"/>
      <c r="K9" s="207"/>
      <c r="L9" s="208"/>
      <c r="M9" s="207"/>
      <c r="N9" s="208"/>
      <c r="O9" s="207"/>
      <c r="P9" s="208"/>
      <c r="Q9" s="207"/>
      <c r="R9" s="208"/>
      <c r="S9" s="207"/>
      <c r="T9" s="208"/>
      <c r="U9" s="207"/>
      <c r="V9" s="208"/>
    </row>
    <row r="10" spans="1:22" ht="17.25" customHeight="1" thickTop="1" x14ac:dyDescent="0.45">
      <c r="A10" s="187" t="s">
        <v>171</v>
      </c>
      <c r="B10" s="37">
        <f>COUNTIF(I:AL,"신정인")</f>
        <v>2</v>
      </c>
      <c r="C10" s="250" t="s">
        <v>234</v>
      </c>
      <c r="D10" s="250">
        <f>COUNTIF(I:AL,"신하린;")</f>
        <v>1</v>
      </c>
      <c r="E10" s="37"/>
      <c r="F10" s="188"/>
      <c r="H10" s="609">
        <v>1</v>
      </c>
      <c r="I10" s="204" t="s">
        <v>164</v>
      </c>
      <c r="J10" s="205"/>
      <c r="K10" s="204"/>
      <c r="L10" s="205"/>
      <c r="M10" s="204"/>
      <c r="N10" s="205"/>
      <c r="O10" s="204" t="s">
        <v>171</v>
      </c>
      <c r="P10" s="205"/>
      <c r="Q10" s="204"/>
      <c r="R10" s="205"/>
      <c r="S10" s="204"/>
      <c r="T10" s="205"/>
      <c r="U10" s="204"/>
      <c r="V10" s="205"/>
    </row>
    <row r="11" spans="1:22" ht="17.25" customHeight="1" thickBot="1" x14ac:dyDescent="0.5">
      <c r="A11" s="187" t="s">
        <v>173</v>
      </c>
      <c r="B11" s="37">
        <f>COUNTIF(I:AL,"변이서")</f>
        <v>9</v>
      </c>
      <c r="C11" s="250" t="s">
        <v>12</v>
      </c>
      <c r="D11" s="250">
        <f>COUNTIF(I:AL,"김혜정;")</f>
        <v>1</v>
      </c>
      <c r="E11" s="37"/>
      <c r="F11" s="188"/>
      <c r="H11" s="610"/>
      <c r="I11" s="207"/>
      <c r="J11" s="208"/>
      <c r="K11" s="207"/>
      <c r="L11" s="208"/>
      <c r="M11" s="207"/>
      <c r="N11" s="208"/>
      <c r="O11" s="207"/>
      <c r="P11" s="208"/>
      <c r="Q11" s="207"/>
      <c r="R11" s="208"/>
      <c r="S11" s="207"/>
      <c r="T11" s="208"/>
      <c r="U11" s="207"/>
      <c r="V11" s="208"/>
    </row>
    <row r="12" spans="1:22" ht="17.25" customHeight="1" thickTop="1" x14ac:dyDescent="0.45">
      <c r="A12" s="187" t="s">
        <v>242</v>
      </c>
      <c r="B12" s="37">
        <f>COUNTIF(I:AL,"박창민")</f>
        <v>7</v>
      </c>
      <c r="C12" s="37" t="s">
        <v>283</v>
      </c>
      <c r="D12" s="250">
        <f>COUNTIF(I:AL,"장유진;")</f>
        <v>2</v>
      </c>
      <c r="E12" s="37"/>
      <c r="F12" s="188"/>
      <c r="H12" s="609">
        <v>2</v>
      </c>
      <c r="I12" s="204"/>
      <c r="J12" s="205"/>
      <c r="K12" s="204"/>
      <c r="L12" s="205"/>
      <c r="M12" s="204"/>
      <c r="N12" s="205"/>
      <c r="O12" s="204"/>
      <c r="P12" s="205"/>
      <c r="Q12" s="204"/>
      <c r="R12" s="205"/>
      <c r="S12" s="204"/>
      <c r="T12" s="205"/>
      <c r="U12" s="204"/>
      <c r="V12" s="205"/>
    </row>
    <row r="13" spans="1:22" ht="17.25" customHeight="1" thickBot="1" x14ac:dyDescent="0.5">
      <c r="A13" s="187" t="s">
        <v>186</v>
      </c>
      <c r="B13" s="37">
        <f>COUNTIF(I:AL,"정윤후")</f>
        <v>3</v>
      </c>
      <c r="C13" s="37" t="s">
        <v>288</v>
      </c>
      <c r="D13" s="37">
        <f>COUNTIF(I:AL,"임인숙;")</f>
        <v>2</v>
      </c>
      <c r="E13" s="37"/>
      <c r="F13" s="188"/>
      <c r="H13" s="610"/>
      <c r="I13" s="207"/>
      <c r="J13" s="208"/>
      <c r="K13" s="207"/>
      <c r="L13" s="208"/>
      <c r="M13" s="207"/>
      <c r="N13" s="208"/>
      <c r="O13" s="207"/>
      <c r="P13" s="208"/>
      <c r="Q13" s="207"/>
      <c r="R13" s="208"/>
      <c r="S13" s="207"/>
      <c r="T13" s="208"/>
      <c r="U13" s="207"/>
      <c r="V13" s="208"/>
    </row>
    <row r="14" spans="1:22" ht="18" customHeight="1" thickTop="1" x14ac:dyDescent="0.45">
      <c r="A14" s="195" t="s">
        <v>169</v>
      </c>
      <c r="B14" s="37">
        <f>COUNTIF(M:AP,"이순희")</f>
        <v>4</v>
      </c>
      <c r="E14" s="37"/>
      <c r="F14" s="188"/>
      <c r="H14" s="609">
        <v>3</v>
      </c>
      <c r="I14" s="204"/>
      <c r="J14" s="205"/>
      <c r="K14" s="204" t="s">
        <v>1</v>
      </c>
      <c r="L14" s="205"/>
      <c r="M14" s="249" t="s">
        <v>246</v>
      </c>
      <c r="N14" s="254" t="s">
        <v>262</v>
      </c>
      <c r="O14" s="261" t="s">
        <v>183</v>
      </c>
      <c r="P14" s="262" t="s">
        <v>287</v>
      </c>
      <c r="Q14" s="204" t="s">
        <v>125</v>
      </c>
      <c r="R14" s="205"/>
      <c r="S14" s="204"/>
      <c r="T14" s="205"/>
      <c r="U14" s="204"/>
      <c r="V14" s="205"/>
    </row>
    <row r="15" spans="1:22" ht="18" customHeight="1" thickBot="1" x14ac:dyDescent="0.5">
      <c r="A15" s="195" t="s">
        <v>210</v>
      </c>
      <c r="B15" s="37">
        <f>COUNTIF(I:AP,"박상혜")</f>
        <v>3</v>
      </c>
      <c r="E15" s="37"/>
      <c r="F15" s="188"/>
      <c r="H15" s="610"/>
      <c r="I15" s="207"/>
      <c r="J15" s="208"/>
      <c r="K15" s="207"/>
      <c r="L15" s="208"/>
      <c r="M15" s="253" t="s">
        <v>267</v>
      </c>
      <c r="N15" s="252" t="s">
        <v>243</v>
      </c>
      <c r="O15" s="207"/>
      <c r="P15" s="208"/>
      <c r="Q15" s="207"/>
      <c r="R15" s="208"/>
      <c r="S15" s="207"/>
      <c r="T15" s="208"/>
      <c r="U15" s="207"/>
      <c r="V15" s="208"/>
    </row>
    <row r="16" spans="1:22" ht="17.25" customHeight="1" thickTop="1" x14ac:dyDescent="0.45">
      <c r="A16" s="195" t="s">
        <v>183</v>
      </c>
      <c r="B16" s="37">
        <f>COUNTIF(G:AJ,"윤미호")</f>
        <v>3</v>
      </c>
      <c r="E16" s="37"/>
      <c r="F16" s="188"/>
      <c r="H16" s="609">
        <v>4</v>
      </c>
      <c r="I16" s="204" t="s">
        <v>168</v>
      </c>
      <c r="J16" s="205"/>
      <c r="K16" s="204" t="s">
        <v>276</v>
      </c>
      <c r="L16" s="205"/>
      <c r="M16" s="249" t="s">
        <v>273</v>
      </c>
      <c r="N16" s="254" t="s">
        <v>274</v>
      </c>
      <c r="O16" s="204" t="s">
        <v>20</v>
      </c>
      <c r="P16" s="205"/>
      <c r="Q16" s="204" t="s">
        <v>173</v>
      </c>
      <c r="R16" s="205"/>
      <c r="S16" s="204"/>
      <c r="T16" s="205"/>
      <c r="U16" s="204"/>
      <c r="V16" s="205"/>
    </row>
    <row r="17" spans="1:22" ht="17.25" customHeight="1" thickBot="1" x14ac:dyDescent="0.5">
      <c r="A17" s="195" t="s">
        <v>280</v>
      </c>
      <c r="B17" s="37">
        <f>COUNTIF(G:AJ,"김견희")</f>
        <v>3</v>
      </c>
      <c r="E17" s="37"/>
      <c r="F17" s="188"/>
      <c r="H17" s="610"/>
      <c r="I17" s="207"/>
      <c r="J17" s="208"/>
      <c r="K17" s="207"/>
      <c r="L17" s="208"/>
      <c r="M17" s="207"/>
      <c r="N17" s="208"/>
      <c r="O17" s="207"/>
      <c r="P17" s="208"/>
      <c r="Q17" s="207"/>
      <c r="R17" s="208"/>
      <c r="S17" s="207"/>
      <c r="T17" s="208"/>
      <c r="U17" s="207"/>
      <c r="V17" s="208"/>
    </row>
    <row r="18" spans="1:22" ht="17.25" customHeight="1" thickTop="1" thickBot="1" x14ac:dyDescent="0.5">
      <c r="A18" s="187" t="s">
        <v>295</v>
      </c>
      <c r="B18" s="37">
        <f>COUNTIF(G:AJ,"김하윤")</f>
        <v>2</v>
      </c>
      <c r="C18" s="224" t="s">
        <v>223</v>
      </c>
      <c r="D18" s="224">
        <f>COUNTIF(I:AL,"공하정;")</f>
        <v>0</v>
      </c>
      <c r="E18" s="37"/>
      <c r="F18" s="188"/>
      <c r="H18" s="609">
        <v>5</v>
      </c>
      <c r="I18" s="204"/>
      <c r="J18" s="205"/>
      <c r="K18" s="204" t="s">
        <v>134</v>
      </c>
      <c r="L18" s="205"/>
      <c r="M18" s="245" t="s">
        <v>250</v>
      </c>
      <c r="N18" s="205" t="s">
        <v>277</v>
      </c>
      <c r="O18" s="204" t="s">
        <v>132</v>
      </c>
      <c r="P18" s="205"/>
      <c r="Q18" s="204" t="s">
        <v>275</v>
      </c>
      <c r="R18" s="205" t="s">
        <v>282</v>
      </c>
      <c r="S18" s="204"/>
      <c r="T18" s="205"/>
      <c r="U18" s="204"/>
      <c r="V18" s="205"/>
    </row>
    <row r="19" spans="1:22" ht="17.25" customHeight="1" thickTop="1" thickBot="1" x14ac:dyDescent="0.5">
      <c r="A19" s="187" t="s">
        <v>163</v>
      </c>
      <c r="B19" s="37">
        <f>COUNTIF(G:AJ,"이말진")</f>
        <v>1</v>
      </c>
      <c r="C19" s="191" t="s">
        <v>236</v>
      </c>
      <c r="D19" s="192">
        <f>COUNTIF(K:AN,"임하린;")</f>
        <v>5</v>
      </c>
      <c r="E19" s="37"/>
      <c r="F19" s="188"/>
      <c r="H19" s="610"/>
      <c r="I19" s="207"/>
      <c r="J19" s="208"/>
      <c r="K19" s="207"/>
      <c r="L19" s="208"/>
      <c r="M19" s="207"/>
      <c r="N19" s="205"/>
      <c r="O19" s="207"/>
      <c r="P19" s="208"/>
      <c r="Q19" s="207"/>
      <c r="R19" s="208"/>
      <c r="S19" s="207"/>
      <c r="T19" s="208"/>
      <c r="U19" s="207"/>
      <c r="V19" s="208"/>
    </row>
    <row r="20" spans="1:22" ht="17.25" customHeight="1" thickTop="1" x14ac:dyDescent="0.45">
      <c r="A20" s="187" t="s">
        <v>298</v>
      </c>
      <c r="B20" s="37">
        <f>COUNTIF(G:AJ,"김지온")</f>
        <v>1</v>
      </c>
      <c r="C20" s="193" t="s">
        <v>241</v>
      </c>
      <c r="D20" s="194">
        <f>COUNTIF(K:AN,"정지원;")</f>
        <v>5</v>
      </c>
      <c r="E20" s="37"/>
      <c r="F20" s="188"/>
      <c r="H20" s="609">
        <v>6</v>
      </c>
      <c r="I20" s="204"/>
      <c r="J20" s="205"/>
      <c r="K20" s="204" t="s">
        <v>251</v>
      </c>
      <c r="L20" s="205" t="s">
        <v>260</v>
      </c>
      <c r="M20" s="209"/>
      <c r="N20" s="203"/>
      <c r="O20" s="204"/>
      <c r="P20" s="205"/>
      <c r="Q20" s="209" t="s">
        <v>169</v>
      </c>
      <c r="R20" s="203"/>
      <c r="S20" s="204"/>
      <c r="T20" s="205"/>
      <c r="U20" s="204"/>
      <c r="V20" s="205"/>
    </row>
    <row r="21" spans="1:22" ht="16.5" customHeight="1" x14ac:dyDescent="0.45">
      <c r="A21" s="187" t="s">
        <v>302</v>
      </c>
      <c r="B21" s="37">
        <f>COUNTIF(G:AJ,"김미지")</f>
        <v>2</v>
      </c>
      <c r="C21" s="193" t="s">
        <v>231</v>
      </c>
      <c r="D21" s="194">
        <f>COUNTIF(K:AN,"배이준;")</f>
        <v>5</v>
      </c>
      <c r="E21" s="37"/>
      <c r="F21" s="188"/>
      <c r="H21" s="609"/>
      <c r="I21" s="204"/>
      <c r="J21" s="205"/>
      <c r="K21" s="204" t="s">
        <v>252</v>
      </c>
      <c r="L21" s="205" t="s">
        <v>253</v>
      </c>
      <c r="M21" s="204"/>
      <c r="N21" s="205"/>
      <c r="O21" s="204"/>
      <c r="P21" s="205"/>
      <c r="Q21" s="211"/>
      <c r="R21" s="205"/>
      <c r="T21" s="205"/>
      <c r="U21" s="204"/>
      <c r="V21" s="205"/>
    </row>
    <row r="22" spans="1:22" ht="16.5" customHeight="1" x14ac:dyDescent="0.45">
      <c r="A22" s="196"/>
      <c r="B22" s="37"/>
      <c r="C22" s="193" t="s">
        <v>233</v>
      </c>
      <c r="D22" s="194">
        <f>COUNTIF(K:AN,"이소영;")</f>
        <v>5</v>
      </c>
      <c r="E22" s="37"/>
      <c r="F22" s="188"/>
      <c r="H22" s="609"/>
      <c r="I22" s="204"/>
      <c r="J22" s="205"/>
      <c r="K22" s="204" t="s">
        <v>249</v>
      </c>
      <c r="L22" s="205"/>
      <c r="M22" s="204"/>
      <c r="N22" s="205"/>
      <c r="O22" s="204"/>
      <c r="P22" s="205"/>
      <c r="Q22" s="211"/>
      <c r="R22" s="205"/>
      <c r="S22" s="204"/>
      <c r="T22" s="205"/>
      <c r="U22" s="204"/>
      <c r="V22" s="205"/>
    </row>
    <row r="23" spans="1:22" ht="17.25" customHeight="1" thickBot="1" x14ac:dyDescent="0.5">
      <c r="A23" s="196"/>
      <c r="C23" s="193" t="s">
        <v>238</v>
      </c>
      <c r="D23" s="194">
        <f>COUNTIF(K:AN,"이기찬;")</f>
        <v>5</v>
      </c>
      <c r="E23" s="37"/>
      <c r="F23" s="188"/>
      <c r="H23" s="610"/>
      <c r="I23" s="207"/>
      <c r="J23" s="208"/>
      <c r="K23" s="207"/>
      <c r="L23" s="208"/>
      <c r="M23" s="207"/>
      <c r="N23" s="208"/>
      <c r="O23" s="207"/>
      <c r="P23" s="208"/>
      <c r="Q23" s="210"/>
      <c r="R23" s="208"/>
      <c r="S23" s="207"/>
      <c r="T23" s="208"/>
      <c r="U23" s="207"/>
      <c r="V23" s="208"/>
    </row>
    <row r="24" spans="1:22" ht="18" customHeight="1" thickTop="1" x14ac:dyDescent="0.45">
      <c r="A24" s="225" t="s">
        <v>157</v>
      </c>
      <c r="B24" s="224">
        <f>COUNTIF(I:AL,"최은실")</f>
        <v>0</v>
      </c>
      <c r="C24" s="193" t="s">
        <v>242</v>
      </c>
      <c r="D24" s="194">
        <f>COUNTIF(K:AN,"박창민;")</f>
        <v>1</v>
      </c>
      <c r="E24" s="37"/>
      <c r="F24" s="188"/>
      <c r="H24" s="609">
        <v>7</v>
      </c>
      <c r="I24" s="204"/>
      <c r="J24" s="205"/>
      <c r="K24" s="204"/>
      <c r="L24" s="205"/>
      <c r="M24" s="204"/>
      <c r="N24" s="205"/>
      <c r="O24" s="204"/>
      <c r="P24" s="205"/>
      <c r="Q24" s="204"/>
      <c r="R24" s="205"/>
      <c r="S24" s="204"/>
      <c r="T24" s="205"/>
      <c r="U24" s="204"/>
      <c r="V24" s="205"/>
    </row>
    <row r="25" spans="1:22" ht="18" customHeight="1" thickBot="1" x14ac:dyDescent="0.5">
      <c r="A25" s="226" t="s">
        <v>138</v>
      </c>
      <c r="B25" s="227">
        <f>COUNTIF(I:AL,"김혜숙")</f>
        <v>0</v>
      </c>
      <c r="C25" s="222"/>
      <c r="D25" s="223"/>
      <c r="E25" s="220"/>
      <c r="F25" s="221"/>
      <c r="H25" s="610"/>
      <c r="I25" s="207"/>
      <c r="J25" s="208"/>
      <c r="K25" s="207"/>
      <c r="L25" s="208"/>
      <c r="M25" s="207"/>
      <c r="N25" s="208"/>
      <c r="O25" s="207"/>
      <c r="P25" s="208"/>
      <c r="Q25" s="207"/>
      <c r="R25" s="208"/>
      <c r="S25" s="207"/>
      <c r="T25" s="208"/>
      <c r="U25" s="207"/>
      <c r="V25" s="208"/>
    </row>
    <row r="26" spans="1:22" ht="17.5" thickTop="1" x14ac:dyDescent="0.45">
      <c r="A26" s="37"/>
      <c r="B26" s="37"/>
      <c r="C26" s="37"/>
      <c r="D26" s="37"/>
      <c r="E26" s="37"/>
      <c r="F26" s="37"/>
    </row>
    <row r="27" spans="1:22" ht="17.5" thickBot="1" x14ac:dyDescent="0.5">
      <c r="A27" s="37"/>
      <c r="B27" s="37"/>
      <c r="C27" s="37"/>
      <c r="D27" s="37"/>
      <c r="E27" s="37"/>
      <c r="F27" s="37"/>
    </row>
    <row r="28" spans="1:22" ht="27" thickTop="1" thickBot="1" x14ac:dyDescent="0.5">
      <c r="A28" s="289"/>
      <c r="B28" s="250"/>
      <c r="C28" s="289"/>
      <c r="D28" s="290"/>
      <c r="E28" s="289"/>
      <c r="F28" s="290"/>
      <c r="H28" s="611" t="s">
        <v>254</v>
      </c>
      <c r="I28" s="612"/>
      <c r="J28" s="613"/>
      <c r="K28" s="185"/>
      <c r="L28" s="186"/>
      <c r="M28" s="186"/>
      <c r="N28" s="186"/>
      <c r="O28" s="186"/>
      <c r="P28" s="186"/>
      <c r="Q28" s="186"/>
      <c r="R28" s="186"/>
      <c r="S28" s="186"/>
      <c r="T28" s="186"/>
      <c r="U28" s="186"/>
      <c r="V28" s="186"/>
    </row>
    <row r="29" spans="1:22" ht="17.25" customHeight="1" thickTop="1" thickBot="1" x14ac:dyDescent="0.5">
      <c r="A29" s="250"/>
      <c r="B29" s="250"/>
      <c r="C29" s="250"/>
      <c r="D29" s="250"/>
      <c r="E29" s="250"/>
      <c r="F29" s="250"/>
      <c r="H29" s="189"/>
      <c r="I29" s="624">
        <v>8</v>
      </c>
      <c r="J29" s="625"/>
      <c r="K29" s="624">
        <v>9</v>
      </c>
      <c r="L29" s="625"/>
      <c r="M29" s="624">
        <v>10</v>
      </c>
      <c r="N29" s="625"/>
      <c r="O29" s="624">
        <v>11</v>
      </c>
      <c r="P29" s="625"/>
      <c r="Q29" s="624">
        <v>12</v>
      </c>
      <c r="R29" s="625"/>
      <c r="S29" s="624">
        <v>13</v>
      </c>
      <c r="T29" s="625"/>
      <c r="U29" s="624">
        <v>14</v>
      </c>
      <c r="V29" s="625"/>
    </row>
    <row r="30" spans="1:22" ht="17.5" customHeight="1" thickTop="1" thickBot="1" x14ac:dyDescent="0.5">
      <c r="A30" s="250"/>
      <c r="B30" s="250"/>
      <c r="C30" s="250"/>
      <c r="D30" s="250"/>
      <c r="E30" s="250"/>
      <c r="F30" s="250"/>
      <c r="H30" s="190"/>
      <c r="I30" s="626" t="s">
        <v>224</v>
      </c>
      <c r="J30" s="627"/>
      <c r="K30" s="626" t="s">
        <v>225</v>
      </c>
      <c r="L30" s="627"/>
      <c r="M30" s="626" t="s">
        <v>226</v>
      </c>
      <c r="N30" s="627"/>
      <c r="O30" s="626" t="s">
        <v>227</v>
      </c>
      <c r="P30" s="627"/>
      <c r="Q30" s="626" t="s">
        <v>228</v>
      </c>
      <c r="R30" s="627"/>
      <c r="S30" s="626" t="s">
        <v>229</v>
      </c>
      <c r="T30" s="627"/>
      <c r="U30" s="626" t="s">
        <v>230</v>
      </c>
      <c r="V30" s="627"/>
    </row>
    <row r="31" spans="1:22" ht="17.25" customHeight="1" thickTop="1" x14ac:dyDescent="0.45">
      <c r="A31" s="250"/>
      <c r="B31" s="250"/>
      <c r="C31" s="250"/>
      <c r="D31" s="250"/>
      <c r="E31" s="250"/>
      <c r="F31" s="250"/>
      <c r="H31" s="614">
        <v>10</v>
      </c>
      <c r="I31" s="204" t="s">
        <v>203</v>
      </c>
      <c r="J31" s="203"/>
      <c r="K31" s="202"/>
      <c r="L31" s="203"/>
      <c r="M31" s="204"/>
      <c r="N31" s="203"/>
      <c r="O31" s="202" t="s">
        <v>203</v>
      </c>
      <c r="P31" s="203"/>
      <c r="Q31" s="202"/>
      <c r="R31" s="203"/>
      <c r="S31" s="202"/>
      <c r="T31" s="203"/>
      <c r="U31" s="202"/>
      <c r="V31" s="203"/>
    </row>
    <row r="32" spans="1:22" ht="17.25" customHeight="1" thickBot="1" x14ac:dyDescent="0.5">
      <c r="A32" s="250"/>
      <c r="B32" s="250"/>
      <c r="C32" s="250"/>
      <c r="D32" s="250"/>
      <c r="E32" s="250"/>
      <c r="F32" s="250"/>
      <c r="H32" s="610"/>
      <c r="I32" s="207"/>
      <c r="J32" s="208"/>
      <c r="K32" s="207"/>
      <c r="L32" s="208"/>
      <c r="M32" s="207"/>
      <c r="N32" s="208"/>
      <c r="O32" s="207"/>
      <c r="P32" s="208"/>
      <c r="Q32" s="207"/>
      <c r="R32" s="208"/>
      <c r="S32" s="207"/>
      <c r="T32" s="208"/>
      <c r="U32" s="207"/>
      <c r="V32" s="208"/>
    </row>
    <row r="33" spans="1:22" ht="17.25" customHeight="1" thickTop="1" x14ac:dyDescent="0.45">
      <c r="A33" s="250"/>
      <c r="B33" s="250"/>
      <c r="C33" s="250"/>
      <c r="D33" s="250"/>
      <c r="E33" s="250"/>
      <c r="F33" s="250"/>
      <c r="H33" s="609">
        <v>11</v>
      </c>
      <c r="I33" s="204"/>
      <c r="J33" s="205"/>
      <c r="K33" s="204"/>
      <c r="L33" s="205"/>
      <c r="M33" s="204"/>
      <c r="N33" s="205"/>
      <c r="O33" s="204"/>
      <c r="P33" s="205"/>
      <c r="Q33" s="204"/>
      <c r="R33" s="205"/>
      <c r="S33" s="204"/>
      <c r="T33" s="205"/>
      <c r="U33" s="204"/>
      <c r="V33" s="205"/>
    </row>
    <row r="34" spans="1:22" ht="17.25" customHeight="1" thickBot="1" x14ac:dyDescent="0.5">
      <c r="A34" s="250"/>
      <c r="B34" s="250"/>
      <c r="C34" s="250"/>
      <c r="D34" s="250"/>
      <c r="E34" s="250"/>
      <c r="F34" s="250"/>
      <c r="H34" s="610"/>
      <c r="I34" s="207"/>
      <c r="J34" s="208"/>
      <c r="K34" s="207"/>
      <c r="L34" s="208"/>
      <c r="M34" s="207"/>
      <c r="N34" s="208"/>
      <c r="O34" s="207"/>
      <c r="P34" s="208"/>
      <c r="Q34" s="207"/>
      <c r="R34" s="208"/>
      <c r="S34" s="207"/>
      <c r="T34" s="208"/>
      <c r="U34" s="207"/>
      <c r="V34" s="208"/>
    </row>
    <row r="35" spans="1:22" ht="17.25" customHeight="1" thickTop="1" x14ac:dyDescent="0.45">
      <c r="A35" s="250"/>
      <c r="B35" s="250"/>
      <c r="C35" s="250"/>
      <c r="D35" s="250"/>
      <c r="E35" s="250"/>
      <c r="F35" s="250"/>
      <c r="H35" s="609">
        <v>12</v>
      </c>
      <c r="I35" s="204"/>
      <c r="J35" s="205"/>
      <c r="K35" s="204"/>
      <c r="L35" s="205"/>
      <c r="M35" s="204"/>
      <c r="N35" s="205"/>
      <c r="O35" s="204"/>
      <c r="P35" s="205"/>
      <c r="Q35" s="204"/>
      <c r="R35" s="205"/>
      <c r="S35" s="204"/>
      <c r="T35" s="205"/>
      <c r="U35" s="204"/>
      <c r="V35" s="205"/>
    </row>
    <row r="36" spans="1:22" ht="17.25" customHeight="1" thickBot="1" x14ac:dyDescent="0.5">
      <c r="A36" s="250"/>
      <c r="B36" s="250"/>
      <c r="C36" s="250"/>
      <c r="D36" s="250"/>
      <c r="E36" s="250"/>
      <c r="F36" s="250"/>
      <c r="H36" s="610"/>
      <c r="I36" s="207"/>
      <c r="J36" s="208"/>
      <c r="K36" s="207"/>
      <c r="L36" s="208"/>
      <c r="M36" s="207"/>
      <c r="N36" s="208"/>
      <c r="O36" s="207"/>
      <c r="P36" s="208"/>
      <c r="Q36" s="207"/>
      <c r="R36" s="208"/>
      <c r="S36" s="207"/>
      <c r="T36" s="208"/>
      <c r="U36" s="207"/>
      <c r="V36" s="208"/>
    </row>
    <row r="37" spans="1:22" ht="17.25" customHeight="1" thickTop="1" x14ac:dyDescent="0.45">
      <c r="A37" s="250"/>
      <c r="B37" s="250"/>
      <c r="C37" s="250"/>
      <c r="D37" s="250"/>
      <c r="E37" s="250"/>
      <c r="F37" s="250"/>
      <c r="H37" s="609">
        <v>1</v>
      </c>
      <c r="I37" s="204" t="s">
        <v>164</v>
      </c>
      <c r="J37" s="205"/>
      <c r="K37" s="204"/>
      <c r="L37" s="205"/>
      <c r="M37" s="204"/>
      <c r="N37" s="205"/>
      <c r="O37" s="204"/>
      <c r="P37" s="205"/>
      <c r="Q37" s="204"/>
      <c r="R37" s="205"/>
      <c r="S37" s="204" t="s">
        <v>125</v>
      </c>
      <c r="T37" s="205"/>
      <c r="U37" s="204"/>
      <c r="V37" s="205"/>
    </row>
    <row r="38" spans="1:22" ht="17.25" customHeight="1" thickBot="1" x14ac:dyDescent="0.5">
      <c r="A38" s="250"/>
      <c r="B38" s="250"/>
      <c r="C38" s="250"/>
      <c r="D38" s="250"/>
      <c r="E38" s="250"/>
      <c r="F38" s="250"/>
      <c r="H38" s="610"/>
      <c r="I38" s="207"/>
      <c r="J38" s="208"/>
      <c r="K38" s="207"/>
      <c r="L38" s="208"/>
      <c r="M38" s="207"/>
      <c r="N38" s="208"/>
      <c r="O38" s="207"/>
      <c r="P38" s="208"/>
      <c r="Q38" s="207"/>
      <c r="R38" s="208"/>
      <c r="S38" s="207"/>
      <c r="T38" s="208"/>
      <c r="U38" s="207"/>
      <c r="V38" s="208"/>
    </row>
    <row r="39" spans="1:22" ht="17.25" customHeight="1" thickTop="1" x14ac:dyDescent="0.45">
      <c r="A39" s="250"/>
      <c r="B39" s="250"/>
      <c r="C39" s="250"/>
      <c r="D39" s="250"/>
      <c r="E39" s="250"/>
      <c r="F39" s="250"/>
      <c r="H39" s="609">
        <v>2</v>
      </c>
      <c r="I39" s="204"/>
      <c r="J39" s="205"/>
      <c r="K39" s="204"/>
      <c r="L39" s="205"/>
      <c r="M39" s="204"/>
      <c r="N39" s="205"/>
      <c r="O39" s="204"/>
      <c r="P39" s="205"/>
      <c r="Q39" s="204"/>
      <c r="R39" s="205"/>
      <c r="S39" s="204"/>
      <c r="T39" s="205"/>
      <c r="U39" s="204"/>
      <c r="V39" s="205"/>
    </row>
    <row r="40" spans="1:22" ht="17.25" customHeight="1" thickBot="1" x14ac:dyDescent="0.5">
      <c r="A40" s="250"/>
      <c r="B40" s="250"/>
      <c r="C40" s="250"/>
      <c r="D40" s="250"/>
      <c r="E40" s="250"/>
      <c r="F40" s="250"/>
      <c r="H40" s="610"/>
      <c r="I40" s="207"/>
      <c r="J40" s="208"/>
      <c r="K40" s="207"/>
      <c r="L40" s="208"/>
      <c r="M40" s="207"/>
      <c r="N40" s="208"/>
      <c r="O40" s="207"/>
      <c r="P40" s="208"/>
      <c r="Q40" s="207"/>
      <c r="R40" s="208"/>
      <c r="S40" s="207"/>
      <c r="T40" s="208"/>
      <c r="U40" s="207"/>
      <c r="V40" s="208"/>
    </row>
    <row r="41" spans="1:22" ht="17.25" customHeight="1" thickTop="1" x14ac:dyDescent="0.45">
      <c r="A41" s="250"/>
      <c r="B41" s="250"/>
      <c r="C41" s="286"/>
      <c r="D41" s="286"/>
      <c r="E41" s="250"/>
      <c r="F41" s="250"/>
      <c r="H41" s="609">
        <v>3</v>
      </c>
      <c r="I41" s="204"/>
      <c r="J41" s="205"/>
      <c r="K41" s="204" t="s">
        <v>1</v>
      </c>
      <c r="L41" s="205"/>
      <c r="M41" s="249" t="s">
        <v>246</v>
      </c>
      <c r="N41" s="254" t="s">
        <v>262</v>
      </c>
      <c r="O41" s="204" t="s">
        <v>20</v>
      </c>
      <c r="P41" s="205"/>
      <c r="Q41" s="204"/>
      <c r="R41" s="205"/>
      <c r="S41" s="204"/>
      <c r="T41" s="205"/>
      <c r="U41" s="204"/>
      <c r="V41" s="205"/>
    </row>
    <row r="42" spans="1:22" ht="17.25" customHeight="1" thickBot="1" x14ac:dyDescent="0.5">
      <c r="A42" s="250"/>
      <c r="B42" s="250"/>
      <c r="C42" s="286"/>
      <c r="D42" s="286"/>
      <c r="E42" s="250"/>
      <c r="F42" s="250"/>
      <c r="H42" s="610"/>
      <c r="I42" s="207"/>
      <c r="J42" s="208"/>
      <c r="K42" s="207"/>
      <c r="L42" s="208"/>
      <c r="M42" s="253" t="s">
        <v>243</v>
      </c>
      <c r="N42" s="252"/>
      <c r="O42" s="207"/>
      <c r="P42" s="208"/>
      <c r="Q42" s="207"/>
      <c r="R42" s="208"/>
      <c r="S42" s="207"/>
      <c r="T42" s="208"/>
      <c r="U42" s="207"/>
      <c r="V42" s="208"/>
    </row>
    <row r="43" spans="1:22" ht="18" customHeight="1" thickTop="1" x14ac:dyDescent="0.45">
      <c r="A43" s="250"/>
      <c r="B43" s="250"/>
      <c r="C43" s="286"/>
      <c r="D43" s="286"/>
      <c r="E43" s="250"/>
      <c r="F43" s="250"/>
      <c r="H43" s="609">
        <v>4</v>
      </c>
      <c r="I43" s="204" t="s">
        <v>168</v>
      </c>
      <c r="J43" s="205"/>
      <c r="K43" s="204" t="s">
        <v>276</v>
      </c>
      <c r="L43" s="205"/>
      <c r="M43" s="249" t="s">
        <v>273</v>
      </c>
      <c r="N43" s="254" t="s">
        <v>274</v>
      </c>
      <c r="O43" s="245" t="s">
        <v>132</v>
      </c>
      <c r="P43" s="205"/>
      <c r="Q43" s="204" t="s">
        <v>173</v>
      </c>
      <c r="R43" s="205"/>
      <c r="S43" s="245" t="s">
        <v>186</v>
      </c>
      <c r="T43" s="205"/>
      <c r="U43" s="204"/>
      <c r="V43" s="205"/>
    </row>
    <row r="44" spans="1:22" ht="18" customHeight="1" thickBot="1" x14ac:dyDescent="0.5">
      <c r="A44" s="250"/>
      <c r="B44" s="250"/>
      <c r="C44" s="286"/>
      <c r="D44" s="286"/>
      <c r="E44" s="250"/>
      <c r="F44" s="250"/>
      <c r="H44" s="610"/>
      <c r="I44" s="207"/>
      <c r="J44" s="208"/>
      <c r="K44" s="207"/>
      <c r="L44" s="208"/>
      <c r="M44" s="207"/>
      <c r="N44" s="208"/>
      <c r="O44" s="207"/>
      <c r="P44" s="208"/>
      <c r="Q44" s="207"/>
      <c r="R44" s="208"/>
      <c r="S44" s="207"/>
      <c r="T44" s="208"/>
      <c r="U44" s="207"/>
      <c r="V44" s="208"/>
    </row>
    <row r="45" spans="1:22" ht="17.25" customHeight="1" thickTop="1" x14ac:dyDescent="0.45">
      <c r="A45" s="250"/>
      <c r="B45" s="250"/>
      <c r="C45" s="250"/>
      <c r="D45" s="250"/>
      <c r="E45" s="250"/>
      <c r="F45" s="250"/>
      <c r="H45" s="609">
        <v>5</v>
      </c>
      <c r="I45" s="204"/>
      <c r="J45" s="205"/>
      <c r="K45" s="204" t="s">
        <v>134</v>
      </c>
      <c r="L45" s="206"/>
      <c r="M45" s="249" t="s">
        <v>250</v>
      </c>
      <c r="N45" s="246" t="s">
        <v>277</v>
      </c>
      <c r="O45" s="204"/>
      <c r="P45" s="205"/>
      <c r="Q45" s="204"/>
      <c r="R45" s="205"/>
      <c r="S45" s="245" t="s">
        <v>74</v>
      </c>
      <c r="T45" s="205"/>
      <c r="U45" s="204"/>
      <c r="V45" s="205"/>
    </row>
    <row r="46" spans="1:22" ht="17.25" customHeight="1" thickBot="1" x14ac:dyDescent="0.5">
      <c r="A46" s="250"/>
      <c r="B46" s="250"/>
      <c r="C46" s="250"/>
      <c r="D46" s="250"/>
      <c r="E46" s="250"/>
      <c r="F46" s="250"/>
      <c r="H46" s="610"/>
      <c r="I46" s="207"/>
      <c r="J46" s="208"/>
      <c r="K46" s="215"/>
      <c r="L46" s="216"/>
      <c r="M46" s="207"/>
      <c r="N46" s="208"/>
      <c r="O46" s="207"/>
      <c r="P46" s="208"/>
      <c r="Q46" s="207"/>
      <c r="R46" s="208"/>
      <c r="S46" s="207"/>
      <c r="T46" s="208"/>
      <c r="U46" s="207"/>
      <c r="V46" s="208"/>
    </row>
    <row r="47" spans="1:22" ht="17.25" customHeight="1" thickTop="1" x14ac:dyDescent="0.45">
      <c r="A47" s="250"/>
      <c r="B47" s="250"/>
      <c r="C47" s="250"/>
      <c r="D47" s="250"/>
      <c r="E47" s="250"/>
      <c r="F47" s="250"/>
      <c r="H47" s="609">
        <v>6</v>
      </c>
      <c r="I47" s="204" t="s">
        <v>210</v>
      </c>
      <c r="J47" s="205"/>
      <c r="K47" s="204" t="s">
        <v>251</v>
      </c>
      <c r="L47" s="205" t="s">
        <v>260</v>
      </c>
      <c r="M47" s="204"/>
      <c r="N47" s="205"/>
      <c r="O47" s="204"/>
      <c r="P47" s="205"/>
      <c r="Q47" s="204" t="s">
        <v>169</v>
      </c>
      <c r="R47" s="205"/>
      <c r="S47" s="204"/>
      <c r="T47" s="205"/>
      <c r="U47" s="204"/>
      <c r="V47" s="205"/>
    </row>
    <row r="48" spans="1:22" ht="16.5" customHeight="1" x14ac:dyDescent="0.45">
      <c r="A48" s="250"/>
      <c r="B48" s="250"/>
      <c r="C48" s="250"/>
      <c r="D48" s="250"/>
      <c r="E48" s="250"/>
      <c r="F48" s="250"/>
      <c r="H48" s="609"/>
      <c r="I48" s="204"/>
      <c r="J48" s="205"/>
      <c r="K48" s="204" t="s">
        <v>252</v>
      </c>
      <c r="L48" s="205" t="s">
        <v>253</v>
      </c>
      <c r="M48" s="204"/>
      <c r="N48" s="205"/>
      <c r="O48" s="204"/>
      <c r="P48" s="205"/>
      <c r="Q48" s="204"/>
      <c r="R48" s="205"/>
      <c r="S48" s="204"/>
      <c r="T48" s="205"/>
      <c r="U48" s="204"/>
      <c r="V48" s="205"/>
    </row>
    <row r="49" spans="1:22" ht="16.5" customHeight="1" x14ac:dyDescent="0.45">
      <c r="A49" s="286"/>
      <c r="B49" s="250"/>
      <c r="C49" s="250"/>
      <c r="D49" s="250"/>
      <c r="E49" s="250"/>
      <c r="F49" s="250"/>
      <c r="H49" s="609"/>
      <c r="I49" s="204"/>
      <c r="J49" s="205"/>
      <c r="K49" s="204" t="s">
        <v>249</v>
      </c>
      <c r="L49" s="205"/>
      <c r="M49" s="204"/>
      <c r="N49" s="205"/>
      <c r="O49" s="204"/>
      <c r="P49" s="205"/>
      <c r="Q49" s="204"/>
      <c r="R49" s="205"/>
      <c r="S49" s="204"/>
      <c r="T49" s="205"/>
      <c r="U49" s="204"/>
      <c r="V49" s="205"/>
    </row>
    <row r="50" spans="1:22" ht="17.25" customHeight="1" thickBot="1" x14ac:dyDescent="0.5">
      <c r="A50" s="286"/>
      <c r="B50" s="286"/>
      <c r="C50" s="250"/>
      <c r="D50" s="250"/>
      <c r="E50" s="250"/>
      <c r="F50" s="250"/>
      <c r="H50" s="610"/>
      <c r="I50" s="207"/>
      <c r="J50" s="208"/>
      <c r="K50" s="207"/>
      <c r="L50" s="208"/>
      <c r="M50" s="207"/>
      <c r="N50" s="208"/>
      <c r="O50" s="207"/>
      <c r="P50" s="208"/>
      <c r="Q50" s="207"/>
      <c r="R50" s="208"/>
      <c r="S50" s="207"/>
      <c r="T50" s="208"/>
      <c r="U50" s="207"/>
      <c r="V50" s="208"/>
    </row>
    <row r="51" spans="1:22" ht="17.25" customHeight="1" thickTop="1" x14ac:dyDescent="0.45">
      <c r="A51" s="250"/>
      <c r="B51" s="250"/>
      <c r="C51" s="250"/>
      <c r="D51" s="250"/>
      <c r="E51" s="250"/>
      <c r="F51" s="250"/>
      <c r="H51" s="609">
        <v>7</v>
      </c>
      <c r="I51" s="204"/>
      <c r="J51" s="205"/>
      <c r="K51" s="204"/>
      <c r="L51" s="205"/>
      <c r="M51" s="204"/>
      <c r="N51" s="205"/>
      <c r="O51" s="204"/>
      <c r="P51" s="205"/>
      <c r="Q51" s="204"/>
      <c r="R51" s="205"/>
      <c r="S51" s="204"/>
      <c r="T51" s="205"/>
      <c r="U51" s="204"/>
      <c r="V51" s="205"/>
    </row>
    <row r="52" spans="1:22" ht="17.25" customHeight="1" thickBot="1" x14ac:dyDescent="0.5">
      <c r="A52" s="250"/>
      <c r="B52" s="250"/>
      <c r="C52" s="286"/>
      <c r="D52" s="286"/>
      <c r="E52" s="286"/>
      <c r="F52" s="286"/>
      <c r="H52" s="610"/>
      <c r="I52" s="207"/>
      <c r="J52" s="208"/>
      <c r="K52" s="207"/>
      <c r="L52" s="208"/>
      <c r="M52" s="207"/>
      <c r="N52" s="208"/>
      <c r="O52" s="207"/>
      <c r="P52" s="208"/>
      <c r="Q52" s="207"/>
      <c r="R52" s="208"/>
      <c r="S52" s="207"/>
      <c r="T52" s="208"/>
      <c r="U52" s="207"/>
      <c r="V52" s="208"/>
    </row>
    <row r="53" spans="1:22" ht="17.5" thickTop="1" x14ac:dyDescent="0.45">
      <c r="A53" s="286"/>
      <c r="B53" s="286"/>
      <c r="C53" s="286"/>
      <c r="D53" s="286"/>
      <c r="E53" s="286"/>
      <c r="F53" s="286"/>
      <c r="H53" s="112"/>
      <c r="I53" s="112"/>
      <c r="J53" s="112"/>
      <c r="K53" s="112"/>
      <c r="L53" s="112"/>
      <c r="M53" s="112"/>
      <c r="N53" s="112"/>
      <c r="O53" s="112"/>
      <c r="P53" s="112"/>
      <c r="Q53" s="112"/>
      <c r="R53" s="112"/>
      <c r="S53" s="112"/>
      <c r="T53" s="112"/>
      <c r="U53" s="112"/>
    </row>
    <row r="54" spans="1:22" x14ac:dyDescent="0.45">
      <c r="A54" s="286"/>
      <c r="B54" s="286"/>
      <c r="C54" s="286"/>
      <c r="D54" s="286"/>
      <c r="E54" s="286"/>
      <c r="F54" s="286"/>
    </row>
    <row r="55" spans="1:22" ht="17.5" thickBot="1" x14ac:dyDescent="0.5">
      <c r="A55" s="286"/>
      <c r="B55" s="286"/>
      <c r="C55" s="286"/>
      <c r="D55" s="286"/>
      <c r="E55" s="286"/>
      <c r="F55" s="286"/>
    </row>
    <row r="56" spans="1:22" ht="27" thickTop="1" thickBot="1" x14ac:dyDescent="0.5">
      <c r="A56" s="289"/>
      <c r="B56" s="250"/>
      <c r="C56" s="289"/>
      <c r="D56" s="290"/>
      <c r="E56" s="289"/>
      <c r="F56" s="290"/>
      <c r="H56" s="611" t="s">
        <v>258</v>
      </c>
      <c r="I56" s="612"/>
      <c r="J56" s="613"/>
      <c r="K56" s="185"/>
      <c r="L56" s="186"/>
      <c r="M56" s="186"/>
      <c r="N56" s="186"/>
      <c r="O56" s="186"/>
      <c r="P56" s="186"/>
      <c r="Q56" s="186"/>
      <c r="R56" s="186"/>
      <c r="S56" s="186"/>
      <c r="T56" s="186"/>
      <c r="U56" s="186"/>
      <c r="V56" s="186"/>
    </row>
    <row r="57" spans="1:22" ht="17.25" customHeight="1" thickTop="1" thickBot="1" x14ac:dyDescent="0.5">
      <c r="A57" s="250"/>
      <c r="B57" s="250"/>
      <c r="C57" s="250"/>
      <c r="D57" s="250"/>
      <c r="E57" s="250"/>
      <c r="F57" s="250"/>
      <c r="H57" s="189"/>
      <c r="I57" s="624">
        <v>15</v>
      </c>
      <c r="J57" s="625"/>
      <c r="K57" s="624">
        <v>16</v>
      </c>
      <c r="L57" s="625"/>
      <c r="M57" s="624">
        <v>17</v>
      </c>
      <c r="N57" s="625"/>
      <c r="O57" s="624">
        <v>18</v>
      </c>
      <c r="P57" s="625"/>
      <c r="Q57" s="624">
        <v>19</v>
      </c>
      <c r="R57" s="625"/>
      <c r="S57" s="624">
        <v>20</v>
      </c>
      <c r="T57" s="625"/>
      <c r="U57" s="624">
        <v>21</v>
      </c>
      <c r="V57" s="625"/>
    </row>
    <row r="58" spans="1:22" ht="17.5" customHeight="1" thickTop="1" thickBot="1" x14ac:dyDescent="0.5">
      <c r="A58" s="250"/>
      <c r="B58" s="250"/>
      <c r="C58" s="250"/>
      <c r="D58" s="250"/>
      <c r="E58" s="250"/>
      <c r="F58" s="250"/>
      <c r="H58" s="190"/>
      <c r="I58" s="626" t="s">
        <v>224</v>
      </c>
      <c r="J58" s="627"/>
      <c r="K58" s="626" t="s">
        <v>225</v>
      </c>
      <c r="L58" s="627"/>
      <c r="M58" s="626" t="s">
        <v>226</v>
      </c>
      <c r="N58" s="627"/>
      <c r="O58" s="626" t="s">
        <v>227</v>
      </c>
      <c r="P58" s="627"/>
      <c r="Q58" s="626" t="s">
        <v>228</v>
      </c>
      <c r="R58" s="627"/>
      <c r="S58" s="626" t="s">
        <v>229</v>
      </c>
      <c r="T58" s="627"/>
      <c r="U58" s="626" t="s">
        <v>230</v>
      </c>
      <c r="V58" s="627"/>
    </row>
    <row r="59" spans="1:22" ht="17.25" customHeight="1" thickTop="1" x14ac:dyDescent="0.45">
      <c r="A59" s="250"/>
      <c r="B59" s="250"/>
      <c r="C59" s="250"/>
      <c r="D59" s="250"/>
      <c r="E59" s="250"/>
      <c r="F59" s="250"/>
      <c r="H59" s="614">
        <v>10</v>
      </c>
      <c r="I59" s="204"/>
      <c r="J59" s="203"/>
      <c r="K59" s="202"/>
      <c r="L59" s="203"/>
      <c r="M59" s="202"/>
      <c r="N59" s="203"/>
      <c r="O59" s="251"/>
      <c r="P59" s="203"/>
      <c r="Q59" s="202"/>
      <c r="R59" s="203"/>
      <c r="S59" s="202" t="s">
        <v>269</v>
      </c>
      <c r="T59" s="205"/>
      <c r="U59" s="202"/>
      <c r="V59" s="203"/>
    </row>
    <row r="60" spans="1:22" ht="18" customHeight="1" thickBot="1" x14ac:dyDescent="0.5">
      <c r="A60" s="250"/>
      <c r="B60" s="250"/>
      <c r="C60" s="250"/>
      <c r="D60" s="250"/>
      <c r="E60" s="250"/>
      <c r="F60" s="250"/>
      <c r="H60" s="610"/>
      <c r="I60" s="207"/>
      <c r="J60" s="208"/>
      <c r="K60" s="207"/>
      <c r="L60" s="208"/>
      <c r="M60" s="207"/>
      <c r="N60" s="208"/>
      <c r="O60" s="207"/>
      <c r="P60" s="208"/>
      <c r="Q60" s="207"/>
      <c r="R60" s="208"/>
      <c r="S60" s="207"/>
      <c r="T60" s="208"/>
      <c r="U60" s="207"/>
      <c r="V60" s="208"/>
    </row>
    <row r="61" spans="1:22" ht="18" customHeight="1" thickTop="1" x14ac:dyDescent="0.45">
      <c r="A61" s="250"/>
      <c r="B61" s="250"/>
      <c r="C61" s="250"/>
      <c r="D61" s="250"/>
      <c r="E61" s="250"/>
      <c r="F61" s="250"/>
      <c r="H61" s="609">
        <v>11</v>
      </c>
      <c r="I61" s="211"/>
      <c r="J61" s="205"/>
      <c r="K61" s="204"/>
      <c r="L61" s="205"/>
      <c r="M61" s="249"/>
      <c r="N61" s="205"/>
      <c r="O61" s="204"/>
      <c r="P61" s="205"/>
      <c r="Q61" s="204"/>
      <c r="R61" s="205"/>
      <c r="S61" s="204"/>
      <c r="T61" s="205"/>
      <c r="U61" s="204"/>
      <c r="V61" s="205"/>
    </row>
    <row r="62" spans="1:22" ht="17.25" customHeight="1" thickBot="1" x14ac:dyDescent="0.5">
      <c r="A62" s="250"/>
      <c r="B62" s="250"/>
      <c r="C62" s="250"/>
      <c r="D62" s="250"/>
      <c r="E62" s="250"/>
      <c r="F62" s="250"/>
      <c r="H62" s="610"/>
      <c r="I62" s="207"/>
      <c r="J62" s="208"/>
      <c r="K62" s="207"/>
      <c r="L62" s="208"/>
      <c r="M62" s="207"/>
      <c r="N62" s="208"/>
      <c r="O62" s="207"/>
      <c r="P62" s="208"/>
      <c r="Q62" s="207"/>
      <c r="R62" s="208"/>
      <c r="S62" s="207"/>
      <c r="T62" s="208"/>
      <c r="U62" s="207"/>
      <c r="V62" s="208"/>
    </row>
    <row r="63" spans="1:22" ht="17.25" customHeight="1" thickTop="1" x14ac:dyDescent="0.45">
      <c r="A63" s="250"/>
      <c r="B63" s="250"/>
      <c r="C63" s="250"/>
      <c r="D63" s="250"/>
      <c r="E63" s="250"/>
      <c r="F63" s="250"/>
      <c r="H63" s="609">
        <v>12</v>
      </c>
      <c r="I63" s="204"/>
      <c r="J63" s="205"/>
      <c r="K63" s="204"/>
      <c r="L63" s="205"/>
      <c r="M63" s="204"/>
      <c r="N63" s="205"/>
      <c r="O63" s="204"/>
      <c r="P63" s="205"/>
      <c r="Q63" s="204"/>
      <c r="R63" s="205"/>
      <c r="S63" s="204" t="s">
        <v>163</v>
      </c>
      <c r="T63" s="205"/>
      <c r="U63" s="204"/>
      <c r="V63" s="205"/>
    </row>
    <row r="64" spans="1:22" ht="17.25" customHeight="1" thickBot="1" x14ac:dyDescent="0.5">
      <c r="A64" s="250"/>
      <c r="B64" s="250"/>
      <c r="C64" s="250"/>
      <c r="D64" s="250"/>
      <c r="E64" s="250"/>
      <c r="F64" s="250"/>
      <c r="H64" s="610"/>
      <c r="I64" s="207"/>
      <c r="J64" s="208"/>
      <c r="K64" s="207"/>
      <c r="L64" s="208"/>
      <c r="M64" s="207"/>
      <c r="N64" s="208"/>
      <c r="O64" s="207"/>
      <c r="P64" s="208"/>
      <c r="Q64" s="207"/>
      <c r="R64" s="208"/>
      <c r="S64" s="207"/>
      <c r="T64" s="208"/>
      <c r="U64" s="207"/>
      <c r="V64" s="208"/>
    </row>
    <row r="65" spans="1:22" ht="17.25" customHeight="1" thickTop="1" x14ac:dyDescent="0.45">
      <c r="A65" s="250"/>
      <c r="B65" s="250"/>
      <c r="C65" s="250"/>
      <c r="D65" s="250"/>
      <c r="E65" s="250"/>
      <c r="F65" s="250"/>
      <c r="H65" s="609">
        <v>1</v>
      </c>
      <c r="I65" s="204" t="s">
        <v>164</v>
      </c>
      <c r="J65" s="205"/>
      <c r="K65" s="204"/>
      <c r="L65" s="205"/>
      <c r="M65" s="204"/>
      <c r="N65" s="205"/>
      <c r="O65" s="249"/>
      <c r="P65" s="205"/>
      <c r="Q65" s="204"/>
      <c r="R65" s="205"/>
      <c r="S65" s="204" t="s">
        <v>293</v>
      </c>
      <c r="T65" s="205"/>
      <c r="U65" s="204"/>
      <c r="V65" s="205"/>
    </row>
    <row r="66" spans="1:22" ht="17.25" customHeight="1" thickBot="1" x14ac:dyDescent="0.5">
      <c r="A66" s="250"/>
      <c r="B66" s="250"/>
      <c r="C66" s="250"/>
      <c r="D66" s="250"/>
      <c r="E66" s="250"/>
      <c r="F66" s="250"/>
      <c r="H66" s="610"/>
      <c r="I66" s="207"/>
      <c r="J66" s="208"/>
      <c r="K66" s="207"/>
      <c r="L66" s="208"/>
      <c r="M66" s="207"/>
      <c r="N66" s="208"/>
      <c r="O66" s="207"/>
      <c r="P66" s="208"/>
      <c r="Q66" s="207"/>
      <c r="R66" s="208"/>
      <c r="S66" s="207"/>
      <c r="T66" s="208"/>
      <c r="U66" s="207"/>
      <c r="V66" s="208"/>
    </row>
    <row r="67" spans="1:22" ht="17.25" customHeight="1" thickTop="1" x14ac:dyDescent="0.45">
      <c r="A67" s="250"/>
      <c r="B67" s="250"/>
      <c r="C67" s="250"/>
      <c r="D67" s="250"/>
      <c r="E67" s="250"/>
      <c r="F67" s="250"/>
      <c r="H67" s="609">
        <v>2</v>
      </c>
      <c r="I67" s="204"/>
      <c r="J67" s="205"/>
      <c r="K67" s="204"/>
      <c r="L67" s="205"/>
      <c r="M67" s="204"/>
      <c r="N67" s="205"/>
      <c r="O67" s="204"/>
      <c r="P67" s="205"/>
      <c r="Q67" s="204"/>
      <c r="R67" s="205"/>
      <c r="S67" s="204" t="s">
        <v>125</v>
      </c>
      <c r="T67" s="205"/>
      <c r="U67" s="204"/>
      <c r="V67" s="205"/>
    </row>
    <row r="68" spans="1:22" ht="17.25" customHeight="1" thickBot="1" x14ac:dyDescent="0.5">
      <c r="A68" s="250"/>
      <c r="B68" s="250"/>
      <c r="C68" s="250"/>
      <c r="D68" s="250"/>
      <c r="E68" s="250"/>
      <c r="F68" s="250"/>
      <c r="H68" s="610"/>
      <c r="I68" s="207"/>
      <c r="J68" s="208"/>
      <c r="K68" s="207"/>
      <c r="L68" s="208"/>
      <c r="M68" s="207"/>
      <c r="N68" s="208"/>
      <c r="O68" s="207"/>
      <c r="P68" s="208"/>
      <c r="Q68" s="207"/>
      <c r="R68" s="208"/>
      <c r="S68" s="207"/>
      <c r="T68" s="208"/>
      <c r="U68" s="207"/>
      <c r="V68" s="208"/>
    </row>
    <row r="69" spans="1:22" ht="17.25" customHeight="1" thickTop="1" x14ac:dyDescent="0.45">
      <c r="A69" s="250"/>
      <c r="B69" s="250"/>
      <c r="C69" s="286"/>
      <c r="D69" s="286"/>
      <c r="E69" s="250"/>
      <c r="F69" s="250"/>
      <c r="H69" s="609">
        <v>3</v>
      </c>
      <c r="I69" s="204" t="s">
        <v>168</v>
      </c>
      <c r="J69" s="205"/>
      <c r="K69" s="245" t="s">
        <v>1</v>
      </c>
      <c r="L69" s="205"/>
      <c r="M69" s="249" t="s">
        <v>246</v>
      </c>
      <c r="N69" s="254" t="s">
        <v>262</v>
      </c>
      <c r="O69" s="245" t="s">
        <v>20</v>
      </c>
      <c r="P69" s="205"/>
      <c r="Q69" s="204" t="s">
        <v>125</v>
      </c>
      <c r="R69" s="205"/>
      <c r="S69" s="204" t="s">
        <v>295</v>
      </c>
      <c r="T69" s="205"/>
      <c r="U69" s="204"/>
      <c r="V69" s="205"/>
    </row>
    <row r="70" spans="1:22" ht="18" customHeight="1" thickBot="1" x14ac:dyDescent="0.5">
      <c r="A70" s="250"/>
      <c r="B70" s="250"/>
      <c r="C70" s="286"/>
      <c r="D70" s="286"/>
      <c r="E70" s="250"/>
      <c r="F70" s="250"/>
      <c r="H70" s="610"/>
      <c r="I70" s="207"/>
      <c r="J70" s="208"/>
      <c r="K70" s="207"/>
      <c r="L70" s="208"/>
      <c r="M70" s="253" t="s">
        <v>243</v>
      </c>
      <c r="N70" s="252" t="s">
        <v>263</v>
      </c>
      <c r="O70" s="207"/>
      <c r="P70" s="208"/>
      <c r="Q70" s="207"/>
      <c r="R70" s="208"/>
      <c r="S70" s="207"/>
      <c r="T70" s="208"/>
      <c r="U70" s="207"/>
      <c r="V70" s="208"/>
    </row>
    <row r="71" spans="1:22" ht="18" customHeight="1" thickTop="1" x14ac:dyDescent="0.45">
      <c r="A71" s="250"/>
      <c r="B71" s="250"/>
      <c r="C71" s="286"/>
      <c r="D71" s="286"/>
      <c r="E71" s="250"/>
      <c r="F71" s="250"/>
      <c r="H71" s="609">
        <v>4</v>
      </c>
      <c r="I71" s="204" t="s">
        <v>173</v>
      </c>
      <c r="J71" s="205"/>
      <c r="K71" s="245" t="s">
        <v>276</v>
      </c>
      <c r="L71" s="205"/>
      <c r="M71" s="249" t="s">
        <v>274</v>
      </c>
      <c r="N71" s="254"/>
      <c r="O71" s="204"/>
      <c r="P71" s="205"/>
      <c r="Q71" s="204" t="s">
        <v>173</v>
      </c>
      <c r="R71" s="205"/>
      <c r="S71" s="204" t="s">
        <v>186</v>
      </c>
      <c r="T71" s="205"/>
      <c r="U71" s="204"/>
      <c r="V71" s="205"/>
    </row>
    <row r="72" spans="1:22" ht="17.25" customHeight="1" thickBot="1" x14ac:dyDescent="0.5">
      <c r="A72" s="250"/>
      <c r="B72" s="250"/>
      <c r="C72" s="286"/>
      <c r="D72" s="286"/>
      <c r="E72" s="250"/>
      <c r="F72" s="250"/>
      <c r="H72" s="610"/>
      <c r="I72" s="207"/>
      <c r="J72" s="208"/>
      <c r="K72" s="207"/>
      <c r="L72" s="208"/>
      <c r="M72" s="207"/>
      <c r="N72" s="208"/>
      <c r="O72" s="207"/>
      <c r="P72" s="208"/>
      <c r="Q72" s="207"/>
      <c r="R72" s="208"/>
      <c r="S72" s="207"/>
      <c r="T72" s="208"/>
      <c r="U72" s="207"/>
      <c r="V72" s="208"/>
    </row>
    <row r="73" spans="1:22" ht="17.25" customHeight="1" thickTop="1" x14ac:dyDescent="0.45">
      <c r="A73" s="250"/>
      <c r="B73" s="250"/>
      <c r="C73" s="250"/>
      <c r="D73" s="250"/>
      <c r="E73" s="250"/>
      <c r="F73" s="250"/>
      <c r="H73" s="609">
        <v>5</v>
      </c>
      <c r="I73" s="204" t="s">
        <v>210</v>
      </c>
      <c r="J73" s="205"/>
      <c r="K73" s="204" t="s">
        <v>134</v>
      </c>
      <c r="L73" s="206"/>
      <c r="M73" s="204" t="s">
        <v>168</v>
      </c>
      <c r="N73" s="205"/>
      <c r="O73" s="204" t="s">
        <v>132</v>
      </c>
      <c r="P73" s="205"/>
      <c r="Q73" s="204"/>
      <c r="R73" s="205"/>
      <c r="S73" s="204"/>
      <c r="T73" s="205"/>
      <c r="U73" s="204"/>
      <c r="V73" s="205"/>
    </row>
    <row r="74" spans="1:22" ht="17.25" customHeight="1" thickBot="1" x14ac:dyDescent="0.5">
      <c r="A74" s="250"/>
      <c r="B74" s="250"/>
      <c r="C74" s="250"/>
      <c r="D74" s="250"/>
      <c r="E74" s="250"/>
      <c r="F74" s="250"/>
      <c r="H74" s="610"/>
      <c r="I74" s="207"/>
      <c r="J74" s="208"/>
      <c r="K74" s="215"/>
      <c r="L74" s="216"/>
      <c r="M74" s="207"/>
      <c r="N74" s="208"/>
      <c r="O74" s="207"/>
      <c r="P74" s="208"/>
      <c r="Q74" s="207"/>
      <c r="R74" s="208"/>
      <c r="S74" s="207"/>
      <c r="T74" s="208"/>
      <c r="U74" s="207"/>
      <c r="V74" s="208"/>
    </row>
    <row r="75" spans="1:22" ht="16.5" customHeight="1" thickTop="1" x14ac:dyDescent="0.45">
      <c r="A75" s="250"/>
      <c r="B75" s="250"/>
      <c r="C75" s="250"/>
      <c r="D75" s="250"/>
      <c r="E75" s="250"/>
      <c r="F75" s="250"/>
      <c r="H75" s="609">
        <v>6</v>
      </c>
      <c r="I75" s="204"/>
      <c r="J75" s="205"/>
      <c r="K75" s="204" t="s">
        <v>251</v>
      </c>
      <c r="L75" s="205" t="s">
        <v>260</v>
      </c>
      <c r="M75" s="204" t="s">
        <v>290</v>
      </c>
      <c r="N75" s="205" t="s">
        <v>250</v>
      </c>
      <c r="O75" s="204" t="s">
        <v>291</v>
      </c>
      <c r="P75" s="205"/>
      <c r="Q75" s="204" t="s">
        <v>169</v>
      </c>
      <c r="R75" s="205"/>
      <c r="S75" s="204" t="s">
        <v>183</v>
      </c>
      <c r="T75" s="205" t="s">
        <v>287</v>
      </c>
      <c r="U75" s="204"/>
      <c r="V75" s="205"/>
    </row>
    <row r="76" spans="1:22" ht="16.5" customHeight="1" x14ac:dyDescent="0.45">
      <c r="A76" s="250"/>
      <c r="B76" s="250"/>
      <c r="C76" s="250"/>
      <c r="D76" s="250"/>
      <c r="E76" s="250"/>
      <c r="F76" s="250"/>
      <c r="H76" s="609"/>
      <c r="I76" s="204"/>
      <c r="J76" s="205"/>
      <c r="K76" s="204" t="s">
        <v>252</v>
      </c>
      <c r="L76" s="205" t="s">
        <v>253</v>
      </c>
      <c r="M76" s="204" t="s">
        <v>277</v>
      </c>
      <c r="N76" s="205"/>
      <c r="O76" s="204"/>
      <c r="P76" s="205"/>
      <c r="Q76" s="204"/>
      <c r="R76" s="205"/>
      <c r="S76" s="204"/>
      <c r="T76" s="205"/>
      <c r="U76" s="204"/>
      <c r="V76" s="205"/>
    </row>
    <row r="77" spans="1:22" ht="17.25" customHeight="1" x14ac:dyDescent="0.45">
      <c r="A77" s="286"/>
      <c r="B77" s="250"/>
      <c r="C77" s="250"/>
      <c r="D77" s="250"/>
      <c r="E77" s="250"/>
      <c r="F77" s="250"/>
      <c r="H77" s="609"/>
      <c r="I77" s="204"/>
      <c r="J77" s="205"/>
      <c r="K77" s="204" t="s">
        <v>249</v>
      </c>
      <c r="L77" s="205"/>
      <c r="M77" s="204"/>
      <c r="N77" s="205"/>
      <c r="O77" s="204"/>
      <c r="P77" s="205"/>
      <c r="Q77" s="204"/>
      <c r="R77" s="205"/>
      <c r="S77" s="204"/>
      <c r="T77" s="205"/>
      <c r="U77" s="204"/>
      <c r="V77" s="205"/>
    </row>
    <row r="78" spans="1:22" ht="17.25" customHeight="1" thickBot="1" x14ac:dyDescent="0.5">
      <c r="A78" s="286"/>
      <c r="B78" s="286"/>
      <c r="C78" s="250"/>
      <c r="D78" s="250"/>
      <c r="E78" s="250"/>
      <c r="F78" s="250"/>
      <c r="H78" s="610"/>
      <c r="I78" s="207"/>
      <c r="J78" s="208"/>
      <c r="K78" s="207"/>
      <c r="L78" s="208"/>
      <c r="M78" s="207"/>
      <c r="N78" s="208"/>
      <c r="O78" s="207"/>
      <c r="P78" s="208"/>
      <c r="Q78" s="207"/>
      <c r="R78" s="208"/>
      <c r="S78" s="207"/>
      <c r="T78" s="208"/>
      <c r="U78" s="207"/>
      <c r="V78" s="208"/>
    </row>
    <row r="79" spans="1:22" ht="17.25" customHeight="1" thickTop="1" x14ac:dyDescent="0.45">
      <c r="A79" s="250"/>
      <c r="B79" s="250"/>
      <c r="C79" s="250"/>
      <c r="D79" s="250"/>
      <c r="E79" s="250"/>
      <c r="F79" s="250"/>
      <c r="H79" s="609">
        <v>7</v>
      </c>
      <c r="I79" s="204"/>
      <c r="J79" s="205"/>
      <c r="K79" s="204"/>
      <c r="L79" s="205"/>
      <c r="M79" s="204"/>
      <c r="N79" s="205"/>
      <c r="O79" s="204"/>
      <c r="P79" s="205"/>
      <c r="Q79" s="204"/>
      <c r="R79" s="205"/>
      <c r="S79" s="204" t="s">
        <v>74</v>
      </c>
      <c r="T79" s="205"/>
      <c r="U79" s="204"/>
      <c r="V79" s="205"/>
    </row>
    <row r="80" spans="1:22" ht="17.5" thickBot="1" x14ac:dyDescent="0.5">
      <c r="A80" s="250"/>
      <c r="B80" s="250"/>
      <c r="C80" s="286"/>
      <c r="D80" s="286"/>
      <c r="E80" s="286"/>
      <c r="F80" s="286"/>
      <c r="H80" s="610"/>
      <c r="I80" s="207"/>
      <c r="J80" s="208"/>
      <c r="K80" s="207"/>
      <c r="L80" s="208"/>
      <c r="M80" s="207"/>
      <c r="N80" s="208"/>
      <c r="O80" s="207"/>
      <c r="P80" s="208"/>
      <c r="Q80" s="207"/>
      <c r="R80" s="208"/>
      <c r="S80" s="207"/>
      <c r="T80" s="208"/>
      <c r="U80" s="207"/>
      <c r="V80" s="208"/>
    </row>
    <row r="81" spans="1:26" ht="17.5" thickTop="1" x14ac:dyDescent="0.45">
      <c r="A81" s="286"/>
      <c r="B81" s="286"/>
      <c r="C81" s="286"/>
      <c r="D81" s="286"/>
      <c r="E81" s="286"/>
      <c r="F81" s="286"/>
      <c r="H81" s="112"/>
      <c r="I81" s="112"/>
      <c r="J81" s="112"/>
      <c r="K81" s="112"/>
      <c r="L81" s="112"/>
      <c r="M81" s="112"/>
      <c r="N81" s="112"/>
      <c r="O81" s="112"/>
      <c r="P81" s="112"/>
      <c r="Q81" s="112"/>
      <c r="R81" s="112"/>
      <c r="S81" s="112"/>
      <c r="T81" s="112"/>
      <c r="U81" s="112"/>
    </row>
    <row r="82" spans="1:26" x14ac:dyDescent="0.45">
      <c r="A82" s="286"/>
      <c r="B82" s="286"/>
      <c r="C82" s="286"/>
      <c r="D82" s="286"/>
      <c r="E82" s="286"/>
      <c r="F82" s="286"/>
      <c r="H82" s="112"/>
      <c r="I82" s="112"/>
      <c r="J82" s="112"/>
      <c r="K82" s="112"/>
      <c r="L82" s="112"/>
      <c r="M82" s="112"/>
      <c r="N82" s="112"/>
      <c r="O82" s="112"/>
      <c r="P82" s="112"/>
      <c r="Q82" s="112"/>
      <c r="R82" s="112"/>
      <c r="S82" s="112"/>
      <c r="T82" s="112"/>
      <c r="U82" s="112"/>
    </row>
    <row r="83" spans="1:26" ht="17.5" thickBot="1" x14ac:dyDescent="0.5">
      <c r="A83" s="286"/>
      <c r="B83" s="286"/>
      <c r="C83" s="286"/>
      <c r="D83" s="286"/>
      <c r="E83" s="286"/>
      <c r="F83" s="286"/>
    </row>
    <row r="84" spans="1:26" ht="27" thickTop="1" thickBot="1" x14ac:dyDescent="0.5">
      <c r="A84" s="289"/>
      <c r="B84" s="250"/>
      <c r="C84" s="289"/>
      <c r="D84" s="290"/>
      <c r="E84" s="289"/>
      <c r="F84" s="290"/>
      <c r="H84" s="611" t="s">
        <v>261</v>
      </c>
      <c r="I84" s="612"/>
      <c r="J84" s="613"/>
      <c r="K84" s="185"/>
      <c r="L84" s="186"/>
      <c r="M84" s="186"/>
      <c r="N84" s="186"/>
      <c r="O84" s="186"/>
      <c r="P84" s="186"/>
    </row>
    <row r="85" spans="1:26" ht="17.25" customHeight="1" thickTop="1" thickBot="1" x14ac:dyDescent="0.5">
      <c r="A85" s="250"/>
      <c r="B85" s="250"/>
      <c r="C85" s="250"/>
      <c r="D85" s="250"/>
      <c r="E85" s="250"/>
      <c r="F85" s="250"/>
      <c r="H85" s="189"/>
      <c r="I85" s="624">
        <v>22</v>
      </c>
      <c r="J85" s="625"/>
      <c r="K85" s="624">
        <v>23</v>
      </c>
      <c r="L85" s="625"/>
      <c r="M85" s="624">
        <v>24</v>
      </c>
      <c r="N85" s="625"/>
      <c r="O85" s="624">
        <v>25</v>
      </c>
      <c r="P85" s="625"/>
      <c r="Q85" s="624">
        <v>26</v>
      </c>
      <c r="R85" s="625"/>
      <c r="S85" s="624">
        <v>27</v>
      </c>
      <c r="T85" s="625"/>
      <c r="U85" s="624">
        <v>28</v>
      </c>
      <c r="V85" s="625"/>
      <c r="W85" s="630">
        <v>29</v>
      </c>
      <c r="X85" s="631"/>
      <c r="Y85" s="630">
        <v>30</v>
      </c>
      <c r="Z85" s="631"/>
    </row>
    <row r="86" spans="1:26" ht="17.5" customHeight="1" thickTop="1" thickBot="1" x14ac:dyDescent="0.5">
      <c r="A86" s="250"/>
      <c r="B86" s="250"/>
      <c r="C86" s="250"/>
      <c r="D86" s="250"/>
      <c r="E86" s="250"/>
      <c r="F86" s="250"/>
      <c r="H86" s="190"/>
      <c r="I86" s="628" t="s">
        <v>224</v>
      </c>
      <c r="J86" s="629"/>
      <c r="K86" s="628" t="s">
        <v>225</v>
      </c>
      <c r="L86" s="629"/>
      <c r="M86" s="628" t="s">
        <v>226</v>
      </c>
      <c r="N86" s="629"/>
      <c r="O86" s="628" t="s">
        <v>227</v>
      </c>
      <c r="P86" s="629"/>
      <c r="Q86" s="628" t="s">
        <v>202</v>
      </c>
      <c r="R86" s="629"/>
      <c r="S86" s="628" t="s">
        <v>200</v>
      </c>
      <c r="T86" s="629"/>
      <c r="U86" s="628" t="s">
        <v>201</v>
      </c>
      <c r="V86" s="629"/>
      <c r="W86" s="632" t="s">
        <v>196</v>
      </c>
      <c r="X86" s="633"/>
      <c r="Y86" s="632" t="s">
        <v>197</v>
      </c>
      <c r="Z86" s="633"/>
    </row>
    <row r="87" spans="1:26" ht="17.25" customHeight="1" thickTop="1" x14ac:dyDescent="0.45">
      <c r="A87" s="250"/>
      <c r="B87" s="250"/>
      <c r="C87" s="250"/>
      <c r="D87" s="250"/>
      <c r="E87" s="250"/>
      <c r="F87" s="250"/>
      <c r="H87" s="614">
        <v>10</v>
      </c>
      <c r="I87" s="634" t="s">
        <v>303</v>
      </c>
      <c r="J87" s="635"/>
      <c r="K87" s="37"/>
      <c r="L87" s="203"/>
      <c r="M87" s="202"/>
      <c r="N87" s="203"/>
      <c r="O87" s="202"/>
      <c r="P87" s="203"/>
      <c r="Q87" s="202" t="s">
        <v>203</v>
      </c>
      <c r="R87" s="203"/>
      <c r="S87" s="202"/>
      <c r="T87" s="203"/>
      <c r="U87" s="202"/>
      <c r="V87" s="203"/>
      <c r="W87" s="255"/>
      <c r="X87" s="256"/>
      <c r="Y87" s="255"/>
      <c r="Z87" s="256"/>
    </row>
    <row r="88" spans="1:26" ht="17.25" customHeight="1" thickBot="1" x14ac:dyDescent="0.5">
      <c r="A88" s="250"/>
      <c r="B88" s="250"/>
      <c r="C88" s="250"/>
      <c r="D88" s="250"/>
      <c r="E88" s="250"/>
      <c r="F88" s="250"/>
      <c r="H88" s="610"/>
      <c r="I88" s="636"/>
      <c r="J88" s="637"/>
      <c r="K88" s="207"/>
      <c r="L88" s="208"/>
      <c r="M88" s="207"/>
      <c r="N88" s="208"/>
      <c r="O88" s="207"/>
      <c r="P88" s="208"/>
      <c r="Q88" s="207"/>
      <c r="R88" s="208"/>
      <c r="S88" s="207"/>
      <c r="T88" s="208"/>
      <c r="U88" s="207"/>
      <c r="V88" s="208"/>
      <c r="W88" s="257"/>
      <c r="X88" s="258"/>
      <c r="Y88" s="257"/>
      <c r="Z88" s="258"/>
    </row>
    <row r="89" spans="1:26" ht="18" customHeight="1" thickTop="1" x14ac:dyDescent="0.45">
      <c r="A89" s="250"/>
      <c r="B89" s="250"/>
      <c r="C89" s="250"/>
      <c r="D89" s="250"/>
      <c r="E89" s="250"/>
      <c r="F89" s="250"/>
      <c r="H89" s="609">
        <v>11</v>
      </c>
      <c r="I89" s="636"/>
      <c r="J89" s="637"/>
      <c r="K89" s="204"/>
      <c r="L89" s="205"/>
      <c r="M89" s="204"/>
      <c r="N89" s="205"/>
      <c r="O89" s="204"/>
      <c r="P89" s="205"/>
      <c r="Q89" s="204"/>
      <c r="R89" s="205"/>
      <c r="S89" s="204"/>
      <c r="T89" s="205"/>
      <c r="U89" s="204"/>
      <c r="V89" s="205"/>
      <c r="W89" s="259"/>
      <c r="X89" s="260"/>
      <c r="Y89" s="259"/>
      <c r="Z89" s="260"/>
    </row>
    <row r="90" spans="1:26" ht="18" customHeight="1" thickBot="1" x14ac:dyDescent="0.5">
      <c r="A90" s="250"/>
      <c r="B90" s="250"/>
      <c r="C90" s="250"/>
      <c r="D90" s="250"/>
      <c r="E90" s="250"/>
      <c r="F90" s="250"/>
      <c r="H90" s="610"/>
      <c r="I90" s="636"/>
      <c r="J90" s="637"/>
      <c r="K90" s="207"/>
      <c r="L90" s="208"/>
      <c r="M90" s="207"/>
      <c r="N90" s="208"/>
      <c r="O90" s="207"/>
      <c r="P90" s="208"/>
      <c r="Q90" s="207"/>
      <c r="R90" s="208"/>
      <c r="S90" s="207"/>
      <c r="T90" s="208"/>
      <c r="U90" s="207"/>
      <c r="V90" s="208"/>
      <c r="W90" s="257"/>
      <c r="X90" s="258"/>
      <c r="Y90" s="257"/>
      <c r="Z90" s="258"/>
    </row>
    <row r="91" spans="1:26" ht="17.25" customHeight="1" thickTop="1" x14ac:dyDescent="0.45">
      <c r="A91" s="250"/>
      <c r="B91" s="250"/>
      <c r="C91" s="250"/>
      <c r="D91" s="250"/>
      <c r="E91" s="250"/>
      <c r="F91" s="250"/>
      <c r="H91" s="609">
        <v>12</v>
      </c>
      <c r="I91" s="636"/>
      <c r="J91" s="637"/>
      <c r="K91" s="204"/>
      <c r="L91" s="205"/>
      <c r="M91" s="204"/>
      <c r="N91" s="205"/>
      <c r="O91" s="204"/>
      <c r="P91" s="205"/>
      <c r="Q91" s="204"/>
      <c r="R91" s="205"/>
      <c r="S91" s="204"/>
      <c r="T91" s="205"/>
      <c r="U91" s="204"/>
      <c r="V91" s="205"/>
      <c r="W91" s="259"/>
      <c r="X91" s="260"/>
      <c r="Y91" s="259"/>
      <c r="Z91" s="260"/>
    </row>
    <row r="92" spans="1:26" ht="17.25" customHeight="1" thickBot="1" x14ac:dyDescent="0.5">
      <c r="A92" s="250"/>
      <c r="B92" s="250"/>
      <c r="C92" s="250"/>
      <c r="D92" s="250"/>
      <c r="E92" s="250"/>
      <c r="F92" s="250"/>
      <c r="H92" s="610"/>
      <c r="I92" s="636"/>
      <c r="J92" s="637"/>
      <c r="K92" s="207"/>
      <c r="L92" s="208"/>
      <c r="M92" s="207"/>
      <c r="N92" s="208"/>
      <c r="O92" s="207"/>
      <c r="P92" s="208"/>
      <c r="Q92" s="207"/>
      <c r="R92" s="208"/>
      <c r="S92" s="207"/>
      <c r="T92" s="208"/>
      <c r="U92" s="207"/>
      <c r="V92" s="208"/>
      <c r="W92" s="257"/>
      <c r="X92" s="258"/>
      <c r="Y92" s="257"/>
      <c r="Z92" s="258"/>
    </row>
    <row r="93" spans="1:26" ht="17.25" customHeight="1" thickTop="1" x14ac:dyDescent="0.45">
      <c r="A93" s="250"/>
      <c r="B93" s="250"/>
      <c r="C93" s="250"/>
      <c r="D93" s="250"/>
      <c r="E93" s="250"/>
      <c r="F93" s="250"/>
      <c r="H93" s="609">
        <v>1</v>
      </c>
      <c r="I93" s="636"/>
      <c r="J93" s="637"/>
      <c r="K93" s="204"/>
      <c r="L93" s="205"/>
      <c r="M93" s="249" t="s">
        <v>302</v>
      </c>
      <c r="N93" s="205"/>
      <c r="O93" s="249" t="s">
        <v>171</v>
      </c>
      <c r="P93" s="205"/>
      <c r="Q93" s="204"/>
      <c r="R93" s="205"/>
      <c r="S93" s="204"/>
      <c r="T93" s="205"/>
      <c r="U93" s="204"/>
      <c r="V93" s="205"/>
      <c r="W93" s="259"/>
      <c r="X93" s="260"/>
      <c r="Y93" s="259"/>
      <c r="Z93" s="260"/>
    </row>
    <row r="94" spans="1:26" ht="17.25" customHeight="1" thickBot="1" x14ac:dyDescent="0.5">
      <c r="A94" s="250"/>
      <c r="B94" s="250"/>
      <c r="C94" s="250"/>
      <c r="D94" s="250"/>
      <c r="E94" s="250"/>
      <c r="F94" s="250"/>
      <c r="H94" s="610"/>
      <c r="I94" s="636"/>
      <c r="J94" s="637"/>
      <c r="K94" s="207"/>
      <c r="L94" s="208"/>
      <c r="M94" s="207"/>
      <c r="N94" s="208"/>
      <c r="O94" s="207"/>
      <c r="P94" s="208"/>
      <c r="Q94" s="207"/>
      <c r="R94" s="208"/>
      <c r="S94" s="207"/>
      <c r="T94" s="208"/>
      <c r="U94" s="207"/>
      <c r="V94" s="208"/>
      <c r="W94" s="257"/>
      <c r="X94" s="258"/>
      <c r="Y94" s="257"/>
      <c r="Z94" s="258"/>
    </row>
    <row r="95" spans="1:26" ht="17.25" customHeight="1" thickTop="1" x14ac:dyDescent="0.45">
      <c r="A95" s="250"/>
      <c r="B95" s="250"/>
      <c r="C95" s="250"/>
      <c r="D95" s="250"/>
      <c r="E95" s="250"/>
      <c r="F95" s="250"/>
      <c r="H95" s="609">
        <v>2</v>
      </c>
      <c r="I95" s="636"/>
      <c r="J95" s="637"/>
      <c r="K95" s="204" t="s">
        <v>173</v>
      </c>
      <c r="L95" s="205"/>
      <c r="M95" s="204" t="s">
        <v>301</v>
      </c>
      <c r="N95" s="205"/>
      <c r="O95" s="204" t="s">
        <v>173</v>
      </c>
      <c r="P95" s="205"/>
      <c r="Q95" s="204"/>
      <c r="R95" s="205"/>
      <c r="S95" s="204"/>
      <c r="T95" s="205"/>
      <c r="U95" s="204"/>
      <c r="V95" s="205"/>
      <c r="W95" s="259"/>
      <c r="X95" s="260"/>
      <c r="Y95" s="259"/>
      <c r="Z95" s="260"/>
    </row>
    <row r="96" spans="1:26" ht="17.25" customHeight="1" thickBot="1" x14ac:dyDescent="0.5">
      <c r="A96" s="250"/>
      <c r="B96" s="250"/>
      <c r="C96" s="250"/>
      <c r="D96" s="250"/>
      <c r="E96" s="250"/>
      <c r="F96" s="250"/>
      <c r="H96" s="610"/>
      <c r="I96" s="636"/>
      <c r="J96" s="637"/>
      <c r="K96" s="207"/>
      <c r="L96" s="208"/>
      <c r="M96" s="207"/>
      <c r="N96" s="208"/>
      <c r="O96" s="207"/>
      <c r="P96" s="208"/>
      <c r="Q96" s="207"/>
      <c r="R96" s="208"/>
      <c r="S96" s="207"/>
      <c r="T96" s="208"/>
      <c r="U96" s="207"/>
      <c r="V96" s="208"/>
      <c r="W96" s="257"/>
      <c r="X96" s="258"/>
      <c r="Y96" s="257"/>
      <c r="Z96" s="258"/>
    </row>
    <row r="97" spans="1:26" ht="17.25" customHeight="1" thickTop="1" x14ac:dyDescent="0.45">
      <c r="A97" s="250"/>
      <c r="B97" s="250"/>
      <c r="C97" s="286"/>
      <c r="D97" s="286"/>
      <c r="E97" s="250"/>
      <c r="F97" s="250"/>
      <c r="H97" s="609">
        <v>3</v>
      </c>
      <c r="I97" s="636"/>
      <c r="J97" s="637"/>
      <c r="K97" s="204" t="s">
        <v>1</v>
      </c>
      <c r="L97" s="205"/>
      <c r="M97" s="249" t="s">
        <v>243</v>
      </c>
      <c r="N97" s="254" t="s">
        <v>274</v>
      </c>
      <c r="O97" s="204" t="s">
        <v>20</v>
      </c>
      <c r="P97" s="205"/>
      <c r="Q97" s="204" t="s">
        <v>125</v>
      </c>
      <c r="R97" s="205"/>
      <c r="S97" s="204" t="s">
        <v>125</v>
      </c>
      <c r="T97" s="205" t="s">
        <v>173</v>
      </c>
      <c r="U97" s="204"/>
      <c r="V97" s="205"/>
      <c r="W97" s="259"/>
      <c r="X97" s="260"/>
      <c r="Y97" s="259" t="s">
        <v>1</v>
      </c>
      <c r="Z97" s="260"/>
    </row>
    <row r="98" spans="1:26" ht="17.25" customHeight="1" thickBot="1" x14ac:dyDescent="0.5">
      <c r="A98" s="250"/>
      <c r="B98" s="250"/>
      <c r="C98" s="286"/>
      <c r="D98" s="286"/>
      <c r="E98" s="250"/>
      <c r="F98" s="250"/>
      <c r="H98" s="610"/>
      <c r="I98" s="636"/>
      <c r="J98" s="637"/>
      <c r="K98" s="207"/>
      <c r="L98" s="208"/>
      <c r="M98" s="253" t="s">
        <v>273</v>
      </c>
      <c r="N98" s="252" t="s">
        <v>262</v>
      </c>
      <c r="O98" s="207"/>
      <c r="P98" s="208"/>
      <c r="Q98" s="207"/>
      <c r="R98" s="208"/>
      <c r="S98" s="207" t="s">
        <v>168</v>
      </c>
      <c r="T98" s="208"/>
      <c r="U98" s="207"/>
      <c r="V98" s="208"/>
      <c r="W98" s="257"/>
      <c r="X98" s="258"/>
      <c r="Y98" s="257"/>
      <c r="Z98" s="258"/>
    </row>
    <row r="99" spans="1:26" ht="17.25" customHeight="1" thickTop="1" x14ac:dyDescent="0.45">
      <c r="A99" s="250"/>
      <c r="B99" s="250"/>
      <c r="C99" s="286"/>
      <c r="D99" s="286"/>
      <c r="E99" s="250"/>
      <c r="F99" s="250"/>
      <c r="H99" s="609">
        <v>4</v>
      </c>
      <c r="I99" s="636"/>
      <c r="J99" s="637"/>
      <c r="K99" s="204" t="s">
        <v>212</v>
      </c>
      <c r="L99" s="205"/>
      <c r="M99" s="204" t="s">
        <v>168</v>
      </c>
      <c r="N99" s="205" t="s">
        <v>173</v>
      </c>
      <c r="O99" s="204" t="s">
        <v>298</v>
      </c>
      <c r="P99" s="205" t="s">
        <v>295</v>
      </c>
      <c r="Q99" s="249" t="s">
        <v>132</v>
      </c>
      <c r="R99" s="205"/>
      <c r="S99" s="249" t="s">
        <v>269</v>
      </c>
      <c r="T99" s="205"/>
      <c r="U99" s="204"/>
      <c r="V99" s="205"/>
      <c r="W99" s="259" t="s">
        <v>173</v>
      </c>
      <c r="X99" s="260"/>
      <c r="Y99" s="259" t="s">
        <v>212</v>
      </c>
      <c r="Z99" s="260"/>
    </row>
    <row r="100" spans="1:26" ht="17.25" customHeight="1" thickBot="1" x14ac:dyDescent="0.5">
      <c r="A100" s="250"/>
      <c r="B100" s="250"/>
      <c r="C100" s="286"/>
      <c r="D100" s="286"/>
      <c r="E100" s="250"/>
      <c r="F100" s="250"/>
      <c r="H100" s="610"/>
      <c r="I100" s="636"/>
      <c r="J100" s="637"/>
      <c r="K100" s="207"/>
      <c r="L100" s="208"/>
      <c r="M100" s="207" t="s">
        <v>125</v>
      </c>
      <c r="N100" s="208"/>
      <c r="O100" s="207"/>
      <c r="P100" s="208"/>
      <c r="Q100" s="207"/>
      <c r="R100" s="208"/>
      <c r="S100" s="207"/>
      <c r="T100" s="208"/>
      <c r="U100" s="207"/>
      <c r="V100" s="208"/>
      <c r="W100" s="257"/>
      <c r="X100" s="258"/>
      <c r="Y100" s="257"/>
      <c r="Z100" s="258"/>
    </row>
    <row r="101" spans="1:26" ht="17.25" customHeight="1" thickTop="1" x14ac:dyDescent="0.45">
      <c r="A101" s="250"/>
      <c r="B101" s="250"/>
      <c r="C101" s="250"/>
      <c r="D101" s="250"/>
      <c r="E101" s="250"/>
      <c r="F101" s="250"/>
      <c r="H101" s="609">
        <v>5</v>
      </c>
      <c r="I101" s="636"/>
      <c r="J101" s="637"/>
      <c r="K101" s="204" t="s">
        <v>134</v>
      </c>
      <c r="L101" s="205"/>
      <c r="M101" s="204"/>
      <c r="N101" s="205"/>
      <c r="O101" s="204" t="s">
        <v>183</v>
      </c>
      <c r="P101" s="205" t="s">
        <v>287</v>
      </c>
      <c r="Q101" s="204" t="s">
        <v>186</v>
      </c>
      <c r="R101" s="205"/>
      <c r="S101" s="204"/>
      <c r="T101" s="205"/>
      <c r="U101" s="204"/>
      <c r="V101" s="205"/>
      <c r="W101" s="259"/>
      <c r="X101" s="260"/>
      <c r="Y101" s="259" t="s">
        <v>134</v>
      </c>
      <c r="Z101" s="260"/>
    </row>
    <row r="102" spans="1:26" ht="17.25" customHeight="1" thickBot="1" x14ac:dyDescent="0.5">
      <c r="A102" s="250"/>
      <c r="B102" s="250"/>
      <c r="C102" s="250"/>
      <c r="D102" s="250"/>
      <c r="E102" s="250"/>
      <c r="F102" s="250"/>
      <c r="H102" s="610"/>
      <c r="I102" s="636"/>
      <c r="J102" s="637"/>
      <c r="K102" s="207"/>
      <c r="L102" s="208"/>
      <c r="M102" s="207"/>
      <c r="N102" s="208"/>
      <c r="O102" s="207"/>
      <c r="P102" s="208"/>
      <c r="Q102" s="207"/>
      <c r="R102" s="208"/>
      <c r="S102" s="207"/>
      <c r="T102" s="208"/>
      <c r="U102" s="207"/>
      <c r="V102" s="208"/>
      <c r="W102" s="257"/>
      <c r="X102" s="258"/>
      <c r="Y102" s="257"/>
      <c r="Z102" s="258"/>
    </row>
    <row r="103" spans="1:26" ht="17.25" customHeight="1" thickTop="1" x14ac:dyDescent="0.45">
      <c r="A103" s="250"/>
      <c r="B103" s="250"/>
      <c r="C103" s="250"/>
      <c r="D103" s="250"/>
      <c r="E103" s="250"/>
      <c r="F103" s="250"/>
      <c r="H103" s="609">
        <v>6</v>
      </c>
      <c r="I103" s="636"/>
      <c r="J103" s="637"/>
      <c r="K103" s="204" t="s">
        <v>249</v>
      </c>
      <c r="L103" s="205" t="s">
        <v>251</v>
      </c>
      <c r="M103" s="249" t="s">
        <v>270</v>
      </c>
      <c r="N103" s="254" t="s">
        <v>250</v>
      </c>
      <c r="O103" s="204"/>
      <c r="P103" s="205"/>
      <c r="Q103" s="204" t="s">
        <v>169</v>
      </c>
      <c r="R103" s="205"/>
      <c r="S103" s="204"/>
      <c r="T103" s="205"/>
      <c r="U103" s="204"/>
      <c r="V103" s="205"/>
      <c r="W103" s="259" t="s">
        <v>210</v>
      </c>
      <c r="X103" s="260"/>
      <c r="Y103" s="259" t="s">
        <v>249</v>
      </c>
      <c r="Z103" s="260" t="s">
        <v>251</v>
      </c>
    </row>
    <row r="104" spans="1:26" ht="16.5" customHeight="1" x14ac:dyDescent="0.45">
      <c r="A104" s="250"/>
      <c r="B104" s="250"/>
      <c r="C104" s="250"/>
      <c r="D104" s="250"/>
      <c r="E104" s="250"/>
      <c r="F104" s="250"/>
      <c r="H104" s="609"/>
      <c r="I104" s="636"/>
      <c r="J104" s="637"/>
      <c r="K104" s="204" t="s">
        <v>252</v>
      </c>
      <c r="L104" s="205" t="s">
        <v>260</v>
      </c>
      <c r="M104" s="204" t="s">
        <v>246</v>
      </c>
      <c r="N104" s="205" t="s">
        <v>277</v>
      </c>
      <c r="O104" s="204"/>
      <c r="P104" s="205"/>
      <c r="Q104" s="204"/>
      <c r="R104" s="205"/>
      <c r="S104" s="204"/>
      <c r="T104" s="205"/>
      <c r="U104" s="204"/>
      <c r="V104" s="205"/>
      <c r="W104" s="259"/>
      <c r="X104" s="260"/>
      <c r="Y104" s="259" t="s">
        <v>252</v>
      </c>
      <c r="Z104" s="260" t="s">
        <v>260</v>
      </c>
    </row>
    <row r="105" spans="1:26" ht="16.5" customHeight="1" x14ac:dyDescent="0.45">
      <c r="A105" s="286"/>
      <c r="B105" s="250"/>
      <c r="C105" s="250"/>
      <c r="D105" s="250"/>
      <c r="E105" s="250"/>
      <c r="F105" s="250"/>
      <c r="H105" s="609"/>
      <c r="I105" s="636"/>
      <c r="J105" s="637"/>
      <c r="K105" s="204" t="s">
        <v>300</v>
      </c>
      <c r="L105" s="205" t="s">
        <v>253</v>
      </c>
      <c r="M105" s="204" t="s">
        <v>290</v>
      </c>
      <c r="N105" s="205" t="s">
        <v>291</v>
      </c>
      <c r="O105" s="204"/>
      <c r="P105" s="205"/>
      <c r="Q105" s="204"/>
      <c r="R105" s="205"/>
      <c r="S105" s="204"/>
      <c r="T105" s="205"/>
      <c r="U105" s="204"/>
      <c r="V105" s="205"/>
      <c r="W105" s="259"/>
      <c r="X105" s="260"/>
      <c r="Y105" s="259" t="s">
        <v>300</v>
      </c>
      <c r="Z105" s="260" t="s">
        <v>253</v>
      </c>
    </row>
    <row r="106" spans="1:26" ht="17.25" customHeight="1" thickBot="1" x14ac:dyDescent="0.5">
      <c r="A106" s="286"/>
      <c r="B106" s="286"/>
      <c r="C106" s="250"/>
      <c r="D106" s="250"/>
      <c r="E106" s="250"/>
      <c r="F106" s="250"/>
      <c r="H106" s="610"/>
      <c r="I106" s="636"/>
      <c r="J106" s="637"/>
      <c r="K106" s="207"/>
      <c r="L106" s="208"/>
      <c r="M106" s="207"/>
      <c r="N106" s="208"/>
      <c r="O106" s="207"/>
      <c r="P106" s="208"/>
      <c r="Q106" s="207"/>
      <c r="R106" s="208"/>
      <c r="S106" s="207"/>
      <c r="T106" s="208"/>
      <c r="U106" s="207"/>
      <c r="V106" s="208"/>
      <c r="W106" s="257"/>
      <c r="X106" s="258"/>
      <c r="Y106" s="257" t="s">
        <v>306</v>
      </c>
      <c r="Z106" s="258"/>
    </row>
    <row r="107" spans="1:26" ht="17.25" customHeight="1" thickTop="1" x14ac:dyDescent="0.45">
      <c r="A107" s="250"/>
      <c r="B107" s="250"/>
      <c r="C107" s="250"/>
      <c r="D107" s="250"/>
      <c r="E107" s="250"/>
      <c r="F107" s="250"/>
      <c r="H107" s="609">
        <v>7</v>
      </c>
      <c r="I107" s="636"/>
      <c r="J107" s="637"/>
      <c r="K107" s="204"/>
      <c r="L107" s="205"/>
      <c r="M107" s="204"/>
      <c r="N107" s="205"/>
      <c r="O107" s="204"/>
      <c r="P107" s="205"/>
      <c r="Q107" s="204"/>
      <c r="R107" s="205"/>
      <c r="S107" s="204"/>
      <c r="T107" s="205"/>
      <c r="U107" s="204"/>
      <c r="V107" s="205"/>
      <c r="W107" s="259"/>
      <c r="X107" s="260"/>
      <c r="Y107" s="259"/>
      <c r="Z107" s="260"/>
    </row>
    <row r="108" spans="1:26" ht="17.25" customHeight="1" thickBot="1" x14ac:dyDescent="0.5">
      <c r="A108" s="250"/>
      <c r="B108" s="250"/>
      <c r="C108" s="286"/>
      <c r="D108" s="286"/>
      <c r="E108" s="286"/>
      <c r="F108" s="286"/>
      <c r="H108" s="610"/>
      <c r="I108" s="638"/>
      <c r="J108" s="639"/>
      <c r="K108" s="207"/>
      <c r="L108" s="208"/>
      <c r="M108" s="207"/>
      <c r="N108" s="208"/>
      <c r="O108" s="207"/>
      <c r="P108" s="208"/>
      <c r="Q108" s="207"/>
      <c r="R108" s="208"/>
      <c r="S108" s="207"/>
      <c r="T108" s="208"/>
      <c r="U108" s="207"/>
      <c r="V108" s="208"/>
      <c r="W108" s="257"/>
      <c r="X108" s="258"/>
      <c r="Y108" s="257"/>
      <c r="Z108" s="258"/>
    </row>
    <row r="109" spans="1:26" ht="17.5" thickTop="1" x14ac:dyDescent="0.45">
      <c r="A109" s="286"/>
      <c r="B109" s="286"/>
      <c r="C109" s="286"/>
      <c r="D109" s="286"/>
      <c r="E109" s="286"/>
      <c r="F109" s="286"/>
    </row>
  </sheetData>
  <mergeCells count="105">
    <mergeCell ref="I87:J108"/>
    <mergeCell ref="H1:J1"/>
    <mergeCell ref="I2:J2"/>
    <mergeCell ref="K2:L2"/>
    <mergeCell ref="M2:N2"/>
    <mergeCell ref="O2:P2"/>
    <mergeCell ref="Q2:R2"/>
    <mergeCell ref="S3:T3"/>
    <mergeCell ref="U3:V3"/>
    <mergeCell ref="H4:H5"/>
    <mergeCell ref="S2:T2"/>
    <mergeCell ref="U2:V2"/>
    <mergeCell ref="I3:J3"/>
    <mergeCell ref="K3:L3"/>
    <mergeCell ref="M3:N3"/>
    <mergeCell ref="O3:P3"/>
    <mergeCell ref="Q3:R3"/>
    <mergeCell ref="H18:H19"/>
    <mergeCell ref="H20:H23"/>
    <mergeCell ref="H24:H25"/>
    <mergeCell ref="H28:J28"/>
    <mergeCell ref="I29:J29"/>
    <mergeCell ref="K29:L29"/>
    <mergeCell ref="H6:H7"/>
    <mergeCell ref="H8:H9"/>
    <mergeCell ref="H10:H11"/>
    <mergeCell ref="H12:H13"/>
    <mergeCell ref="H14:H15"/>
    <mergeCell ref="H16:H17"/>
    <mergeCell ref="S30:T30"/>
    <mergeCell ref="U30:V30"/>
    <mergeCell ref="H31:H32"/>
    <mergeCell ref="H33:H34"/>
    <mergeCell ref="H35:H36"/>
    <mergeCell ref="H37:H38"/>
    <mergeCell ref="M29:N29"/>
    <mergeCell ref="O29:P29"/>
    <mergeCell ref="Q29:R29"/>
    <mergeCell ref="S29:T29"/>
    <mergeCell ref="U29:V29"/>
    <mergeCell ref="I30:J30"/>
    <mergeCell ref="K30:L30"/>
    <mergeCell ref="M30:N30"/>
    <mergeCell ref="O30:P30"/>
    <mergeCell ref="Q30:R30"/>
    <mergeCell ref="H56:J56"/>
    <mergeCell ref="I57:J57"/>
    <mergeCell ref="K57:L57"/>
    <mergeCell ref="M57:N57"/>
    <mergeCell ref="O57:P57"/>
    <mergeCell ref="Q57:R57"/>
    <mergeCell ref="H39:H40"/>
    <mergeCell ref="H41:H42"/>
    <mergeCell ref="H43:H44"/>
    <mergeCell ref="H45:H46"/>
    <mergeCell ref="H47:H50"/>
    <mergeCell ref="H51:H52"/>
    <mergeCell ref="H59:H60"/>
    <mergeCell ref="H61:H62"/>
    <mergeCell ref="H63:H64"/>
    <mergeCell ref="H65:H66"/>
    <mergeCell ref="H67:H68"/>
    <mergeCell ref="H69:H70"/>
    <mergeCell ref="S57:T57"/>
    <mergeCell ref="U57:V57"/>
    <mergeCell ref="I58:J58"/>
    <mergeCell ref="K58:L58"/>
    <mergeCell ref="M58:N58"/>
    <mergeCell ref="O58:P58"/>
    <mergeCell ref="Q58:R58"/>
    <mergeCell ref="S58:T58"/>
    <mergeCell ref="U58:V58"/>
    <mergeCell ref="Q85:R85"/>
    <mergeCell ref="S85:T85"/>
    <mergeCell ref="U85:V85"/>
    <mergeCell ref="H71:H72"/>
    <mergeCell ref="H73:H74"/>
    <mergeCell ref="H75:H78"/>
    <mergeCell ref="H79:H80"/>
    <mergeCell ref="H84:J84"/>
    <mergeCell ref="I85:J85"/>
    <mergeCell ref="Y85:Z85"/>
    <mergeCell ref="W86:X86"/>
    <mergeCell ref="Y86:Z86"/>
    <mergeCell ref="H97:H98"/>
    <mergeCell ref="H99:H100"/>
    <mergeCell ref="H101:H102"/>
    <mergeCell ref="H103:H106"/>
    <mergeCell ref="H107:H108"/>
    <mergeCell ref="W85:X85"/>
    <mergeCell ref="U86:V86"/>
    <mergeCell ref="H87:H88"/>
    <mergeCell ref="H89:H90"/>
    <mergeCell ref="H91:H92"/>
    <mergeCell ref="H93:H94"/>
    <mergeCell ref="H95:H96"/>
    <mergeCell ref="I86:J86"/>
    <mergeCell ref="K86:L86"/>
    <mergeCell ref="M86:N86"/>
    <mergeCell ref="O86:P86"/>
    <mergeCell ref="Q86:R86"/>
    <mergeCell ref="S86:T86"/>
    <mergeCell ref="K85:L85"/>
    <mergeCell ref="M85:N85"/>
    <mergeCell ref="O85:P85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B89A1-8823-4FD9-9CD6-E4FD44987478}">
  <sheetPr>
    <tabColor theme="9" tint="0.79998168889431442"/>
  </sheetPr>
  <dimension ref="A1:V137"/>
  <sheetViews>
    <sheetView showGridLines="0" topLeftCell="A109" workbookViewId="0">
      <selection activeCell="P101" sqref="P101"/>
    </sheetView>
  </sheetViews>
  <sheetFormatPr defaultRowHeight="17" x14ac:dyDescent="0.45"/>
  <cols>
    <col min="1" max="1" width="8.58203125" customWidth="1"/>
    <col min="2" max="2" width="4.08203125" customWidth="1"/>
    <col min="3" max="3" width="8.58203125" customWidth="1"/>
    <col min="4" max="4" width="4.08203125" customWidth="1"/>
    <col min="5" max="5" width="8.58203125" customWidth="1"/>
    <col min="6" max="6" width="4.08203125" customWidth="1"/>
    <col min="7" max="7" width="2.58203125" customWidth="1"/>
    <col min="8" max="8" width="7.08203125" customWidth="1"/>
    <col min="9" max="30" width="7.5" customWidth="1"/>
  </cols>
  <sheetData>
    <row r="1" spans="1:18" ht="27" thickTop="1" thickBot="1" x14ac:dyDescent="0.5">
      <c r="A1" s="182" t="s">
        <v>7</v>
      </c>
      <c r="B1" s="183"/>
      <c r="C1" s="182" t="s">
        <v>9</v>
      </c>
      <c r="D1" s="184" t="s">
        <v>218</v>
      </c>
      <c r="E1" s="182" t="s">
        <v>204</v>
      </c>
      <c r="F1" s="184" t="s">
        <v>220</v>
      </c>
      <c r="H1" s="611" t="s">
        <v>221</v>
      </c>
      <c r="I1" s="612"/>
      <c r="J1" s="613"/>
      <c r="K1" s="185"/>
      <c r="L1" s="186"/>
      <c r="M1" s="186"/>
      <c r="N1" s="186"/>
      <c r="O1" s="186"/>
      <c r="P1" s="186"/>
      <c r="Q1" s="186"/>
      <c r="R1" s="186"/>
    </row>
    <row r="2" spans="1:18" ht="17.25" customHeight="1" thickTop="1" thickBot="1" x14ac:dyDescent="0.5">
      <c r="A2" s="187" t="s">
        <v>164</v>
      </c>
      <c r="B2" s="37">
        <f>COUNTIF(I:AL,"구로")</f>
        <v>3</v>
      </c>
      <c r="C2" s="37" t="s">
        <v>222</v>
      </c>
      <c r="D2" s="37">
        <f>COUNTIF(I:AL,"고영숙;")</f>
        <v>4</v>
      </c>
      <c r="E2" s="37" t="s">
        <v>233</v>
      </c>
      <c r="F2" s="188">
        <f>COUNTIF(I:AL,"이소영]")</f>
        <v>1</v>
      </c>
      <c r="G2" s="37"/>
      <c r="H2" s="189"/>
      <c r="I2" s="624">
        <v>1</v>
      </c>
      <c r="J2" s="625"/>
      <c r="K2" s="624">
        <v>2</v>
      </c>
      <c r="L2" s="625"/>
      <c r="M2" s="624">
        <v>3</v>
      </c>
      <c r="N2" s="625"/>
      <c r="O2" s="624">
        <v>4</v>
      </c>
      <c r="P2" s="625"/>
      <c r="Q2" s="624">
        <v>5</v>
      </c>
      <c r="R2" s="625"/>
    </row>
    <row r="3" spans="1:18" ht="17.5" customHeight="1" thickTop="1" thickBot="1" x14ac:dyDescent="0.5">
      <c r="A3" s="187" t="s">
        <v>203</v>
      </c>
      <c r="B3" s="37">
        <f>COUNTIF(I:AL,"우리인력")</f>
        <v>1</v>
      </c>
      <c r="C3" s="37" t="s">
        <v>235</v>
      </c>
      <c r="D3" s="37">
        <f>COUNTIF(I:AL,"김용;")</f>
        <v>3</v>
      </c>
      <c r="E3" s="37" t="s">
        <v>163</v>
      </c>
      <c r="F3" s="188">
        <f>COUNTIF(I:AL,"이말진]")</f>
        <v>0</v>
      </c>
      <c r="H3" s="190"/>
      <c r="I3" s="628" t="s">
        <v>198</v>
      </c>
      <c r="J3" s="629"/>
      <c r="K3" s="628" t="s">
        <v>199</v>
      </c>
      <c r="L3" s="629"/>
      <c r="M3" s="628" t="s">
        <v>202</v>
      </c>
      <c r="N3" s="629"/>
      <c r="O3" s="628" t="s">
        <v>200</v>
      </c>
      <c r="P3" s="629"/>
      <c r="Q3" s="628" t="s">
        <v>201</v>
      </c>
      <c r="R3" s="629"/>
    </row>
    <row r="4" spans="1:18" ht="17.25" customHeight="1" thickTop="1" x14ac:dyDescent="0.45">
      <c r="A4" s="187" t="s">
        <v>168</v>
      </c>
      <c r="B4" s="37">
        <f>COUNTIF(I:AL,"박사랑")</f>
        <v>3</v>
      </c>
      <c r="C4" s="37" t="s">
        <v>237</v>
      </c>
      <c r="D4" s="37">
        <f>COUNTIF(I:AL,"윤분숙;")</f>
        <v>4</v>
      </c>
      <c r="E4" s="37" t="s">
        <v>173</v>
      </c>
      <c r="F4" s="188">
        <f>COUNTIF(I:AL,"변이서]")</f>
        <v>0</v>
      </c>
      <c r="H4" s="614">
        <v>10</v>
      </c>
      <c r="I4" s="251"/>
      <c r="J4" s="278"/>
      <c r="K4" s="251" t="s">
        <v>203</v>
      </c>
      <c r="L4" s="278"/>
      <c r="M4" s="251"/>
      <c r="N4" s="278"/>
      <c r="O4" s="640" t="s">
        <v>307</v>
      </c>
      <c r="P4" s="641"/>
      <c r="Q4" s="251"/>
      <c r="R4" s="278"/>
    </row>
    <row r="5" spans="1:18" ht="17.25" customHeight="1" thickBot="1" x14ac:dyDescent="0.5">
      <c r="A5" s="187" t="s">
        <v>233</v>
      </c>
      <c r="B5" s="37">
        <f>COUNTIF(I:AL,"이소영")</f>
        <v>7</v>
      </c>
      <c r="C5" s="37" t="s">
        <v>159</v>
      </c>
      <c r="D5" s="37">
        <f>COUNTIF(I:AL,"최임이;")</f>
        <v>0</v>
      </c>
      <c r="E5" s="37"/>
      <c r="F5" s="188"/>
      <c r="H5" s="610"/>
      <c r="I5" s="253"/>
      <c r="J5" s="252"/>
      <c r="K5" s="253"/>
      <c r="L5" s="252"/>
      <c r="M5" s="253"/>
      <c r="N5" s="252"/>
      <c r="O5" s="642"/>
      <c r="P5" s="643"/>
      <c r="Q5" s="253"/>
      <c r="R5" s="252"/>
    </row>
    <row r="6" spans="1:18" ht="17.25" customHeight="1" thickTop="1" x14ac:dyDescent="0.45">
      <c r="A6" s="187" t="s">
        <v>236</v>
      </c>
      <c r="B6" s="37">
        <f>COUNTIF(I:AL,"임하린")</f>
        <v>2</v>
      </c>
      <c r="C6" s="37" t="s">
        <v>163</v>
      </c>
      <c r="D6" s="37">
        <f>COUNTIF(I:AL,"이말진;")</f>
        <v>2</v>
      </c>
      <c r="E6" s="37"/>
      <c r="F6" s="188"/>
      <c r="H6" s="609">
        <v>11</v>
      </c>
      <c r="I6" s="249"/>
      <c r="J6" s="254"/>
      <c r="K6" s="249"/>
      <c r="L6" s="254"/>
      <c r="M6" s="249"/>
      <c r="N6" s="254"/>
      <c r="O6" s="642"/>
      <c r="P6" s="643"/>
      <c r="Q6" s="249"/>
      <c r="R6" s="254"/>
    </row>
    <row r="7" spans="1:18" ht="17.25" customHeight="1" thickBot="1" x14ac:dyDescent="0.5">
      <c r="A7" s="187" t="s">
        <v>241</v>
      </c>
      <c r="B7" s="37">
        <f>COUNTIF(I:AL,"정지원")</f>
        <v>3</v>
      </c>
      <c r="C7" s="37" t="s">
        <v>207</v>
      </c>
      <c r="D7" s="37">
        <f>COUNTIF(I:AL,"김인애;")</f>
        <v>1</v>
      </c>
      <c r="E7" s="37"/>
      <c r="F7" s="188"/>
      <c r="H7" s="610"/>
      <c r="I7" s="253"/>
      <c r="J7" s="252"/>
      <c r="K7" s="253"/>
      <c r="L7" s="252"/>
      <c r="M7" s="253"/>
      <c r="N7" s="252"/>
      <c r="O7" s="642"/>
      <c r="P7" s="643"/>
      <c r="Q7" s="253"/>
      <c r="R7" s="252"/>
    </row>
    <row r="8" spans="1:18" ht="17.25" customHeight="1" thickTop="1" x14ac:dyDescent="0.45">
      <c r="A8" s="187" t="s">
        <v>238</v>
      </c>
      <c r="B8" s="37">
        <f>COUNTIF(I:AL,"이기찬")</f>
        <v>3</v>
      </c>
      <c r="C8" s="37" t="s">
        <v>206</v>
      </c>
      <c r="D8" s="37">
        <f>COUNTIF(I:AL,"석경남;")</f>
        <v>3</v>
      </c>
      <c r="E8" s="37"/>
      <c r="F8" s="188"/>
      <c r="H8" s="609">
        <v>12</v>
      </c>
      <c r="I8" s="249"/>
      <c r="J8" s="254"/>
      <c r="K8" s="249"/>
      <c r="L8" s="254"/>
      <c r="M8" s="249"/>
      <c r="N8" s="254"/>
      <c r="O8" s="642"/>
      <c r="P8" s="643"/>
      <c r="Q8" s="249"/>
      <c r="R8" s="254"/>
    </row>
    <row r="9" spans="1:18" ht="17.25" customHeight="1" thickBot="1" x14ac:dyDescent="0.5">
      <c r="A9" s="187" t="s">
        <v>231</v>
      </c>
      <c r="B9" s="37">
        <f>COUNTIF(I:AL,"배이준")</f>
        <v>2</v>
      </c>
      <c r="C9" s="37" t="s">
        <v>210</v>
      </c>
      <c r="D9" s="37">
        <f>COUNTIF(I:AL,"박상혜;")</f>
        <v>2</v>
      </c>
      <c r="E9" s="37"/>
      <c r="F9" s="188"/>
      <c r="H9" s="610"/>
      <c r="I9" s="253"/>
      <c r="J9" s="252"/>
      <c r="K9" s="253"/>
      <c r="L9" s="252"/>
      <c r="M9" s="253"/>
      <c r="N9" s="252"/>
      <c r="O9" s="642"/>
      <c r="P9" s="643"/>
      <c r="Q9" s="253"/>
      <c r="R9" s="252"/>
    </row>
    <row r="10" spans="1:18" ht="17.25" customHeight="1" thickTop="1" x14ac:dyDescent="0.45">
      <c r="A10" s="187" t="s">
        <v>171</v>
      </c>
      <c r="B10" s="37">
        <f>COUNTIF(I:AL,"신정인")</f>
        <v>3</v>
      </c>
      <c r="C10" s="250" t="s">
        <v>234</v>
      </c>
      <c r="D10" s="250">
        <f>COUNTIF(I:AL,"신하린;")</f>
        <v>1</v>
      </c>
      <c r="E10" s="37"/>
      <c r="F10" s="188"/>
      <c r="H10" s="609">
        <v>1</v>
      </c>
      <c r="I10" s="249" t="s">
        <v>301</v>
      </c>
      <c r="J10" s="254"/>
      <c r="K10" s="249"/>
      <c r="L10" s="254"/>
      <c r="M10" s="249"/>
      <c r="N10" s="254"/>
      <c r="O10" s="642"/>
      <c r="P10" s="643"/>
      <c r="Q10" s="249"/>
      <c r="R10" s="254"/>
    </row>
    <row r="11" spans="1:18" ht="17.25" customHeight="1" thickBot="1" x14ac:dyDescent="0.5">
      <c r="A11" s="187" t="s">
        <v>173</v>
      </c>
      <c r="B11" s="37">
        <f>COUNTIF(I:AL,"변이서")</f>
        <v>2</v>
      </c>
      <c r="C11" s="250" t="s">
        <v>12</v>
      </c>
      <c r="D11" s="250">
        <f>COUNTIF(I:AL,"김혜정;")</f>
        <v>4</v>
      </c>
      <c r="E11" s="37"/>
      <c r="F11" s="188"/>
      <c r="H11" s="610"/>
      <c r="I11" s="253"/>
      <c r="J11" s="252"/>
      <c r="K11" s="253"/>
      <c r="L11" s="252"/>
      <c r="M11" s="253"/>
      <c r="N11" s="252"/>
      <c r="O11" s="642"/>
      <c r="P11" s="643"/>
      <c r="Q11" s="253"/>
      <c r="R11" s="252"/>
    </row>
    <row r="12" spans="1:18" ht="17.25" customHeight="1" thickTop="1" x14ac:dyDescent="0.45">
      <c r="A12" s="187" t="s">
        <v>242</v>
      </c>
      <c r="B12" s="37">
        <f>COUNTIF(I:AL,"박창민")</f>
        <v>3</v>
      </c>
      <c r="C12" s="37" t="s">
        <v>283</v>
      </c>
      <c r="D12" s="250">
        <f>COUNTIF(I:AL,"장유진;")</f>
        <v>0</v>
      </c>
      <c r="E12" s="37"/>
      <c r="F12" s="188"/>
      <c r="H12" s="609">
        <v>2</v>
      </c>
      <c r="I12" s="249" t="s">
        <v>301</v>
      </c>
      <c r="J12" s="254"/>
      <c r="K12" s="249"/>
      <c r="L12" s="254"/>
      <c r="M12" s="249"/>
      <c r="N12" s="254"/>
      <c r="O12" s="642"/>
      <c r="P12" s="643"/>
      <c r="Q12" s="249"/>
      <c r="R12" s="254"/>
    </row>
    <row r="13" spans="1:18" ht="17.25" customHeight="1" thickBot="1" x14ac:dyDescent="0.5">
      <c r="A13" s="187" t="s">
        <v>186</v>
      </c>
      <c r="B13" s="37">
        <f>COUNTIF(I:AL,"정윤후")</f>
        <v>1</v>
      </c>
      <c r="C13" s="37" t="s">
        <v>288</v>
      </c>
      <c r="D13" s="37">
        <f>COUNTIF(I:AL,"임인숙;")</f>
        <v>0</v>
      </c>
      <c r="E13" s="37"/>
      <c r="F13" s="188"/>
      <c r="H13" s="610"/>
      <c r="I13" s="253"/>
      <c r="J13" s="252"/>
      <c r="K13" s="253"/>
      <c r="L13" s="252"/>
      <c r="M13" s="253"/>
      <c r="N13" s="252"/>
      <c r="O13" s="642"/>
      <c r="P13" s="643"/>
      <c r="Q13" s="253"/>
      <c r="R13" s="252"/>
    </row>
    <row r="14" spans="1:18" ht="18" customHeight="1" thickTop="1" x14ac:dyDescent="0.45">
      <c r="A14" s="195" t="s">
        <v>169</v>
      </c>
      <c r="B14" s="37">
        <f>COUNTIF(I:AP,"이순희")</f>
        <v>1</v>
      </c>
      <c r="E14" s="37"/>
      <c r="F14" s="188"/>
      <c r="H14" s="609">
        <v>3</v>
      </c>
      <c r="I14" s="249" t="s">
        <v>171</v>
      </c>
      <c r="J14" s="254" t="s">
        <v>246</v>
      </c>
      <c r="K14" s="249" t="s">
        <v>20</v>
      </c>
      <c r="L14" s="254"/>
      <c r="M14" s="249"/>
      <c r="N14" s="254"/>
      <c r="O14" s="642"/>
      <c r="P14" s="643"/>
      <c r="Q14" s="249"/>
      <c r="R14" s="254"/>
    </row>
    <row r="15" spans="1:18" ht="18" customHeight="1" thickBot="1" x14ac:dyDescent="0.5">
      <c r="A15" s="195" t="s">
        <v>210</v>
      </c>
      <c r="B15" s="37">
        <f>COUNTIF(I:AP,"박상혜")</f>
        <v>4</v>
      </c>
      <c r="E15" s="37"/>
      <c r="F15" s="188"/>
      <c r="H15" s="610"/>
      <c r="I15" s="253" t="s">
        <v>263</v>
      </c>
      <c r="J15" s="252" t="s">
        <v>243</v>
      </c>
      <c r="K15" s="253"/>
      <c r="L15" s="252"/>
      <c r="M15" s="253"/>
      <c r="N15" s="252"/>
      <c r="O15" s="642"/>
      <c r="P15" s="643"/>
      <c r="Q15" s="253"/>
      <c r="R15" s="252"/>
    </row>
    <row r="16" spans="1:18" ht="17.25" customHeight="1" thickTop="1" x14ac:dyDescent="0.45">
      <c r="A16" s="195" t="s">
        <v>183</v>
      </c>
      <c r="B16" s="37">
        <f>COUNTIF(G:AJ,"윤미호")</f>
        <v>4</v>
      </c>
      <c r="E16" s="37"/>
      <c r="F16" s="188"/>
      <c r="H16" s="609">
        <v>4</v>
      </c>
      <c r="I16" s="249" t="s">
        <v>274</v>
      </c>
      <c r="J16" s="254" t="s">
        <v>277</v>
      </c>
      <c r="K16" s="249" t="s">
        <v>183</v>
      </c>
      <c r="L16" s="254" t="s">
        <v>287</v>
      </c>
      <c r="M16" s="249"/>
      <c r="N16" s="254"/>
      <c r="O16" s="642"/>
      <c r="P16" s="643"/>
      <c r="Q16" s="249"/>
      <c r="R16" s="254"/>
    </row>
    <row r="17" spans="1:22" ht="17.25" customHeight="1" thickBot="1" x14ac:dyDescent="0.5">
      <c r="A17" s="195" t="s">
        <v>280</v>
      </c>
      <c r="B17" s="37">
        <f>COUNTIF(G:AJ,"김견희")</f>
        <v>3</v>
      </c>
      <c r="E17" s="37"/>
      <c r="F17" s="188"/>
      <c r="H17" s="610"/>
      <c r="I17" s="253" t="s">
        <v>250</v>
      </c>
      <c r="J17" s="252" t="s">
        <v>267</v>
      </c>
      <c r="K17" s="253"/>
      <c r="L17" s="252"/>
      <c r="M17" s="253"/>
      <c r="N17" s="252"/>
      <c r="O17" s="642"/>
      <c r="P17" s="643"/>
      <c r="Q17" s="253"/>
      <c r="R17" s="252"/>
    </row>
    <row r="18" spans="1:22" ht="17.25" customHeight="1" thickTop="1" x14ac:dyDescent="0.45">
      <c r="A18" s="187" t="s">
        <v>295</v>
      </c>
      <c r="B18" s="37">
        <f>COUNTIF(G:AJ,"김하윤")</f>
        <v>1</v>
      </c>
      <c r="C18" s="191" t="s">
        <v>173</v>
      </c>
      <c r="D18" s="192">
        <f>COUNTIF(H$2:AN$1048576,"변이서;")</f>
        <v>2</v>
      </c>
      <c r="E18" s="37"/>
      <c r="F18" s="188"/>
      <c r="H18" s="609">
        <v>5</v>
      </c>
      <c r="I18" s="249"/>
      <c r="J18" s="254"/>
      <c r="K18" s="249"/>
      <c r="L18" s="254"/>
      <c r="M18" s="249"/>
      <c r="N18" s="254"/>
      <c r="O18" s="642"/>
      <c r="P18" s="643"/>
      <c r="Q18" s="249"/>
      <c r="R18" s="254"/>
    </row>
    <row r="19" spans="1:22" ht="17.25" customHeight="1" thickBot="1" x14ac:dyDescent="0.5">
      <c r="A19" s="187" t="s">
        <v>163</v>
      </c>
      <c r="B19" s="37">
        <f>COUNTIF(G:AJ,"이말진")</f>
        <v>2</v>
      </c>
      <c r="C19" s="193" t="s">
        <v>241</v>
      </c>
      <c r="D19" s="194">
        <f>COUNTIF(H$2:AN$1048576,"정지원;")</f>
        <v>4</v>
      </c>
      <c r="E19" s="37"/>
      <c r="F19" s="188"/>
      <c r="H19" s="610"/>
      <c r="I19" s="253"/>
      <c r="J19" s="252"/>
      <c r="K19" s="253"/>
      <c r="L19" s="252"/>
      <c r="M19" s="253"/>
      <c r="N19" s="254"/>
      <c r="O19" s="642"/>
      <c r="P19" s="643"/>
      <c r="Q19" s="253"/>
      <c r="R19" s="252"/>
    </row>
    <row r="20" spans="1:22" ht="17.25" customHeight="1" thickTop="1" x14ac:dyDescent="0.45">
      <c r="A20" s="187" t="s">
        <v>298</v>
      </c>
      <c r="B20" s="37">
        <f>COUNTIF(G:AJ,"김지온")</f>
        <v>1</v>
      </c>
      <c r="C20" s="193" t="s">
        <v>168</v>
      </c>
      <c r="D20" s="194">
        <f>COUNTIF(H$2:AN$1048576,"박사랑;")</f>
        <v>3</v>
      </c>
      <c r="E20" s="37"/>
      <c r="F20" s="188"/>
      <c r="H20" s="609">
        <v>6</v>
      </c>
      <c r="I20" s="249" t="s">
        <v>309</v>
      </c>
      <c r="J20" s="254" t="s">
        <v>310</v>
      </c>
      <c r="K20" s="249"/>
      <c r="L20" s="254"/>
      <c r="M20" s="282"/>
      <c r="N20" s="278"/>
      <c r="O20" s="642"/>
      <c r="P20" s="643"/>
      <c r="Q20" s="282"/>
      <c r="R20" s="278"/>
    </row>
    <row r="21" spans="1:22" ht="16.5" customHeight="1" x14ac:dyDescent="0.45">
      <c r="A21" s="187" t="s">
        <v>301</v>
      </c>
      <c r="B21" s="37">
        <f>COUNTIF(G:AJ,"김미지")</f>
        <v>4</v>
      </c>
      <c r="C21" s="193" t="s">
        <v>295</v>
      </c>
      <c r="D21" s="194">
        <f>COUNTIF(H$2:AN$1048576,"김하윤;")</f>
        <v>3</v>
      </c>
      <c r="E21" s="37"/>
      <c r="F21" s="188"/>
      <c r="H21" s="609"/>
      <c r="I21" s="249" t="s">
        <v>308</v>
      </c>
      <c r="J21" s="254" t="s">
        <v>311</v>
      </c>
      <c r="K21" s="249"/>
      <c r="L21" s="254"/>
      <c r="M21" s="249"/>
      <c r="N21" s="254"/>
      <c r="O21" s="642"/>
      <c r="P21" s="643"/>
      <c r="Q21" s="283"/>
      <c r="R21" s="254"/>
    </row>
    <row r="22" spans="1:22" ht="16.5" customHeight="1" x14ac:dyDescent="0.45">
      <c r="A22" s="196"/>
      <c r="B22" s="37"/>
      <c r="C22" s="193" t="s">
        <v>298</v>
      </c>
      <c r="D22" s="194">
        <f>COUNTIF(H$2:AN$1048576,"김지온;")</f>
        <v>4</v>
      </c>
      <c r="E22" s="37"/>
      <c r="F22" s="188"/>
      <c r="H22" s="609"/>
      <c r="I22" s="283" t="s">
        <v>312</v>
      </c>
      <c r="J22" s="254" t="s">
        <v>313</v>
      </c>
      <c r="K22" s="249"/>
      <c r="L22" s="254"/>
      <c r="M22" s="249"/>
      <c r="N22" s="254"/>
      <c r="O22" s="642"/>
      <c r="P22" s="643"/>
      <c r="Q22" s="283"/>
      <c r="R22" s="254"/>
    </row>
    <row r="23" spans="1:22" ht="17.25" customHeight="1" thickBot="1" x14ac:dyDescent="0.5">
      <c r="A23" s="196"/>
      <c r="C23" s="193" t="s">
        <v>242</v>
      </c>
      <c r="D23" s="194">
        <f>COUNTIF(H:AN,"박창민;")</f>
        <v>2</v>
      </c>
      <c r="E23" s="37"/>
      <c r="F23" s="188"/>
      <c r="H23" s="610"/>
      <c r="I23" s="253"/>
      <c r="J23" s="252"/>
      <c r="K23" s="253"/>
      <c r="L23" s="252"/>
      <c r="M23" s="253"/>
      <c r="N23" s="252"/>
      <c r="O23" s="642"/>
      <c r="P23" s="643"/>
      <c r="Q23" s="284"/>
      <c r="R23" s="252"/>
    </row>
    <row r="24" spans="1:22" ht="18" customHeight="1" thickTop="1" x14ac:dyDescent="0.45">
      <c r="A24" s="285"/>
      <c r="B24" s="250"/>
      <c r="C24" s="294" t="s">
        <v>326</v>
      </c>
      <c r="D24" s="295">
        <f>COUNTIF(H:AN,"이기찬;")</f>
        <v>2</v>
      </c>
      <c r="E24" s="37"/>
      <c r="F24" s="188"/>
      <c r="H24" s="609">
        <v>7</v>
      </c>
      <c r="I24" s="249"/>
      <c r="J24" s="254"/>
      <c r="K24" s="249"/>
      <c r="L24" s="254"/>
      <c r="M24" s="249"/>
      <c r="N24" s="254"/>
      <c r="O24" s="642"/>
      <c r="P24" s="643"/>
      <c r="Q24" s="249"/>
      <c r="R24" s="254"/>
    </row>
    <row r="25" spans="1:22" ht="18" customHeight="1" thickBot="1" x14ac:dyDescent="0.5">
      <c r="A25" s="287"/>
      <c r="B25" s="288"/>
      <c r="C25" s="222"/>
      <c r="D25" s="223"/>
      <c r="E25" s="220"/>
      <c r="F25" s="221"/>
      <c r="H25" s="610"/>
      <c r="I25" s="253"/>
      <c r="J25" s="252"/>
      <c r="K25" s="253"/>
      <c r="L25" s="252"/>
      <c r="M25" s="253"/>
      <c r="N25" s="252"/>
      <c r="O25" s="644"/>
      <c r="P25" s="645"/>
      <c r="Q25" s="253"/>
      <c r="R25" s="252"/>
    </row>
    <row r="26" spans="1:22" ht="17.5" thickTop="1" x14ac:dyDescent="0.45">
      <c r="A26" s="37"/>
      <c r="B26" s="37"/>
      <c r="C26" s="37"/>
      <c r="D26" s="37"/>
      <c r="E26" s="37"/>
      <c r="F26" s="37"/>
    </row>
    <row r="27" spans="1:22" ht="17.5" thickBot="1" x14ac:dyDescent="0.5">
      <c r="A27" s="37"/>
      <c r="B27" s="37"/>
      <c r="C27" s="37"/>
      <c r="D27" s="37"/>
      <c r="E27" s="37"/>
      <c r="F27" s="37"/>
    </row>
    <row r="28" spans="1:22" ht="27" thickTop="1" thickBot="1" x14ac:dyDescent="0.5">
      <c r="A28" s="289"/>
      <c r="B28" s="250"/>
      <c r="C28" s="250"/>
      <c r="D28" s="250"/>
      <c r="E28" s="250"/>
      <c r="F28" s="290"/>
      <c r="H28" s="611" t="s">
        <v>254</v>
      </c>
      <c r="I28" s="612"/>
      <c r="J28" s="613"/>
      <c r="K28" s="185"/>
      <c r="L28" s="186"/>
      <c r="M28" s="186"/>
      <c r="N28" s="186"/>
      <c r="O28" s="186"/>
      <c r="P28" s="186"/>
      <c r="Q28" s="186"/>
      <c r="R28" s="186"/>
      <c r="S28" s="186"/>
      <c r="T28" s="186"/>
      <c r="U28" s="186"/>
      <c r="V28" s="186"/>
    </row>
    <row r="29" spans="1:22" ht="17.25" customHeight="1" thickTop="1" thickBot="1" x14ac:dyDescent="0.5">
      <c r="A29" s="250"/>
      <c r="B29" s="250"/>
      <c r="C29" s="250"/>
      <c r="D29" s="250"/>
      <c r="E29" s="250"/>
      <c r="F29" s="250"/>
      <c r="H29" s="189"/>
      <c r="I29" s="624">
        <v>6</v>
      </c>
      <c r="J29" s="625"/>
      <c r="K29" s="624">
        <v>7</v>
      </c>
      <c r="L29" s="625"/>
      <c r="M29" s="624">
        <v>8</v>
      </c>
      <c r="N29" s="625"/>
      <c r="O29" s="624">
        <v>9</v>
      </c>
      <c r="P29" s="625"/>
      <c r="Q29" s="624">
        <v>10</v>
      </c>
      <c r="R29" s="625"/>
      <c r="S29" s="624">
        <v>11</v>
      </c>
      <c r="T29" s="625"/>
      <c r="U29" s="624">
        <v>12</v>
      </c>
      <c r="V29" s="625"/>
    </row>
    <row r="30" spans="1:22" ht="17.5" customHeight="1" thickTop="1" thickBot="1" x14ac:dyDescent="0.5">
      <c r="A30" s="250"/>
      <c r="B30" s="250"/>
      <c r="C30" s="250"/>
      <c r="D30" s="250"/>
      <c r="E30" s="250"/>
      <c r="F30" s="250"/>
      <c r="H30" s="190"/>
      <c r="I30" s="626" t="s">
        <v>224</v>
      </c>
      <c r="J30" s="627"/>
      <c r="K30" s="626" t="s">
        <v>225</v>
      </c>
      <c r="L30" s="627"/>
      <c r="M30" s="626" t="s">
        <v>226</v>
      </c>
      <c r="N30" s="627"/>
      <c r="O30" s="626" t="s">
        <v>227</v>
      </c>
      <c r="P30" s="627"/>
      <c r="Q30" s="626" t="s">
        <v>228</v>
      </c>
      <c r="R30" s="627"/>
      <c r="S30" s="626" t="s">
        <v>229</v>
      </c>
      <c r="T30" s="627"/>
      <c r="U30" s="626" t="s">
        <v>230</v>
      </c>
      <c r="V30" s="627"/>
    </row>
    <row r="31" spans="1:22" ht="17.25" customHeight="1" thickTop="1" x14ac:dyDescent="0.45">
      <c r="A31" s="250"/>
      <c r="B31" s="250"/>
      <c r="C31" s="250"/>
      <c r="D31" s="250"/>
      <c r="E31" s="250"/>
      <c r="F31" s="250"/>
      <c r="H31" s="614">
        <v>10</v>
      </c>
      <c r="I31" s="249"/>
      <c r="J31" s="278"/>
      <c r="K31" s="251"/>
      <c r="L31" s="278"/>
      <c r="M31" s="249"/>
      <c r="N31" s="278"/>
      <c r="O31" s="251"/>
      <c r="P31" s="278"/>
      <c r="Q31" s="251"/>
      <c r="R31" s="278"/>
      <c r="S31" s="251"/>
      <c r="T31" s="278"/>
      <c r="U31" s="251"/>
      <c r="V31" s="278"/>
    </row>
    <row r="32" spans="1:22" ht="17.25" customHeight="1" thickBot="1" x14ac:dyDescent="0.5">
      <c r="A32" s="250"/>
      <c r="B32" s="250"/>
      <c r="C32" s="250"/>
      <c r="D32" s="250"/>
      <c r="E32" s="250"/>
      <c r="F32" s="250"/>
      <c r="H32" s="610"/>
      <c r="I32" s="253"/>
      <c r="J32" s="252"/>
      <c r="K32" s="253"/>
      <c r="L32" s="252"/>
      <c r="M32" s="253"/>
      <c r="N32" s="252"/>
      <c r="O32" s="253"/>
      <c r="P32" s="252"/>
      <c r="Q32" s="253"/>
      <c r="R32" s="252"/>
      <c r="S32" s="253"/>
      <c r="T32" s="252"/>
      <c r="U32" s="253"/>
      <c r="V32" s="252"/>
    </row>
    <row r="33" spans="1:22" ht="17.25" customHeight="1" thickTop="1" x14ac:dyDescent="0.45">
      <c r="A33" s="250"/>
      <c r="B33" s="250"/>
      <c r="C33" s="250"/>
      <c r="D33" s="250"/>
      <c r="E33" s="250"/>
      <c r="F33" s="250"/>
      <c r="H33" s="609">
        <v>11</v>
      </c>
      <c r="I33" s="249"/>
      <c r="J33" s="254"/>
      <c r="K33" s="249"/>
      <c r="L33" s="254"/>
      <c r="M33" s="249"/>
      <c r="N33" s="254"/>
      <c r="O33" s="249"/>
      <c r="P33" s="254"/>
      <c r="Q33" s="249"/>
      <c r="R33" s="254"/>
      <c r="S33" s="249" t="s">
        <v>163</v>
      </c>
      <c r="T33" s="254"/>
      <c r="U33" s="249"/>
      <c r="V33" s="254"/>
    </row>
    <row r="34" spans="1:22" ht="17.25" customHeight="1" thickBot="1" x14ac:dyDescent="0.5">
      <c r="A34" s="250"/>
      <c r="B34" s="250"/>
      <c r="C34" s="250"/>
      <c r="D34" s="250"/>
      <c r="E34" s="250"/>
      <c r="F34" s="250"/>
      <c r="H34" s="610"/>
      <c r="I34" s="253"/>
      <c r="J34" s="252"/>
      <c r="K34" s="253"/>
      <c r="L34" s="252"/>
      <c r="M34" s="253"/>
      <c r="N34" s="252"/>
      <c r="O34" s="253"/>
      <c r="P34" s="252"/>
      <c r="Q34" s="253"/>
      <c r="R34" s="252"/>
      <c r="S34" s="253"/>
      <c r="T34" s="252"/>
      <c r="U34" s="253"/>
      <c r="V34" s="252"/>
    </row>
    <row r="35" spans="1:22" ht="17.25" customHeight="1" thickTop="1" x14ac:dyDescent="0.45">
      <c r="A35" s="250"/>
      <c r="B35" s="250"/>
      <c r="C35" s="250"/>
      <c r="D35" s="250"/>
      <c r="E35" s="250"/>
      <c r="F35" s="250"/>
      <c r="H35" s="609">
        <v>12</v>
      </c>
      <c r="I35" s="249"/>
      <c r="J35" s="254"/>
      <c r="K35" s="249"/>
      <c r="L35" s="254"/>
      <c r="M35" s="249"/>
      <c r="N35" s="254"/>
      <c r="O35" s="249"/>
      <c r="P35" s="254"/>
      <c r="Q35" s="249"/>
      <c r="R35" s="254"/>
      <c r="S35" s="249" t="s">
        <v>163</v>
      </c>
      <c r="T35" s="254"/>
      <c r="U35" s="249"/>
      <c r="V35" s="254"/>
    </row>
    <row r="36" spans="1:22" ht="17.25" customHeight="1" thickBot="1" x14ac:dyDescent="0.5">
      <c r="A36" s="250"/>
      <c r="B36" s="250"/>
      <c r="C36" s="286"/>
      <c r="D36" s="286"/>
      <c r="E36" s="250"/>
      <c r="F36" s="250"/>
      <c r="H36" s="610"/>
      <c r="I36" s="253"/>
      <c r="J36" s="252"/>
      <c r="K36" s="253"/>
      <c r="L36" s="252"/>
      <c r="M36" s="253"/>
      <c r="N36" s="252"/>
      <c r="O36" s="253"/>
      <c r="P36" s="252"/>
      <c r="Q36" s="253"/>
      <c r="R36" s="252"/>
      <c r="S36" s="253"/>
      <c r="T36" s="252"/>
      <c r="U36" s="253"/>
      <c r="V36" s="252"/>
    </row>
    <row r="37" spans="1:22" ht="17.25" customHeight="1" thickTop="1" x14ac:dyDescent="0.45">
      <c r="A37" s="250"/>
      <c r="B37" s="250"/>
      <c r="C37" s="286"/>
      <c r="D37" s="286"/>
      <c r="E37" s="250"/>
      <c r="F37" s="250"/>
      <c r="H37" s="609">
        <v>1</v>
      </c>
      <c r="I37" s="249"/>
      <c r="J37" s="254"/>
      <c r="K37" s="249"/>
      <c r="L37" s="254"/>
      <c r="M37" s="249" t="s">
        <v>301</v>
      </c>
      <c r="N37" s="254"/>
      <c r="O37" s="249"/>
      <c r="P37" s="254"/>
      <c r="Q37" s="249"/>
      <c r="R37" s="254"/>
      <c r="S37" s="249" t="s">
        <v>298</v>
      </c>
      <c r="T37" s="254"/>
      <c r="U37" s="249"/>
      <c r="V37" s="254"/>
    </row>
    <row r="38" spans="1:22" ht="17.25" customHeight="1" thickBot="1" x14ac:dyDescent="0.5">
      <c r="A38" s="250"/>
      <c r="B38" s="250"/>
      <c r="C38" s="286"/>
      <c r="D38" s="286"/>
      <c r="E38" s="250"/>
      <c r="F38" s="250"/>
      <c r="H38" s="610"/>
      <c r="I38" s="253"/>
      <c r="J38" s="252"/>
      <c r="K38" s="253"/>
      <c r="L38" s="252"/>
      <c r="M38" s="253"/>
      <c r="N38" s="252"/>
      <c r="O38" s="253"/>
      <c r="P38" s="252"/>
      <c r="Q38" s="253"/>
      <c r="R38" s="252"/>
      <c r="S38" s="253"/>
      <c r="T38" s="252"/>
      <c r="U38" s="253"/>
      <c r="V38" s="252"/>
    </row>
    <row r="39" spans="1:22" ht="17.25" customHeight="1" thickTop="1" x14ac:dyDescent="0.45">
      <c r="A39" s="250"/>
      <c r="B39" s="250"/>
      <c r="C39" s="286"/>
      <c r="D39" s="286"/>
      <c r="E39" s="250"/>
      <c r="F39" s="250"/>
      <c r="H39" s="609">
        <v>2</v>
      </c>
      <c r="I39" s="249"/>
      <c r="J39" s="254"/>
      <c r="K39" s="249"/>
      <c r="L39" s="254"/>
      <c r="M39" s="249" t="s">
        <v>301</v>
      </c>
      <c r="N39" s="254"/>
      <c r="O39" s="249"/>
      <c r="P39" s="254"/>
      <c r="Q39" s="249"/>
      <c r="R39" s="254"/>
      <c r="S39" s="249" t="s">
        <v>295</v>
      </c>
      <c r="T39" s="254"/>
      <c r="U39" s="249"/>
      <c r="V39" s="254"/>
    </row>
    <row r="40" spans="1:22" ht="17.25" customHeight="1" thickBot="1" x14ac:dyDescent="0.5">
      <c r="A40" s="250"/>
      <c r="B40" s="250"/>
      <c r="C40" s="250"/>
      <c r="D40" s="250"/>
      <c r="E40" s="250"/>
      <c r="F40" s="250"/>
      <c r="H40" s="610"/>
      <c r="I40" s="253"/>
      <c r="J40" s="252"/>
      <c r="K40" s="253"/>
      <c r="L40" s="252"/>
      <c r="M40" s="253"/>
      <c r="N40" s="252"/>
      <c r="O40" s="253"/>
      <c r="P40" s="252"/>
      <c r="Q40" s="253"/>
      <c r="R40" s="252"/>
      <c r="S40" s="253"/>
      <c r="T40" s="252"/>
      <c r="U40" s="253"/>
      <c r="V40" s="252"/>
    </row>
    <row r="41" spans="1:22" ht="17.25" customHeight="1" thickTop="1" x14ac:dyDescent="0.45">
      <c r="A41" s="250"/>
      <c r="B41" s="250"/>
      <c r="C41" s="250"/>
      <c r="D41" s="250"/>
      <c r="E41" s="250"/>
      <c r="F41" s="250"/>
      <c r="H41" s="609">
        <v>3</v>
      </c>
      <c r="I41" s="249"/>
      <c r="J41" s="254"/>
      <c r="K41" s="249"/>
      <c r="L41" s="254"/>
      <c r="M41" s="249" t="s">
        <v>274</v>
      </c>
      <c r="N41" s="254" t="s">
        <v>273</v>
      </c>
      <c r="O41" s="249"/>
      <c r="P41" s="254"/>
      <c r="Q41" s="249" t="s">
        <v>125</v>
      </c>
      <c r="R41" s="254"/>
      <c r="S41" s="249" t="s">
        <v>186</v>
      </c>
      <c r="T41" s="254"/>
      <c r="U41" s="249"/>
      <c r="V41" s="254"/>
    </row>
    <row r="42" spans="1:22" ht="17.25" customHeight="1" thickBot="1" x14ac:dyDescent="0.5">
      <c r="A42" s="250"/>
      <c r="B42" s="250"/>
      <c r="C42" s="250"/>
      <c r="D42" s="250"/>
      <c r="E42" s="250"/>
      <c r="F42" s="250"/>
      <c r="H42" s="610"/>
      <c r="I42" s="253"/>
      <c r="J42" s="252"/>
      <c r="K42" s="253"/>
      <c r="L42" s="252"/>
      <c r="M42" s="253" t="s">
        <v>243</v>
      </c>
      <c r="N42" s="252" t="s">
        <v>267</v>
      </c>
      <c r="O42" s="253"/>
      <c r="P42" s="252"/>
      <c r="Q42" s="253"/>
      <c r="R42" s="252"/>
      <c r="S42" s="253"/>
      <c r="T42" s="252"/>
      <c r="U42" s="253"/>
      <c r="V42" s="252"/>
    </row>
    <row r="43" spans="1:22" ht="18" customHeight="1" thickTop="1" x14ac:dyDescent="0.45">
      <c r="A43" s="250"/>
      <c r="B43" s="250"/>
      <c r="C43" s="250"/>
      <c r="D43" s="250"/>
      <c r="E43" s="250"/>
      <c r="F43" s="250"/>
      <c r="H43" s="609">
        <v>4</v>
      </c>
      <c r="I43" s="249"/>
      <c r="J43" s="254"/>
      <c r="K43" s="249" t="s">
        <v>300</v>
      </c>
      <c r="L43" s="254" t="s">
        <v>260</v>
      </c>
      <c r="M43" s="249" t="s">
        <v>263</v>
      </c>
      <c r="N43" s="254" t="s">
        <v>246</v>
      </c>
      <c r="O43" s="249" t="s">
        <v>168</v>
      </c>
      <c r="P43" s="254"/>
      <c r="Q43" s="249" t="s">
        <v>132</v>
      </c>
      <c r="R43" s="254"/>
      <c r="S43" s="249" t="s">
        <v>74</v>
      </c>
      <c r="T43" s="254"/>
      <c r="U43" s="249"/>
      <c r="V43" s="254"/>
    </row>
    <row r="44" spans="1:22" ht="18" customHeight="1" thickBot="1" x14ac:dyDescent="0.5">
      <c r="A44" s="250"/>
      <c r="B44" s="250"/>
      <c r="C44" s="250"/>
      <c r="D44" s="250"/>
      <c r="E44" s="250"/>
      <c r="F44" s="250"/>
      <c r="H44" s="610"/>
      <c r="I44" s="253"/>
      <c r="J44" s="252"/>
      <c r="K44" s="253"/>
      <c r="L44" s="252"/>
      <c r="M44" s="253"/>
      <c r="N44" s="252"/>
      <c r="O44" s="253"/>
      <c r="P44" s="252"/>
      <c r="Q44" s="253"/>
      <c r="R44" s="252"/>
      <c r="S44" s="253"/>
      <c r="T44" s="252"/>
      <c r="U44" s="253"/>
      <c r="V44" s="252"/>
    </row>
    <row r="45" spans="1:22" ht="17.25" customHeight="1" thickTop="1" x14ac:dyDescent="0.45">
      <c r="A45" s="250"/>
      <c r="B45" s="286"/>
      <c r="C45" s="250"/>
      <c r="D45" s="250"/>
      <c r="E45" s="250"/>
      <c r="F45" s="250"/>
      <c r="H45" s="609">
        <v>5</v>
      </c>
      <c r="I45" s="249" t="s">
        <v>171</v>
      </c>
      <c r="J45" s="254"/>
      <c r="K45" s="249"/>
      <c r="L45" s="279"/>
      <c r="M45" s="249"/>
      <c r="N45" s="254"/>
      <c r="O45" s="249" t="s">
        <v>183</v>
      </c>
      <c r="P45" s="254" t="s">
        <v>287</v>
      </c>
      <c r="Q45" s="249"/>
      <c r="R45" s="254"/>
      <c r="S45" s="249" t="s">
        <v>269</v>
      </c>
      <c r="T45" s="254"/>
      <c r="U45" s="249"/>
      <c r="V45" s="254"/>
    </row>
    <row r="46" spans="1:22" ht="17.25" customHeight="1" thickBot="1" x14ac:dyDescent="0.5">
      <c r="A46" s="250"/>
      <c r="B46" s="250"/>
      <c r="C46" s="250"/>
      <c r="D46" s="250"/>
      <c r="E46" s="250"/>
      <c r="F46" s="250"/>
      <c r="H46" s="610"/>
      <c r="I46" s="253"/>
      <c r="J46" s="252"/>
      <c r="K46" s="280"/>
      <c r="L46" s="281"/>
      <c r="M46" s="253"/>
      <c r="N46" s="252"/>
      <c r="O46" s="253"/>
      <c r="P46" s="252"/>
      <c r="Q46" s="253"/>
      <c r="R46" s="252"/>
      <c r="S46" s="253"/>
      <c r="T46" s="252"/>
      <c r="U46" s="253"/>
      <c r="V46" s="252"/>
    </row>
    <row r="47" spans="1:22" ht="17.25" customHeight="1" thickTop="1" x14ac:dyDescent="0.45">
      <c r="A47" s="250"/>
      <c r="B47" s="250"/>
      <c r="C47" s="286"/>
      <c r="D47" s="286"/>
      <c r="E47" s="286"/>
      <c r="F47" s="250"/>
      <c r="H47" s="609">
        <v>6</v>
      </c>
      <c r="I47" s="249" t="s">
        <v>210</v>
      </c>
      <c r="J47" s="254"/>
      <c r="K47" s="249"/>
      <c r="L47" s="254"/>
      <c r="M47" s="249"/>
      <c r="N47" s="254"/>
      <c r="O47" s="249"/>
      <c r="P47" s="254"/>
      <c r="Q47" s="249"/>
      <c r="R47" s="254"/>
      <c r="S47" s="249"/>
      <c r="T47" s="254"/>
      <c r="U47" s="249"/>
      <c r="V47" s="254"/>
    </row>
    <row r="48" spans="1:22" ht="16.5" customHeight="1" x14ac:dyDescent="0.45">
      <c r="A48" s="250"/>
      <c r="B48" s="286"/>
      <c r="C48" s="286"/>
      <c r="D48" s="286"/>
      <c r="E48" s="286"/>
      <c r="F48" s="250"/>
      <c r="H48" s="609"/>
      <c r="I48" s="249"/>
      <c r="J48" s="254"/>
      <c r="K48" s="249"/>
      <c r="L48" s="254"/>
      <c r="M48" s="249"/>
      <c r="N48" s="254"/>
      <c r="O48" s="249"/>
      <c r="P48" s="254"/>
      <c r="Q48" s="249"/>
      <c r="R48" s="254"/>
      <c r="S48" s="249"/>
      <c r="T48" s="254"/>
      <c r="U48" s="249"/>
      <c r="V48" s="254"/>
    </row>
    <row r="49" spans="1:22" ht="16.5" customHeight="1" x14ac:dyDescent="0.45">
      <c r="A49" s="286"/>
      <c r="B49" s="286"/>
      <c r="C49" s="286"/>
      <c r="D49" s="286"/>
      <c r="E49" s="286"/>
      <c r="F49" s="250"/>
      <c r="H49" s="609"/>
      <c r="I49" s="249"/>
      <c r="J49" s="254"/>
      <c r="K49" s="249"/>
      <c r="L49" s="254"/>
      <c r="M49" s="249"/>
      <c r="N49" s="254"/>
      <c r="O49" s="249"/>
      <c r="P49" s="254"/>
      <c r="Q49" s="249"/>
      <c r="R49" s="254"/>
      <c r="S49" s="249"/>
      <c r="T49" s="254"/>
      <c r="U49" s="249"/>
      <c r="V49" s="254"/>
    </row>
    <row r="50" spans="1:22" ht="17.25" customHeight="1" thickBot="1" x14ac:dyDescent="0.5">
      <c r="A50" s="286"/>
      <c r="B50" s="286"/>
      <c r="C50" s="286"/>
      <c r="D50" s="286"/>
      <c r="E50" s="286"/>
      <c r="F50" s="250"/>
      <c r="H50" s="610"/>
      <c r="I50" s="253"/>
      <c r="J50" s="252"/>
      <c r="K50" s="253"/>
      <c r="L50" s="252"/>
      <c r="M50" s="253"/>
      <c r="N50" s="252"/>
      <c r="O50" s="253"/>
      <c r="P50" s="252"/>
      <c r="Q50" s="253"/>
      <c r="R50" s="252"/>
      <c r="S50" s="253"/>
      <c r="T50" s="252"/>
      <c r="U50" s="253"/>
      <c r="V50" s="252"/>
    </row>
    <row r="51" spans="1:22" ht="17.25" customHeight="1" thickTop="1" x14ac:dyDescent="0.45">
      <c r="A51" s="250"/>
      <c r="B51" s="250"/>
      <c r="C51" s="289"/>
      <c r="D51" s="290"/>
      <c r="E51" s="289"/>
      <c r="F51" s="250"/>
      <c r="H51" s="609">
        <v>7</v>
      </c>
      <c r="I51" s="249"/>
      <c r="J51" s="254"/>
      <c r="K51" s="249"/>
      <c r="L51" s="254"/>
      <c r="M51" s="249"/>
      <c r="N51" s="254"/>
      <c r="O51" s="249" t="s">
        <v>51</v>
      </c>
      <c r="P51" s="254"/>
      <c r="Q51" s="249"/>
      <c r="R51" s="254"/>
      <c r="S51" s="249"/>
      <c r="T51" s="254"/>
      <c r="U51" s="249"/>
      <c r="V51" s="254"/>
    </row>
    <row r="52" spans="1:22" ht="17.25" customHeight="1" thickBot="1" x14ac:dyDescent="0.5">
      <c r="A52" s="250"/>
      <c r="B52" s="250"/>
      <c r="C52" s="250"/>
      <c r="D52" s="250"/>
      <c r="E52" s="250"/>
      <c r="F52" s="286"/>
      <c r="H52" s="610"/>
      <c r="I52" s="253"/>
      <c r="J52" s="252"/>
      <c r="K52" s="253"/>
      <c r="L52" s="252"/>
      <c r="M52" s="253"/>
      <c r="N52" s="252"/>
      <c r="O52" s="253"/>
      <c r="P52" s="252"/>
      <c r="Q52" s="253"/>
      <c r="R52" s="252"/>
      <c r="S52" s="253"/>
      <c r="T52" s="252"/>
      <c r="U52" s="253"/>
      <c r="V52" s="252"/>
    </row>
    <row r="53" spans="1:22" ht="17.5" thickTop="1" x14ac:dyDescent="0.45">
      <c r="A53" s="286"/>
      <c r="B53" s="250"/>
      <c r="C53" s="250"/>
      <c r="D53" s="250"/>
      <c r="E53" s="250"/>
      <c r="F53" s="286"/>
      <c r="H53" s="112"/>
      <c r="I53" s="112"/>
      <c r="J53" s="112"/>
      <c r="K53" s="112"/>
      <c r="L53" s="112"/>
      <c r="M53" s="112"/>
      <c r="N53" s="112"/>
      <c r="O53" s="112"/>
      <c r="P53" s="112"/>
      <c r="Q53" s="112"/>
      <c r="R53" s="112"/>
      <c r="S53" s="112"/>
      <c r="T53" s="112"/>
      <c r="U53" s="112"/>
    </row>
    <row r="54" spans="1:22" x14ac:dyDescent="0.45">
      <c r="A54" s="286"/>
      <c r="B54" s="250"/>
      <c r="C54" s="250"/>
      <c r="D54" s="250"/>
      <c r="E54" s="250"/>
      <c r="F54" s="286"/>
    </row>
    <row r="55" spans="1:22" ht="17.5" thickBot="1" x14ac:dyDescent="0.5">
      <c r="A55" s="286"/>
      <c r="B55" s="250"/>
      <c r="C55" s="250"/>
      <c r="D55" s="250"/>
      <c r="E55" s="250"/>
      <c r="F55" s="286"/>
    </row>
    <row r="56" spans="1:22" ht="27" thickTop="1" thickBot="1" x14ac:dyDescent="0.5">
      <c r="A56" s="289"/>
      <c r="B56" s="250"/>
      <c r="C56" s="250"/>
      <c r="D56" s="250"/>
      <c r="E56" s="250"/>
      <c r="F56" s="290"/>
      <c r="H56" s="611" t="s">
        <v>258</v>
      </c>
      <c r="I56" s="612"/>
      <c r="J56" s="613"/>
      <c r="K56" s="185"/>
      <c r="L56" s="186"/>
      <c r="M56" s="186"/>
      <c r="N56" s="186"/>
      <c r="O56" s="186"/>
      <c r="P56" s="186"/>
      <c r="Q56" s="186"/>
      <c r="R56" s="186"/>
      <c r="S56" s="186"/>
      <c r="T56" s="186"/>
      <c r="U56" s="186"/>
      <c r="V56" s="186"/>
    </row>
    <row r="57" spans="1:22" ht="17.25" customHeight="1" thickTop="1" thickBot="1" x14ac:dyDescent="0.5">
      <c r="A57" s="250"/>
      <c r="B57" s="250"/>
      <c r="C57" s="250"/>
      <c r="D57" s="250"/>
      <c r="E57" s="250"/>
      <c r="F57" s="250"/>
      <c r="H57" s="189"/>
      <c r="I57" s="624">
        <v>13</v>
      </c>
      <c r="J57" s="625"/>
      <c r="K57" s="624">
        <v>14</v>
      </c>
      <c r="L57" s="625"/>
      <c r="M57" s="624">
        <v>15</v>
      </c>
      <c r="N57" s="625"/>
      <c r="O57" s="624">
        <v>16</v>
      </c>
      <c r="P57" s="625"/>
      <c r="Q57" s="624">
        <v>17</v>
      </c>
      <c r="R57" s="625"/>
      <c r="S57" s="624">
        <v>18</v>
      </c>
      <c r="T57" s="625"/>
      <c r="U57" s="624">
        <v>19</v>
      </c>
      <c r="V57" s="625"/>
    </row>
    <row r="58" spans="1:22" ht="17.5" customHeight="1" thickTop="1" thickBot="1" x14ac:dyDescent="0.5">
      <c r="A58" s="250"/>
      <c r="B58" s="250"/>
      <c r="C58" s="250"/>
      <c r="D58" s="250"/>
      <c r="E58" s="250"/>
      <c r="F58" s="250"/>
      <c r="H58" s="190"/>
      <c r="I58" s="626" t="s">
        <v>224</v>
      </c>
      <c r="J58" s="627"/>
      <c r="K58" s="626" t="s">
        <v>225</v>
      </c>
      <c r="L58" s="627"/>
      <c r="M58" s="626" t="s">
        <v>226</v>
      </c>
      <c r="N58" s="627"/>
      <c r="O58" s="626" t="s">
        <v>227</v>
      </c>
      <c r="P58" s="627"/>
      <c r="Q58" s="626" t="s">
        <v>228</v>
      </c>
      <c r="R58" s="627"/>
      <c r="S58" s="626" t="s">
        <v>229</v>
      </c>
      <c r="T58" s="627"/>
      <c r="U58" s="626" t="s">
        <v>230</v>
      </c>
      <c r="V58" s="627"/>
    </row>
    <row r="59" spans="1:22" ht="17.25" customHeight="1" thickTop="1" x14ac:dyDescent="0.45">
      <c r="A59" s="250"/>
      <c r="B59" s="250"/>
      <c r="C59" s="250"/>
      <c r="D59" s="250"/>
      <c r="E59" s="250"/>
      <c r="F59" s="250"/>
      <c r="H59" s="614">
        <v>10</v>
      </c>
      <c r="I59" s="204"/>
      <c r="J59" s="203"/>
      <c r="K59" s="202"/>
      <c r="L59" s="203"/>
      <c r="M59" s="202"/>
      <c r="N59" s="203"/>
      <c r="O59" s="251"/>
      <c r="P59" s="203"/>
      <c r="Q59" s="202"/>
      <c r="R59" s="203"/>
      <c r="S59" s="202"/>
      <c r="T59" s="205"/>
      <c r="U59" s="202"/>
      <c r="V59" s="203"/>
    </row>
    <row r="60" spans="1:22" ht="18" customHeight="1" thickBot="1" x14ac:dyDescent="0.5">
      <c r="A60" s="250"/>
      <c r="B60" s="250"/>
      <c r="C60" s="250"/>
      <c r="D60" s="250"/>
      <c r="E60" s="250"/>
      <c r="F60" s="250"/>
      <c r="H60" s="610"/>
      <c r="I60" s="207"/>
      <c r="J60" s="208"/>
      <c r="K60" s="207"/>
      <c r="L60" s="208"/>
      <c r="M60" s="207"/>
      <c r="N60" s="208"/>
      <c r="O60" s="207"/>
      <c r="P60" s="208"/>
      <c r="Q60" s="207"/>
      <c r="R60" s="208"/>
      <c r="S60" s="207"/>
      <c r="T60" s="208"/>
      <c r="U60" s="207"/>
      <c r="V60" s="208"/>
    </row>
    <row r="61" spans="1:22" ht="18" customHeight="1" thickTop="1" x14ac:dyDescent="0.45">
      <c r="A61" s="250"/>
      <c r="B61" s="250"/>
      <c r="C61" s="250"/>
      <c r="D61" s="250"/>
      <c r="E61" s="250"/>
      <c r="F61" s="250"/>
      <c r="H61" s="609">
        <v>11</v>
      </c>
      <c r="I61" s="211"/>
      <c r="J61" s="205"/>
      <c r="K61" s="204"/>
      <c r="L61" s="205"/>
      <c r="M61" s="249"/>
      <c r="N61" s="205"/>
      <c r="O61" s="204"/>
      <c r="P61" s="205"/>
      <c r="Q61" s="204"/>
      <c r="R61" s="205"/>
      <c r="S61" s="204"/>
      <c r="T61" s="205"/>
      <c r="U61" s="204"/>
      <c r="V61" s="205"/>
    </row>
    <row r="62" spans="1:22" ht="17.25" customHeight="1" thickBot="1" x14ac:dyDescent="0.5">
      <c r="A62" s="250"/>
      <c r="B62" s="250"/>
      <c r="C62" s="250"/>
      <c r="D62" s="250"/>
      <c r="E62" s="250"/>
      <c r="F62" s="250"/>
      <c r="H62" s="610"/>
      <c r="I62" s="207"/>
      <c r="J62" s="208"/>
      <c r="K62" s="207"/>
      <c r="L62" s="208"/>
      <c r="M62" s="207"/>
      <c r="N62" s="208"/>
      <c r="O62" s="207"/>
      <c r="P62" s="208"/>
      <c r="Q62" s="207"/>
      <c r="R62" s="208"/>
      <c r="S62" s="207"/>
      <c r="T62" s="208"/>
      <c r="U62" s="207"/>
      <c r="V62" s="208"/>
    </row>
    <row r="63" spans="1:22" ht="17.25" customHeight="1" thickTop="1" x14ac:dyDescent="0.45">
      <c r="A63" s="250"/>
      <c r="B63" s="250"/>
      <c r="C63" s="250"/>
      <c r="D63" s="250"/>
      <c r="E63" s="250"/>
      <c r="F63" s="250"/>
      <c r="H63" s="609">
        <v>12</v>
      </c>
      <c r="I63" s="204"/>
      <c r="J63" s="205"/>
      <c r="K63" s="204"/>
      <c r="L63" s="205"/>
      <c r="M63" s="204"/>
      <c r="N63" s="205"/>
      <c r="O63" s="204"/>
      <c r="P63" s="205"/>
      <c r="Q63" s="204"/>
      <c r="R63" s="205"/>
      <c r="S63" s="204"/>
      <c r="T63" s="205"/>
      <c r="U63" s="204"/>
      <c r="V63" s="205"/>
    </row>
    <row r="64" spans="1:22" ht="17.25" customHeight="1" thickBot="1" x14ac:dyDescent="0.5">
      <c r="A64" s="250"/>
      <c r="B64" s="250"/>
      <c r="C64" s="286"/>
      <c r="D64" s="286"/>
      <c r="E64" s="250"/>
      <c r="F64" s="250"/>
      <c r="H64" s="610"/>
      <c r="I64" s="207"/>
      <c r="J64" s="208"/>
      <c r="K64" s="207"/>
      <c r="L64" s="208"/>
      <c r="M64" s="207"/>
      <c r="N64" s="208"/>
      <c r="O64" s="207"/>
      <c r="P64" s="208"/>
      <c r="Q64" s="207"/>
      <c r="R64" s="208"/>
      <c r="S64" s="207"/>
      <c r="T64" s="208"/>
      <c r="U64" s="207"/>
      <c r="V64" s="208"/>
    </row>
    <row r="65" spans="1:22" ht="17.25" customHeight="1" thickTop="1" x14ac:dyDescent="0.45">
      <c r="A65" s="250"/>
      <c r="B65" s="250"/>
      <c r="C65" s="286"/>
      <c r="D65" s="286"/>
      <c r="E65" s="250"/>
      <c r="F65" s="250"/>
      <c r="H65" s="609">
        <v>1</v>
      </c>
      <c r="I65" s="204" t="s">
        <v>164</v>
      </c>
      <c r="J65" s="205"/>
      <c r="K65" s="204"/>
      <c r="L65" s="205"/>
      <c r="M65" s="204"/>
      <c r="N65" s="205"/>
      <c r="O65" s="249"/>
      <c r="P65" s="205"/>
      <c r="Q65" s="204"/>
      <c r="R65" s="205"/>
      <c r="S65" s="204"/>
      <c r="T65" s="205"/>
      <c r="U65" s="204"/>
      <c r="V65" s="205"/>
    </row>
    <row r="66" spans="1:22" ht="17.25" customHeight="1" thickBot="1" x14ac:dyDescent="0.5">
      <c r="A66" s="250"/>
      <c r="B66" s="250"/>
      <c r="C66" s="286"/>
      <c r="D66" s="286"/>
      <c r="E66" s="250"/>
      <c r="F66" s="250"/>
      <c r="H66" s="610"/>
      <c r="I66" s="207"/>
      <c r="J66" s="208"/>
      <c r="K66" s="207"/>
      <c r="L66" s="208"/>
      <c r="M66" s="207"/>
      <c r="N66" s="208"/>
      <c r="O66" s="207"/>
      <c r="P66" s="208"/>
      <c r="Q66" s="207"/>
      <c r="R66" s="208"/>
      <c r="S66" s="207"/>
      <c r="T66" s="208"/>
      <c r="U66" s="207"/>
      <c r="V66" s="208"/>
    </row>
    <row r="67" spans="1:22" ht="17.25" customHeight="1" thickTop="1" x14ac:dyDescent="0.45">
      <c r="A67" s="250"/>
      <c r="B67" s="250"/>
      <c r="C67" s="286"/>
      <c r="D67" s="286"/>
      <c r="E67" s="250"/>
      <c r="F67" s="250"/>
      <c r="H67" s="609">
        <v>2</v>
      </c>
      <c r="I67" s="204"/>
      <c r="J67" s="205"/>
      <c r="K67" s="204"/>
      <c r="L67" s="205"/>
      <c r="M67" s="204"/>
      <c r="N67" s="205"/>
      <c r="O67" s="204" t="s">
        <v>171</v>
      </c>
      <c r="P67" s="205"/>
      <c r="Q67" s="204"/>
      <c r="R67" s="205"/>
      <c r="S67" s="204"/>
      <c r="T67" s="205"/>
      <c r="U67" s="204"/>
      <c r="V67" s="205"/>
    </row>
    <row r="68" spans="1:22" ht="17.25" customHeight="1" thickBot="1" x14ac:dyDescent="0.5">
      <c r="A68" s="250"/>
      <c r="B68" s="250"/>
      <c r="C68" s="250"/>
      <c r="D68" s="250"/>
      <c r="E68" s="250"/>
      <c r="F68" s="250"/>
      <c r="H68" s="610"/>
      <c r="I68" s="207"/>
      <c r="J68" s="208"/>
      <c r="K68" s="207"/>
      <c r="L68" s="208"/>
      <c r="M68" s="207"/>
      <c r="N68" s="208"/>
      <c r="O68" s="207"/>
      <c r="P68" s="208"/>
      <c r="Q68" s="207"/>
      <c r="R68" s="208"/>
      <c r="S68" s="207"/>
      <c r="T68" s="208"/>
      <c r="U68" s="207"/>
      <c r="V68" s="208"/>
    </row>
    <row r="69" spans="1:22" ht="17.25" customHeight="1" thickTop="1" x14ac:dyDescent="0.45">
      <c r="A69" s="250"/>
      <c r="B69" s="250"/>
      <c r="C69" s="250"/>
      <c r="D69" s="250"/>
      <c r="E69" s="250"/>
      <c r="F69" s="250"/>
      <c r="H69" s="609">
        <v>3</v>
      </c>
      <c r="I69" s="204"/>
      <c r="J69" s="205"/>
      <c r="K69" s="249" t="s">
        <v>1</v>
      </c>
      <c r="L69" s="205"/>
      <c r="M69" s="249" t="s">
        <v>243</v>
      </c>
      <c r="N69" s="254" t="s">
        <v>267</v>
      </c>
      <c r="O69" s="249" t="s">
        <v>168</v>
      </c>
      <c r="P69" s="205"/>
      <c r="Q69" s="204" t="s">
        <v>125</v>
      </c>
      <c r="R69" s="205"/>
      <c r="S69" s="204"/>
      <c r="T69" s="205"/>
      <c r="U69" s="204"/>
      <c r="V69" s="205"/>
    </row>
    <row r="70" spans="1:22" ht="18" customHeight="1" thickBot="1" x14ac:dyDescent="0.5">
      <c r="A70" s="250"/>
      <c r="B70" s="250"/>
      <c r="C70" s="250"/>
      <c r="D70" s="250"/>
      <c r="E70" s="250"/>
      <c r="F70" s="250"/>
      <c r="H70" s="610"/>
      <c r="I70" s="207"/>
      <c r="J70" s="208"/>
      <c r="K70" s="207"/>
      <c r="L70" s="208"/>
      <c r="M70" s="253" t="s">
        <v>263</v>
      </c>
      <c r="N70" s="252" t="s">
        <v>246</v>
      </c>
      <c r="O70" s="207"/>
      <c r="P70" s="208"/>
      <c r="Q70" s="207"/>
      <c r="R70" s="208"/>
      <c r="S70" s="207"/>
      <c r="T70" s="208"/>
      <c r="U70" s="207"/>
      <c r="V70" s="208"/>
    </row>
    <row r="71" spans="1:22" ht="18" customHeight="1" thickTop="1" x14ac:dyDescent="0.45">
      <c r="A71" s="250"/>
      <c r="B71" s="250"/>
      <c r="C71" s="250"/>
      <c r="D71" s="250"/>
      <c r="E71" s="250"/>
      <c r="F71" s="250"/>
      <c r="H71" s="609">
        <v>4</v>
      </c>
      <c r="I71" s="204"/>
      <c r="J71" s="205"/>
      <c r="K71" s="249" t="s">
        <v>1</v>
      </c>
      <c r="L71" s="205"/>
      <c r="M71" s="249"/>
      <c r="N71" s="254"/>
      <c r="O71" s="204"/>
      <c r="P71" s="205"/>
      <c r="Q71" s="204" t="s">
        <v>132</v>
      </c>
      <c r="R71" s="205"/>
      <c r="S71" s="204"/>
      <c r="T71" s="205"/>
      <c r="U71" s="204"/>
      <c r="V71" s="205"/>
    </row>
    <row r="72" spans="1:22" ht="17.25" customHeight="1" thickBot="1" x14ac:dyDescent="0.5">
      <c r="A72" s="250"/>
      <c r="B72" s="250"/>
      <c r="C72" s="250"/>
      <c r="D72" s="250"/>
      <c r="E72" s="250"/>
      <c r="F72" s="250"/>
      <c r="H72" s="610"/>
      <c r="I72" s="207"/>
      <c r="J72" s="208"/>
      <c r="K72" s="207"/>
      <c r="L72" s="208"/>
      <c r="M72" s="207"/>
      <c r="N72" s="208"/>
      <c r="O72" s="207"/>
      <c r="P72" s="208"/>
      <c r="Q72" s="207"/>
      <c r="R72" s="208"/>
      <c r="S72" s="207"/>
      <c r="T72" s="208"/>
      <c r="U72" s="207"/>
      <c r="V72" s="208"/>
    </row>
    <row r="73" spans="1:22" ht="17.25" customHeight="1" thickTop="1" x14ac:dyDescent="0.45">
      <c r="A73" s="250"/>
      <c r="B73" s="286"/>
      <c r="C73" s="250"/>
      <c r="D73" s="250"/>
      <c r="E73" s="250"/>
      <c r="F73" s="250"/>
      <c r="H73" s="609">
        <v>5</v>
      </c>
      <c r="I73" s="204"/>
      <c r="J73" s="205"/>
      <c r="K73" s="204" t="s">
        <v>134</v>
      </c>
      <c r="L73" s="206"/>
      <c r="M73" s="204"/>
      <c r="N73" s="205"/>
      <c r="O73" s="204"/>
      <c r="P73" s="205"/>
      <c r="Q73" s="204"/>
      <c r="R73" s="205"/>
      <c r="S73" s="204"/>
      <c r="T73" s="205"/>
      <c r="U73" s="204"/>
      <c r="V73" s="205"/>
    </row>
    <row r="74" spans="1:22" ht="17.25" customHeight="1" thickBot="1" x14ac:dyDescent="0.5">
      <c r="A74" s="250"/>
      <c r="B74" s="250"/>
      <c r="C74" s="250"/>
      <c r="D74" s="250"/>
      <c r="E74" s="250"/>
      <c r="F74" s="250"/>
      <c r="H74" s="610"/>
      <c r="I74" s="207"/>
      <c r="J74" s="208"/>
      <c r="K74" s="215"/>
      <c r="L74" s="216"/>
      <c r="M74" s="207"/>
      <c r="N74" s="208"/>
      <c r="O74" s="207"/>
      <c r="P74" s="208"/>
      <c r="Q74" s="207"/>
      <c r="R74" s="208"/>
      <c r="S74" s="207"/>
      <c r="T74" s="208"/>
      <c r="U74" s="207"/>
      <c r="V74" s="208"/>
    </row>
    <row r="75" spans="1:22" ht="16.5" customHeight="1" thickTop="1" x14ac:dyDescent="0.45">
      <c r="A75" s="250"/>
      <c r="B75" s="250"/>
      <c r="C75" s="286"/>
      <c r="D75" s="286"/>
      <c r="E75" s="286"/>
      <c r="F75" s="250"/>
      <c r="H75" s="609">
        <v>6</v>
      </c>
      <c r="I75" s="204" t="s">
        <v>210</v>
      </c>
      <c r="J75" s="205"/>
      <c r="K75" s="249" t="s">
        <v>317</v>
      </c>
      <c r="L75" s="254" t="s">
        <v>306</v>
      </c>
      <c r="M75" s="204"/>
      <c r="N75" s="205"/>
      <c r="O75" s="204"/>
      <c r="P75" s="205"/>
      <c r="Q75" s="204"/>
      <c r="R75" s="205"/>
      <c r="S75" s="204"/>
      <c r="T75" s="205"/>
      <c r="U75" s="204"/>
      <c r="V75" s="205"/>
    </row>
    <row r="76" spans="1:22" ht="16.5" customHeight="1" x14ac:dyDescent="0.45">
      <c r="A76" s="250"/>
      <c r="B76" s="286"/>
      <c r="C76" s="286"/>
      <c r="D76" s="286"/>
      <c r="E76" s="286"/>
      <c r="F76" s="250"/>
      <c r="H76" s="609"/>
      <c r="I76" s="204"/>
      <c r="J76" s="205"/>
      <c r="K76" s="249" t="s">
        <v>318</v>
      </c>
      <c r="L76" s="254" t="s">
        <v>319</v>
      </c>
      <c r="M76" s="204"/>
      <c r="N76" s="205"/>
      <c r="O76" s="204"/>
      <c r="P76" s="205"/>
      <c r="Q76" s="204"/>
      <c r="R76" s="205"/>
      <c r="S76" s="204"/>
      <c r="T76" s="205"/>
      <c r="U76" s="204"/>
      <c r="V76" s="205"/>
    </row>
    <row r="77" spans="1:22" ht="17.25" customHeight="1" x14ac:dyDescent="0.45">
      <c r="A77" s="286"/>
      <c r="B77" s="286"/>
      <c r="C77" s="286"/>
      <c r="D77" s="286"/>
      <c r="E77" s="286"/>
      <c r="F77" s="250"/>
      <c r="H77" s="609"/>
      <c r="I77" s="204"/>
      <c r="J77" s="205"/>
      <c r="K77" s="283" t="s">
        <v>260</v>
      </c>
      <c r="L77" s="254" t="s">
        <v>300</v>
      </c>
      <c r="M77" s="204"/>
      <c r="N77" s="205"/>
      <c r="O77" s="204"/>
      <c r="P77" s="205"/>
      <c r="Q77" s="204"/>
      <c r="R77" s="205"/>
      <c r="S77" s="204"/>
      <c r="T77" s="205"/>
      <c r="U77" s="204"/>
      <c r="V77" s="205"/>
    </row>
    <row r="78" spans="1:22" ht="17.25" customHeight="1" thickBot="1" x14ac:dyDescent="0.5">
      <c r="A78" s="286"/>
      <c r="B78" s="286"/>
      <c r="C78" s="286"/>
      <c r="D78" s="286"/>
      <c r="E78" s="286"/>
      <c r="F78" s="250"/>
      <c r="H78" s="610"/>
      <c r="I78" s="207"/>
      <c r="J78" s="208"/>
      <c r="K78" s="207"/>
      <c r="L78" s="208"/>
      <c r="M78" s="207"/>
      <c r="N78" s="208"/>
      <c r="O78" s="207"/>
      <c r="P78" s="208"/>
      <c r="Q78" s="207"/>
      <c r="R78" s="208"/>
      <c r="S78" s="207"/>
      <c r="T78" s="208"/>
      <c r="U78" s="207"/>
      <c r="V78" s="208"/>
    </row>
    <row r="79" spans="1:22" ht="17.25" customHeight="1" thickTop="1" x14ac:dyDescent="0.45">
      <c r="A79" s="250"/>
      <c r="B79" s="250"/>
      <c r="C79" s="289"/>
      <c r="D79" s="290"/>
      <c r="E79" s="289"/>
      <c r="F79" s="250"/>
      <c r="H79" s="609">
        <v>7</v>
      </c>
      <c r="I79" s="204"/>
      <c r="J79" s="205"/>
      <c r="K79" s="204"/>
      <c r="L79" s="205"/>
      <c r="M79" s="204"/>
      <c r="N79" s="205"/>
      <c r="O79" s="204"/>
      <c r="P79" s="205"/>
      <c r="Q79" s="204"/>
      <c r="R79" s="205"/>
      <c r="S79" s="204"/>
      <c r="T79" s="205"/>
      <c r="U79" s="204"/>
      <c r="V79" s="205"/>
    </row>
    <row r="80" spans="1:22" ht="17.5" thickBot="1" x14ac:dyDescent="0.5">
      <c r="A80" s="250"/>
      <c r="B80" s="250"/>
      <c r="C80" s="250"/>
      <c r="D80" s="250"/>
      <c r="E80" s="250"/>
      <c r="F80" s="286"/>
      <c r="H80" s="610"/>
      <c r="I80" s="207"/>
      <c r="J80" s="208"/>
      <c r="K80" s="207"/>
      <c r="L80" s="208"/>
      <c r="M80" s="207"/>
      <c r="N80" s="208"/>
      <c r="O80" s="207"/>
      <c r="P80" s="208"/>
      <c r="Q80" s="207"/>
      <c r="R80" s="208"/>
      <c r="S80" s="207"/>
      <c r="T80" s="208"/>
      <c r="U80" s="207"/>
      <c r="V80" s="208"/>
    </row>
    <row r="81" spans="1:22" ht="17.5" thickTop="1" x14ac:dyDescent="0.45">
      <c r="A81" s="286"/>
      <c r="B81" s="250"/>
      <c r="C81" s="250"/>
      <c r="D81" s="250"/>
      <c r="E81" s="250"/>
      <c r="F81" s="286"/>
      <c r="H81" s="112"/>
      <c r="I81" s="112"/>
      <c r="J81" s="112"/>
      <c r="K81" s="112"/>
      <c r="L81" s="112"/>
      <c r="M81" s="112"/>
      <c r="N81" s="112"/>
      <c r="O81" s="112"/>
      <c r="P81" s="112"/>
      <c r="Q81" s="112"/>
      <c r="R81" s="112"/>
      <c r="S81" s="112"/>
      <c r="T81" s="112"/>
      <c r="U81" s="112"/>
    </row>
    <row r="82" spans="1:22" x14ac:dyDescent="0.45">
      <c r="A82" s="286"/>
      <c r="B82" s="250"/>
      <c r="C82" s="250"/>
      <c r="D82" s="250"/>
      <c r="E82" s="250"/>
      <c r="F82" s="286"/>
      <c r="H82" s="112"/>
      <c r="I82" s="112"/>
      <c r="J82" s="112"/>
      <c r="K82" s="112"/>
      <c r="L82" s="112"/>
      <c r="M82" s="112"/>
      <c r="N82" s="112"/>
      <c r="O82" s="112"/>
      <c r="P82" s="112"/>
      <c r="Q82" s="112"/>
      <c r="R82" s="112"/>
      <c r="S82" s="112"/>
      <c r="T82" s="112"/>
      <c r="U82" s="112"/>
    </row>
    <row r="83" spans="1:22" ht="17.5" thickBot="1" x14ac:dyDescent="0.5">
      <c r="A83" s="286"/>
      <c r="B83" s="250"/>
      <c r="C83" s="250"/>
      <c r="D83" s="250"/>
      <c r="E83" s="250"/>
      <c r="F83" s="286"/>
    </row>
    <row r="84" spans="1:22" ht="27" thickTop="1" thickBot="1" x14ac:dyDescent="0.5">
      <c r="A84" s="289"/>
      <c r="B84" s="250"/>
      <c r="C84" s="250"/>
      <c r="D84" s="250"/>
      <c r="E84" s="250"/>
      <c r="F84" s="290"/>
      <c r="H84" s="611" t="s">
        <v>261</v>
      </c>
      <c r="I84" s="612"/>
      <c r="J84" s="613"/>
      <c r="K84" s="185"/>
      <c r="L84" s="186"/>
      <c r="M84" s="186"/>
      <c r="N84" s="186"/>
      <c r="O84" s="186"/>
      <c r="P84" s="186"/>
    </row>
    <row r="85" spans="1:22" ht="17.25" customHeight="1" thickTop="1" thickBot="1" x14ac:dyDescent="0.5">
      <c r="A85" s="250"/>
      <c r="B85" s="250"/>
      <c r="C85" s="250"/>
      <c r="D85" s="250"/>
      <c r="E85" s="250"/>
      <c r="F85" s="250"/>
      <c r="H85" s="189"/>
      <c r="I85" s="624">
        <v>20</v>
      </c>
      <c r="J85" s="625"/>
      <c r="K85" s="624">
        <v>21</v>
      </c>
      <c r="L85" s="625"/>
      <c r="M85" s="624">
        <v>22</v>
      </c>
      <c r="N85" s="625"/>
      <c r="O85" s="624">
        <v>23</v>
      </c>
      <c r="P85" s="625"/>
      <c r="Q85" s="624">
        <v>24</v>
      </c>
      <c r="R85" s="625"/>
      <c r="S85" s="624">
        <v>25</v>
      </c>
      <c r="T85" s="625"/>
      <c r="U85" s="624">
        <v>26</v>
      </c>
      <c r="V85" s="625"/>
    </row>
    <row r="86" spans="1:22" ht="17.5" customHeight="1" thickTop="1" thickBot="1" x14ac:dyDescent="0.5">
      <c r="A86" s="250"/>
      <c r="B86" s="250"/>
      <c r="C86" s="250"/>
      <c r="D86" s="250"/>
      <c r="E86" s="250"/>
      <c r="F86" s="250"/>
      <c r="H86" s="190"/>
      <c r="I86" s="628" t="s">
        <v>224</v>
      </c>
      <c r="J86" s="629"/>
      <c r="K86" s="628" t="s">
        <v>225</v>
      </c>
      <c r="L86" s="629"/>
      <c r="M86" s="628" t="s">
        <v>226</v>
      </c>
      <c r="N86" s="629"/>
      <c r="O86" s="628" t="s">
        <v>227</v>
      </c>
      <c r="P86" s="629"/>
      <c r="Q86" s="628" t="s">
        <v>202</v>
      </c>
      <c r="R86" s="629"/>
      <c r="S86" s="628" t="s">
        <v>200</v>
      </c>
      <c r="T86" s="629"/>
      <c r="U86" s="628" t="s">
        <v>201</v>
      </c>
      <c r="V86" s="629"/>
    </row>
    <row r="87" spans="1:22" ht="17.25" customHeight="1" thickTop="1" x14ac:dyDescent="0.45">
      <c r="A87" s="250"/>
      <c r="B87" s="250"/>
      <c r="C87" s="250"/>
      <c r="D87" s="250"/>
      <c r="E87" s="250"/>
      <c r="F87" s="250"/>
      <c r="H87" s="614">
        <v>10</v>
      </c>
      <c r="I87" s="37"/>
      <c r="J87" s="203"/>
      <c r="K87" s="37"/>
      <c r="L87" s="203"/>
      <c r="M87" s="202"/>
      <c r="N87" s="203"/>
      <c r="O87" s="202"/>
      <c r="P87" s="203"/>
      <c r="Q87" s="202"/>
      <c r="R87" s="203"/>
      <c r="S87" s="202"/>
      <c r="T87" s="203"/>
      <c r="U87" s="202"/>
      <c r="V87" s="203"/>
    </row>
    <row r="88" spans="1:22" ht="17.25" customHeight="1" thickBot="1" x14ac:dyDescent="0.5">
      <c r="A88" s="250"/>
      <c r="B88" s="250"/>
      <c r="C88" s="250"/>
      <c r="D88" s="250"/>
      <c r="E88" s="250"/>
      <c r="F88" s="250"/>
      <c r="H88" s="610"/>
      <c r="I88" s="207"/>
      <c r="J88" s="208"/>
      <c r="K88" s="207"/>
      <c r="L88" s="208"/>
      <c r="M88" s="207"/>
      <c r="N88" s="208"/>
      <c r="O88" s="207"/>
      <c r="P88" s="208"/>
      <c r="Q88" s="207"/>
      <c r="R88" s="208"/>
      <c r="S88" s="207"/>
      <c r="T88" s="208"/>
      <c r="U88" s="207"/>
      <c r="V88" s="208"/>
    </row>
    <row r="89" spans="1:22" ht="18" customHeight="1" thickTop="1" x14ac:dyDescent="0.45">
      <c r="A89" s="250"/>
      <c r="B89" s="250"/>
      <c r="C89" s="250"/>
      <c r="D89" s="250"/>
      <c r="E89" s="250"/>
      <c r="F89" s="250"/>
      <c r="H89" s="609">
        <v>11</v>
      </c>
      <c r="I89" s="204"/>
      <c r="J89" s="205"/>
      <c r="K89" s="204"/>
      <c r="L89" s="205"/>
      <c r="M89" s="204"/>
      <c r="N89" s="205"/>
      <c r="O89" s="204"/>
      <c r="P89" s="205"/>
      <c r="Q89" s="204"/>
      <c r="R89" s="205"/>
      <c r="S89" s="204"/>
      <c r="T89" s="205"/>
      <c r="U89" s="204"/>
      <c r="V89" s="205"/>
    </row>
    <row r="90" spans="1:22" ht="18" customHeight="1" thickBot="1" x14ac:dyDescent="0.5">
      <c r="A90" s="250"/>
      <c r="B90" s="250"/>
      <c r="C90" s="250"/>
      <c r="D90" s="250"/>
      <c r="E90" s="250"/>
      <c r="F90" s="250"/>
      <c r="H90" s="610"/>
      <c r="I90" s="207"/>
      <c r="J90" s="208"/>
      <c r="K90" s="207"/>
      <c r="L90" s="208"/>
      <c r="M90" s="207"/>
      <c r="N90" s="208"/>
      <c r="O90" s="207"/>
      <c r="P90" s="208"/>
      <c r="Q90" s="207"/>
      <c r="R90" s="208"/>
      <c r="S90" s="207"/>
      <c r="T90" s="208"/>
      <c r="U90" s="207"/>
      <c r="V90" s="208"/>
    </row>
    <row r="91" spans="1:22" ht="17.25" customHeight="1" thickTop="1" x14ac:dyDescent="0.45">
      <c r="A91" s="250"/>
      <c r="B91" s="250"/>
      <c r="C91" s="250"/>
      <c r="D91" s="250"/>
      <c r="E91" s="250"/>
      <c r="F91" s="250"/>
      <c r="H91" s="609">
        <v>12</v>
      </c>
      <c r="I91" s="204"/>
      <c r="J91" s="205"/>
      <c r="K91" s="204"/>
      <c r="L91" s="205"/>
      <c r="M91" s="204"/>
      <c r="N91" s="205"/>
      <c r="O91" s="204"/>
      <c r="P91" s="205"/>
      <c r="Q91" s="204"/>
      <c r="R91" s="205"/>
      <c r="S91" s="646" t="s">
        <v>333</v>
      </c>
      <c r="T91" s="647"/>
      <c r="U91" s="204"/>
      <c r="V91" s="205"/>
    </row>
    <row r="92" spans="1:22" ht="17.25" customHeight="1" thickBot="1" x14ac:dyDescent="0.5">
      <c r="A92" s="250"/>
      <c r="B92" s="250"/>
      <c r="C92" s="286"/>
      <c r="D92" s="286"/>
      <c r="E92" s="250"/>
      <c r="F92" s="250"/>
      <c r="H92" s="610"/>
      <c r="I92" s="207"/>
      <c r="J92" s="208"/>
      <c r="K92" s="207"/>
      <c r="L92" s="208"/>
      <c r="M92" s="207"/>
      <c r="N92" s="208"/>
      <c r="O92" s="207"/>
      <c r="P92" s="208"/>
      <c r="Q92" s="207"/>
      <c r="R92" s="208"/>
      <c r="S92" s="648"/>
      <c r="T92" s="649"/>
      <c r="U92" s="207"/>
      <c r="V92" s="208"/>
    </row>
    <row r="93" spans="1:22" ht="17.25" customHeight="1" thickTop="1" x14ac:dyDescent="0.45">
      <c r="A93" s="250"/>
      <c r="B93" s="250"/>
      <c r="C93" s="286"/>
      <c r="D93" s="286"/>
      <c r="E93" s="250"/>
      <c r="F93" s="250"/>
      <c r="H93" s="609">
        <v>1</v>
      </c>
      <c r="I93" s="204" t="s">
        <v>164</v>
      </c>
      <c r="J93" s="205"/>
      <c r="K93" s="204"/>
      <c r="L93" s="205"/>
      <c r="M93" s="245" t="s">
        <v>324</v>
      </c>
      <c r="N93" s="205"/>
      <c r="O93" s="249"/>
      <c r="P93" s="205"/>
      <c r="Q93" s="204"/>
      <c r="R93" s="205"/>
      <c r="S93" s="648"/>
      <c r="T93" s="649"/>
      <c r="U93" s="204"/>
      <c r="V93" s="205"/>
    </row>
    <row r="94" spans="1:22" ht="17.25" customHeight="1" thickBot="1" x14ac:dyDescent="0.5">
      <c r="A94" s="250"/>
      <c r="B94" s="250"/>
      <c r="C94" s="286"/>
      <c r="D94" s="286"/>
      <c r="E94" s="250"/>
      <c r="F94" s="250"/>
      <c r="H94" s="610"/>
      <c r="I94" s="207"/>
      <c r="J94" s="208"/>
      <c r="K94" s="207"/>
      <c r="L94" s="208"/>
      <c r="M94" s="207"/>
      <c r="N94" s="208"/>
      <c r="O94" s="207"/>
      <c r="P94" s="208"/>
      <c r="Q94" s="207"/>
      <c r="R94" s="208"/>
      <c r="S94" s="648"/>
      <c r="T94" s="649"/>
      <c r="U94" s="207"/>
      <c r="V94" s="208"/>
    </row>
    <row r="95" spans="1:22" ht="17.25" customHeight="1" thickTop="1" x14ac:dyDescent="0.45">
      <c r="A95" s="250"/>
      <c r="B95" s="250"/>
      <c r="C95" s="286"/>
      <c r="D95" s="286"/>
      <c r="E95" s="250"/>
      <c r="F95" s="250"/>
      <c r="H95" s="609">
        <v>2</v>
      </c>
      <c r="I95" s="204"/>
      <c r="J95" s="205"/>
      <c r="K95" s="204"/>
      <c r="L95" s="205"/>
      <c r="M95" s="204"/>
      <c r="N95" s="205"/>
      <c r="O95" s="204"/>
      <c r="P95" s="205"/>
      <c r="Q95" s="204"/>
      <c r="R95" s="205"/>
      <c r="S95" s="648"/>
      <c r="T95" s="649"/>
      <c r="U95" s="204"/>
      <c r="V95" s="205"/>
    </row>
    <row r="96" spans="1:22" ht="17.25" customHeight="1" thickBot="1" x14ac:dyDescent="0.5">
      <c r="A96" s="250"/>
      <c r="B96" s="250"/>
      <c r="C96" s="250"/>
      <c r="D96" s="250"/>
      <c r="E96" s="250"/>
      <c r="F96" s="250"/>
      <c r="H96" s="610"/>
      <c r="I96" s="207"/>
      <c r="J96" s="208"/>
      <c r="K96" s="207"/>
      <c r="L96" s="208"/>
      <c r="M96" s="207"/>
      <c r="N96" s="208"/>
      <c r="O96" s="207"/>
      <c r="P96" s="208"/>
      <c r="Q96" s="207"/>
      <c r="R96" s="208"/>
      <c r="S96" s="648"/>
      <c r="T96" s="649"/>
      <c r="U96" s="207"/>
      <c r="V96" s="208"/>
    </row>
    <row r="97" spans="1:22" ht="17.25" customHeight="1" thickTop="1" x14ac:dyDescent="0.45">
      <c r="A97" s="250"/>
      <c r="B97" s="250"/>
      <c r="C97" s="250"/>
      <c r="D97" s="250"/>
      <c r="E97" s="250"/>
      <c r="F97" s="250"/>
      <c r="H97" s="609">
        <v>3</v>
      </c>
      <c r="I97" s="204"/>
      <c r="J97" s="205"/>
      <c r="K97" s="204" t="s">
        <v>325</v>
      </c>
      <c r="L97" s="205"/>
      <c r="M97" s="249" t="s">
        <v>274</v>
      </c>
      <c r="N97" s="254" t="s">
        <v>267</v>
      </c>
      <c r="O97" s="204" t="s">
        <v>1</v>
      </c>
      <c r="P97" s="205"/>
      <c r="Q97" s="204" t="s">
        <v>125</v>
      </c>
      <c r="R97" s="205"/>
      <c r="S97" s="648"/>
      <c r="T97" s="649"/>
      <c r="U97" s="204"/>
      <c r="V97" s="205"/>
    </row>
    <row r="98" spans="1:22" ht="17.25" customHeight="1" thickBot="1" x14ac:dyDescent="0.5">
      <c r="A98" s="250"/>
      <c r="B98" s="250"/>
      <c r="C98" s="250"/>
      <c r="D98" s="250"/>
      <c r="E98" s="250"/>
      <c r="F98" s="250"/>
      <c r="H98" s="610"/>
      <c r="I98" s="207"/>
      <c r="J98" s="208"/>
      <c r="K98" s="207"/>
      <c r="L98" s="208"/>
      <c r="M98" s="253" t="s">
        <v>263</v>
      </c>
      <c r="N98" s="252" t="s">
        <v>246</v>
      </c>
      <c r="O98" s="207"/>
      <c r="P98" s="208"/>
      <c r="Q98" s="207"/>
      <c r="R98" s="208"/>
      <c r="S98" s="650"/>
      <c r="T98" s="651"/>
      <c r="U98" s="207"/>
      <c r="V98" s="208"/>
    </row>
    <row r="99" spans="1:22" ht="17.25" customHeight="1" thickTop="1" x14ac:dyDescent="0.45">
      <c r="A99" s="250"/>
      <c r="B99" s="250"/>
      <c r="C99" s="250"/>
      <c r="D99" s="250"/>
      <c r="E99" s="250"/>
      <c r="F99" s="250"/>
      <c r="H99" s="609">
        <v>4</v>
      </c>
      <c r="I99" s="204"/>
      <c r="J99" s="205"/>
      <c r="K99" s="204" t="s">
        <v>325</v>
      </c>
      <c r="L99" s="205"/>
      <c r="M99" s="204" t="s">
        <v>320</v>
      </c>
      <c r="N99" s="205"/>
      <c r="O99" s="204" t="s">
        <v>20</v>
      </c>
      <c r="P99" s="205"/>
      <c r="Q99" s="249" t="s">
        <v>132</v>
      </c>
      <c r="R99" s="205"/>
      <c r="S99" s="245" t="s">
        <v>332</v>
      </c>
      <c r="T99" s="205"/>
      <c r="U99" s="204"/>
      <c r="V99" s="205"/>
    </row>
    <row r="100" spans="1:22" ht="17.25" customHeight="1" thickBot="1" x14ac:dyDescent="0.5">
      <c r="A100" s="250"/>
      <c r="B100" s="250"/>
      <c r="C100" s="250"/>
      <c r="D100" s="250"/>
      <c r="E100" s="250"/>
      <c r="F100" s="250"/>
      <c r="H100" s="610"/>
      <c r="I100" s="207"/>
      <c r="J100" s="208"/>
      <c r="K100" s="207"/>
      <c r="L100" s="208"/>
      <c r="M100" s="207"/>
      <c r="N100" s="208"/>
      <c r="O100" s="207"/>
      <c r="P100" s="208"/>
      <c r="Q100" s="207"/>
      <c r="R100" s="208"/>
      <c r="S100" s="207"/>
      <c r="T100" s="208"/>
      <c r="U100" s="207"/>
      <c r="V100" s="208"/>
    </row>
    <row r="101" spans="1:22" ht="17.25" customHeight="1" thickTop="1" x14ac:dyDescent="0.45">
      <c r="A101" s="250"/>
      <c r="B101" s="286"/>
      <c r="C101" s="250"/>
      <c r="D101" s="250"/>
      <c r="E101" s="250"/>
      <c r="F101" s="250"/>
      <c r="H101" s="609">
        <v>5</v>
      </c>
      <c r="I101" s="204" t="s">
        <v>173</v>
      </c>
      <c r="J101" s="205"/>
      <c r="K101" s="204" t="s">
        <v>326</v>
      </c>
      <c r="L101" s="205"/>
      <c r="M101" s="204" t="s">
        <v>321</v>
      </c>
      <c r="N101" s="205"/>
      <c r="O101" s="204" t="s">
        <v>183</v>
      </c>
      <c r="P101" s="205" t="s">
        <v>287</v>
      </c>
      <c r="Q101" s="204"/>
      <c r="R101" s="205"/>
      <c r="S101" s="204" t="s">
        <v>74</v>
      </c>
      <c r="T101" s="205"/>
      <c r="U101" s="204"/>
      <c r="V101" s="205"/>
    </row>
    <row r="102" spans="1:22" ht="17.25" customHeight="1" thickBot="1" x14ac:dyDescent="0.5">
      <c r="A102" s="250"/>
      <c r="B102" s="250"/>
      <c r="C102" s="250"/>
      <c r="D102" s="250"/>
      <c r="E102" s="250"/>
      <c r="F102" s="250"/>
      <c r="H102" s="610"/>
      <c r="I102" s="207"/>
      <c r="J102" s="208"/>
      <c r="K102" s="207"/>
      <c r="L102" s="208"/>
      <c r="M102" s="207"/>
      <c r="N102" s="208"/>
      <c r="O102" s="207"/>
      <c r="P102" s="208"/>
      <c r="Q102" s="207"/>
      <c r="R102" s="208"/>
      <c r="S102" s="207"/>
      <c r="T102" s="208"/>
      <c r="U102" s="207"/>
      <c r="V102" s="208"/>
    </row>
    <row r="103" spans="1:22" ht="17.25" customHeight="1" thickTop="1" x14ac:dyDescent="0.45">
      <c r="A103" s="250"/>
      <c r="B103" s="250"/>
      <c r="C103" s="286"/>
      <c r="D103" s="286"/>
      <c r="E103" s="286"/>
      <c r="F103" s="250"/>
      <c r="H103" s="609">
        <v>6</v>
      </c>
      <c r="I103" s="204" t="s">
        <v>210</v>
      </c>
      <c r="J103" s="205"/>
      <c r="K103" s="249" t="s">
        <v>317</v>
      </c>
      <c r="L103" s="254" t="s">
        <v>306</v>
      </c>
      <c r="M103" s="249" t="s">
        <v>322</v>
      </c>
      <c r="N103" s="254" t="s">
        <v>323</v>
      </c>
      <c r="O103" s="204"/>
      <c r="P103" s="205"/>
      <c r="Q103" s="204" t="s">
        <v>169</v>
      </c>
      <c r="R103" s="205"/>
      <c r="S103" s="204"/>
      <c r="T103" s="205"/>
      <c r="U103" s="204"/>
      <c r="V103" s="205"/>
    </row>
    <row r="104" spans="1:22" ht="16.5" customHeight="1" x14ac:dyDescent="0.45">
      <c r="A104" s="250"/>
      <c r="B104" s="286"/>
      <c r="C104" s="286"/>
      <c r="D104" s="286"/>
      <c r="E104" s="286"/>
      <c r="F104" s="250"/>
      <c r="H104" s="609"/>
      <c r="I104" s="204"/>
      <c r="J104" s="205"/>
      <c r="K104" s="249" t="s">
        <v>318</v>
      </c>
      <c r="L104" s="254" t="s">
        <v>319</v>
      </c>
      <c r="M104" s="204"/>
      <c r="N104" s="205"/>
      <c r="O104" s="204"/>
      <c r="P104" s="205"/>
      <c r="Q104" s="204"/>
      <c r="R104" s="205"/>
      <c r="S104" s="204"/>
      <c r="T104" s="205"/>
      <c r="U104" s="204"/>
      <c r="V104" s="205"/>
    </row>
    <row r="105" spans="1:22" ht="16.5" customHeight="1" x14ac:dyDescent="0.45">
      <c r="A105" s="286"/>
      <c r="B105" s="286"/>
      <c r="C105" s="286"/>
      <c r="D105" s="286"/>
      <c r="E105" s="286"/>
      <c r="F105" s="250"/>
      <c r="H105" s="609"/>
      <c r="I105" s="204"/>
      <c r="J105" s="205"/>
      <c r="K105" s="283" t="s">
        <v>260</v>
      </c>
      <c r="L105" s="254" t="s">
        <v>300</v>
      </c>
      <c r="M105" s="204"/>
      <c r="N105" s="205"/>
      <c r="O105" s="204"/>
      <c r="P105" s="205"/>
      <c r="Q105" s="204"/>
      <c r="R105" s="205"/>
      <c r="S105" s="204"/>
      <c r="T105" s="205"/>
      <c r="U105" s="204"/>
      <c r="V105" s="205"/>
    </row>
    <row r="106" spans="1:22" ht="17.25" customHeight="1" thickBot="1" x14ac:dyDescent="0.5">
      <c r="A106" s="286"/>
      <c r="B106" s="250"/>
      <c r="C106" s="289"/>
      <c r="D106" s="290"/>
      <c r="E106" s="289"/>
      <c r="F106" s="250"/>
      <c r="H106" s="610"/>
      <c r="I106" s="207"/>
      <c r="J106" s="208"/>
      <c r="K106" s="207" t="s">
        <v>327</v>
      </c>
      <c r="L106" s="208"/>
      <c r="M106" s="207"/>
      <c r="N106" s="208"/>
      <c r="O106" s="207"/>
      <c r="P106" s="208"/>
      <c r="Q106" s="207"/>
      <c r="R106" s="208"/>
      <c r="S106" s="207"/>
      <c r="T106" s="208"/>
      <c r="U106" s="207"/>
      <c r="V106" s="208"/>
    </row>
    <row r="107" spans="1:22" ht="17.25" customHeight="1" thickTop="1" x14ac:dyDescent="0.45">
      <c r="A107" s="250"/>
      <c r="B107" s="250"/>
      <c r="C107" s="250"/>
      <c r="D107" s="250"/>
      <c r="E107" s="250"/>
      <c r="F107" s="250"/>
      <c r="H107" s="609">
        <v>7</v>
      </c>
      <c r="I107" s="204"/>
      <c r="J107" s="205"/>
      <c r="K107" s="204"/>
      <c r="L107" s="205"/>
      <c r="M107" s="204"/>
      <c r="N107" s="205"/>
      <c r="O107" s="204" t="s">
        <v>51</v>
      </c>
      <c r="P107" s="205"/>
      <c r="Q107" s="204"/>
      <c r="R107" s="205"/>
      <c r="S107" s="204"/>
      <c r="T107" s="205"/>
      <c r="U107" s="204"/>
      <c r="V107" s="205"/>
    </row>
    <row r="108" spans="1:22" ht="17.25" customHeight="1" thickBot="1" x14ac:dyDescent="0.5">
      <c r="A108" s="250"/>
      <c r="B108" s="250"/>
      <c r="C108" s="250"/>
      <c r="D108" s="250"/>
      <c r="E108" s="250"/>
      <c r="F108" s="286"/>
      <c r="H108" s="610"/>
      <c r="I108" s="207"/>
      <c r="J108" s="208"/>
      <c r="K108" s="207"/>
      <c r="L108" s="208"/>
      <c r="M108" s="207"/>
      <c r="N108" s="208"/>
      <c r="O108" s="207"/>
      <c r="P108" s="208"/>
      <c r="Q108" s="207"/>
      <c r="R108" s="208"/>
      <c r="S108" s="207"/>
      <c r="T108" s="208"/>
      <c r="U108" s="207"/>
      <c r="V108" s="208"/>
    </row>
    <row r="109" spans="1:22" ht="17.5" thickTop="1" x14ac:dyDescent="0.45">
      <c r="A109" s="286"/>
      <c r="B109" s="250"/>
      <c r="C109" s="250"/>
      <c r="D109" s="250"/>
      <c r="E109" s="250"/>
      <c r="F109" s="286"/>
    </row>
    <row r="110" spans="1:22" ht="14.25" customHeight="1" thickBot="1" x14ac:dyDescent="0.5">
      <c r="A110" s="286"/>
      <c r="B110" s="250"/>
      <c r="C110" s="250"/>
      <c r="D110" s="250"/>
      <c r="E110" s="250"/>
      <c r="F110" s="286"/>
    </row>
    <row r="111" spans="1:22" ht="27.75" customHeight="1" thickTop="1" thickBot="1" x14ac:dyDescent="0.5">
      <c r="A111" s="289"/>
      <c r="B111" s="250"/>
      <c r="C111" s="250"/>
      <c r="D111" s="250"/>
      <c r="E111" s="250"/>
      <c r="F111" s="290"/>
      <c r="H111" s="611" t="s">
        <v>264</v>
      </c>
      <c r="I111" s="612"/>
      <c r="J111" s="613"/>
      <c r="K111" s="185"/>
      <c r="L111" s="186"/>
      <c r="M111" s="186"/>
      <c r="N111" s="186"/>
      <c r="O111" s="186"/>
      <c r="P111" s="186"/>
    </row>
    <row r="112" spans="1:22" ht="17.25" customHeight="1" thickTop="1" thickBot="1" x14ac:dyDescent="0.5">
      <c r="A112" s="250"/>
      <c r="B112" s="250"/>
      <c r="C112" s="250"/>
      <c r="D112" s="250"/>
      <c r="E112" s="250"/>
      <c r="F112" s="250"/>
      <c r="H112" s="189"/>
      <c r="I112" s="624">
        <v>27</v>
      </c>
      <c r="J112" s="625"/>
      <c r="K112" s="624">
        <v>28</v>
      </c>
      <c r="L112" s="625"/>
      <c r="M112" s="630">
        <v>29</v>
      </c>
      <c r="N112" s="631"/>
      <c r="O112" s="630">
        <v>30</v>
      </c>
      <c r="P112" s="631"/>
      <c r="Q112" s="630">
        <v>31</v>
      </c>
      <c r="R112" s="631"/>
    </row>
    <row r="113" spans="1:18" ht="17.25" customHeight="1" thickTop="1" thickBot="1" x14ac:dyDescent="0.5">
      <c r="A113" s="250"/>
      <c r="B113" s="250"/>
      <c r="C113" s="250"/>
      <c r="D113" s="250"/>
      <c r="E113" s="250"/>
      <c r="F113" s="250"/>
      <c r="H113" s="190"/>
      <c r="I113" s="628" t="s">
        <v>224</v>
      </c>
      <c r="J113" s="629"/>
      <c r="K113" s="628" t="s">
        <v>225</v>
      </c>
      <c r="L113" s="629"/>
      <c r="M113" s="632" t="s">
        <v>226</v>
      </c>
      <c r="N113" s="633"/>
      <c r="O113" s="632" t="s">
        <v>227</v>
      </c>
      <c r="P113" s="633"/>
      <c r="Q113" s="632" t="s">
        <v>202</v>
      </c>
      <c r="R113" s="633"/>
    </row>
    <row r="114" spans="1:18" ht="17.25" customHeight="1" thickTop="1" x14ac:dyDescent="0.45">
      <c r="A114" s="250"/>
      <c r="B114" s="250"/>
      <c r="C114" s="250"/>
      <c r="D114" s="250"/>
      <c r="E114" s="250"/>
      <c r="F114" s="250"/>
      <c r="H114" s="614">
        <v>10</v>
      </c>
      <c r="I114" s="37"/>
      <c r="J114" s="203"/>
      <c r="K114" s="37"/>
      <c r="L114" s="203"/>
      <c r="M114" s="255"/>
      <c r="N114" s="256"/>
      <c r="O114" s="255"/>
      <c r="P114" s="256"/>
      <c r="Q114" s="255"/>
      <c r="R114" s="256"/>
    </row>
    <row r="115" spans="1:18" ht="17.25" customHeight="1" thickBot="1" x14ac:dyDescent="0.5">
      <c r="A115" s="250"/>
      <c r="B115" s="250"/>
      <c r="C115" s="250"/>
      <c r="D115" s="250"/>
      <c r="E115" s="250"/>
      <c r="F115" s="250"/>
      <c r="H115" s="610"/>
      <c r="I115" s="207"/>
      <c r="J115" s="208"/>
      <c r="K115" s="207"/>
      <c r="L115" s="208"/>
      <c r="M115" s="257"/>
      <c r="N115" s="258"/>
      <c r="O115" s="257"/>
      <c r="P115" s="258"/>
      <c r="Q115" s="257"/>
      <c r="R115" s="258"/>
    </row>
    <row r="116" spans="1:18" ht="17.25" customHeight="1" thickTop="1" x14ac:dyDescent="0.45">
      <c r="A116" s="250"/>
      <c r="B116" s="250"/>
      <c r="C116" s="250"/>
      <c r="D116" s="250"/>
      <c r="E116" s="250"/>
      <c r="F116" s="250"/>
      <c r="H116" s="609">
        <v>11</v>
      </c>
      <c r="I116" s="204"/>
      <c r="J116" s="205"/>
      <c r="K116" s="204"/>
      <c r="L116" s="205"/>
      <c r="M116" s="259"/>
      <c r="N116" s="260"/>
      <c r="O116" s="259"/>
      <c r="P116" s="260"/>
      <c r="Q116" s="259"/>
      <c r="R116" s="260"/>
    </row>
    <row r="117" spans="1:18" ht="17.25" customHeight="1" thickBot="1" x14ac:dyDescent="0.5">
      <c r="A117" s="250"/>
      <c r="B117" s="250"/>
      <c r="C117" s="250"/>
      <c r="D117" s="250"/>
      <c r="E117" s="250"/>
      <c r="F117" s="250"/>
      <c r="H117" s="610"/>
      <c r="I117" s="207"/>
      <c r="J117" s="208"/>
      <c r="K117" s="207"/>
      <c r="L117" s="208"/>
      <c r="M117" s="257"/>
      <c r="N117" s="258"/>
      <c r="O117" s="257"/>
      <c r="P117" s="258"/>
      <c r="Q117" s="257"/>
      <c r="R117" s="258"/>
    </row>
    <row r="118" spans="1:18" ht="17.25" customHeight="1" thickTop="1" x14ac:dyDescent="0.45">
      <c r="A118" s="250"/>
      <c r="B118" s="250"/>
      <c r="C118" s="250"/>
      <c r="D118" s="250"/>
      <c r="E118" s="250"/>
      <c r="F118" s="250"/>
      <c r="H118" s="609">
        <v>12</v>
      </c>
      <c r="I118" s="204"/>
      <c r="J118" s="205"/>
      <c r="K118" s="204"/>
      <c r="L118" s="205"/>
      <c r="M118" s="259"/>
      <c r="N118" s="260"/>
      <c r="O118" s="259"/>
      <c r="P118" s="260"/>
      <c r="Q118" s="259"/>
      <c r="R118" s="260"/>
    </row>
    <row r="119" spans="1:18" ht="17.25" customHeight="1" thickBot="1" x14ac:dyDescent="0.5">
      <c r="A119" s="250"/>
      <c r="B119" s="250"/>
      <c r="C119" s="286"/>
      <c r="D119" s="286"/>
      <c r="E119" s="250"/>
      <c r="F119" s="250"/>
      <c r="H119" s="610"/>
      <c r="I119" s="207"/>
      <c r="J119" s="208"/>
      <c r="K119" s="207"/>
      <c r="L119" s="208"/>
      <c r="M119" s="257"/>
      <c r="N119" s="258"/>
      <c r="O119" s="257"/>
      <c r="P119" s="258"/>
      <c r="Q119" s="257"/>
      <c r="R119" s="258"/>
    </row>
    <row r="120" spans="1:18" ht="17.25" customHeight="1" thickTop="1" x14ac:dyDescent="0.45">
      <c r="A120" s="250"/>
      <c r="B120" s="250"/>
      <c r="C120" s="286"/>
      <c r="D120" s="286"/>
      <c r="E120" s="250"/>
      <c r="F120" s="250"/>
      <c r="H120" s="609">
        <v>1</v>
      </c>
      <c r="I120" s="204" t="s">
        <v>164</v>
      </c>
      <c r="J120" s="205"/>
      <c r="K120" s="204"/>
      <c r="L120" s="205"/>
      <c r="M120" s="259"/>
      <c r="N120" s="260"/>
      <c r="O120" s="259"/>
      <c r="P120" s="260"/>
      <c r="Q120" s="259"/>
      <c r="R120" s="260"/>
    </row>
    <row r="121" spans="1:18" ht="17.25" customHeight="1" thickBot="1" x14ac:dyDescent="0.5">
      <c r="A121" s="250"/>
      <c r="B121" s="250"/>
      <c r="C121" s="286"/>
      <c r="D121" s="286"/>
      <c r="E121" s="250"/>
      <c r="F121" s="250"/>
      <c r="H121" s="610"/>
      <c r="I121" s="207"/>
      <c r="J121" s="208"/>
      <c r="K121" s="207"/>
      <c r="L121" s="208"/>
      <c r="M121" s="257"/>
      <c r="N121" s="258"/>
      <c r="O121" s="257"/>
      <c r="P121" s="258"/>
      <c r="Q121" s="257"/>
      <c r="R121" s="258"/>
    </row>
    <row r="122" spans="1:18" ht="17.25" customHeight="1" thickTop="1" x14ac:dyDescent="0.45">
      <c r="A122" s="250"/>
      <c r="B122" s="250"/>
      <c r="C122" s="286"/>
      <c r="D122" s="286"/>
      <c r="E122" s="250"/>
      <c r="F122" s="250"/>
      <c r="H122" s="609">
        <v>2</v>
      </c>
      <c r="I122" s="204"/>
      <c r="J122" s="205"/>
      <c r="K122" s="204"/>
      <c r="L122" s="205"/>
      <c r="M122" s="259"/>
      <c r="N122" s="260"/>
      <c r="O122" s="259"/>
      <c r="P122" s="260"/>
      <c r="Q122" s="259"/>
      <c r="R122" s="260"/>
    </row>
    <row r="123" spans="1:18" ht="17.25" customHeight="1" thickBot="1" x14ac:dyDescent="0.5">
      <c r="A123" s="250"/>
      <c r="B123" s="250"/>
      <c r="C123" s="250"/>
      <c r="D123" s="250"/>
      <c r="E123" s="250"/>
      <c r="F123" s="250"/>
      <c r="H123" s="610"/>
      <c r="I123" s="207"/>
      <c r="J123" s="208"/>
      <c r="K123" s="207"/>
      <c r="L123" s="208"/>
      <c r="M123" s="257"/>
      <c r="N123" s="258"/>
      <c r="O123" s="257"/>
      <c r="P123" s="258"/>
      <c r="Q123" s="257"/>
      <c r="R123" s="258"/>
    </row>
    <row r="124" spans="1:18" ht="17.25" customHeight="1" thickTop="1" x14ac:dyDescent="0.45">
      <c r="A124" s="250"/>
      <c r="B124" s="250"/>
      <c r="C124" s="250"/>
      <c r="D124" s="250"/>
      <c r="E124" s="250"/>
      <c r="F124" s="250"/>
      <c r="H124" s="609">
        <v>3</v>
      </c>
      <c r="I124" s="204"/>
      <c r="J124" s="205"/>
      <c r="K124" s="204" t="s">
        <v>1</v>
      </c>
      <c r="L124" s="205"/>
      <c r="M124" s="259"/>
      <c r="N124" s="260"/>
      <c r="O124" s="259"/>
      <c r="P124" s="260"/>
      <c r="Q124" s="259"/>
      <c r="R124" s="260"/>
    </row>
    <row r="125" spans="1:18" ht="17.25" customHeight="1" thickBot="1" x14ac:dyDescent="0.5">
      <c r="A125" s="250"/>
      <c r="B125" s="250"/>
      <c r="C125" s="250"/>
      <c r="D125" s="250"/>
      <c r="E125" s="250"/>
      <c r="F125" s="250"/>
      <c r="H125" s="610"/>
      <c r="I125" s="207"/>
      <c r="J125" s="208"/>
      <c r="K125" s="207"/>
      <c r="L125" s="208"/>
      <c r="M125" s="257"/>
      <c r="N125" s="258"/>
      <c r="O125" s="257"/>
      <c r="P125" s="258"/>
      <c r="Q125" s="257"/>
      <c r="R125" s="258"/>
    </row>
    <row r="126" spans="1:18" ht="17.25" customHeight="1" thickTop="1" x14ac:dyDescent="0.45">
      <c r="A126" s="250"/>
      <c r="B126" s="250"/>
      <c r="C126" s="250"/>
      <c r="D126" s="250"/>
      <c r="E126" s="250"/>
      <c r="F126" s="250"/>
      <c r="H126" s="609">
        <v>4</v>
      </c>
      <c r="I126" s="204" t="s">
        <v>168</v>
      </c>
      <c r="J126" s="205"/>
      <c r="K126" s="204" t="s">
        <v>1</v>
      </c>
      <c r="L126" s="205"/>
      <c r="M126" s="259"/>
      <c r="N126" s="260"/>
      <c r="O126" s="259"/>
      <c r="P126" s="260"/>
      <c r="Q126" s="259"/>
      <c r="R126" s="260"/>
    </row>
    <row r="127" spans="1:18" ht="17.25" customHeight="1" thickBot="1" x14ac:dyDescent="0.5">
      <c r="A127" s="250"/>
      <c r="B127" s="250"/>
      <c r="C127" s="250"/>
      <c r="D127" s="250"/>
      <c r="E127" s="250"/>
      <c r="F127" s="250"/>
      <c r="H127" s="610"/>
      <c r="I127" s="207"/>
      <c r="J127" s="208"/>
      <c r="K127" s="207"/>
      <c r="L127" s="208"/>
      <c r="M127" s="257"/>
      <c r="N127" s="258"/>
      <c r="O127" s="257"/>
      <c r="P127" s="258"/>
      <c r="Q127" s="257"/>
      <c r="R127" s="258"/>
    </row>
    <row r="128" spans="1:18" ht="17.25" customHeight="1" thickTop="1" x14ac:dyDescent="0.45">
      <c r="A128" s="250"/>
      <c r="B128" s="286"/>
      <c r="C128" s="250"/>
      <c r="D128" s="250"/>
      <c r="E128" s="250"/>
      <c r="F128" s="250"/>
      <c r="H128" s="609">
        <v>5</v>
      </c>
      <c r="I128" s="204"/>
      <c r="J128" s="205"/>
      <c r="K128" s="204" t="s">
        <v>134</v>
      </c>
      <c r="L128" s="205"/>
      <c r="M128" s="259"/>
      <c r="N128" s="260"/>
      <c r="O128" s="259"/>
      <c r="P128" s="260"/>
      <c r="Q128" s="259"/>
      <c r="R128" s="260"/>
    </row>
    <row r="129" spans="1:18" ht="17.25" customHeight="1" thickBot="1" x14ac:dyDescent="0.5">
      <c r="A129" s="250"/>
      <c r="B129" s="250"/>
      <c r="C129" s="250"/>
      <c r="D129" s="250"/>
      <c r="E129" s="250"/>
      <c r="F129" s="250"/>
      <c r="H129" s="610"/>
      <c r="I129" s="207"/>
      <c r="J129" s="208"/>
      <c r="K129" s="207"/>
      <c r="L129" s="208"/>
      <c r="M129" s="257"/>
      <c r="N129" s="258"/>
      <c r="O129" s="257"/>
      <c r="P129" s="258"/>
      <c r="Q129" s="257"/>
      <c r="R129" s="258"/>
    </row>
    <row r="130" spans="1:18" ht="17.25" customHeight="1" thickTop="1" x14ac:dyDescent="0.45">
      <c r="A130" s="250"/>
      <c r="B130" s="250"/>
      <c r="C130" s="286"/>
      <c r="D130" s="286"/>
      <c r="E130" s="286"/>
      <c r="F130" s="250"/>
      <c r="H130" s="609">
        <v>6</v>
      </c>
      <c r="I130" s="204" t="s">
        <v>210</v>
      </c>
      <c r="J130" s="205"/>
      <c r="K130" s="249" t="s">
        <v>253</v>
      </c>
      <c r="L130" s="254"/>
      <c r="M130" s="259"/>
      <c r="N130" s="260"/>
      <c r="O130" s="259"/>
      <c r="P130" s="260"/>
      <c r="Q130" s="259"/>
      <c r="R130" s="260"/>
    </row>
    <row r="131" spans="1:18" ht="17.25" customHeight="1" x14ac:dyDescent="0.45">
      <c r="A131" s="250"/>
      <c r="B131" s="286"/>
      <c r="C131" s="286"/>
      <c r="D131" s="286"/>
      <c r="E131" s="286"/>
      <c r="F131" s="250"/>
      <c r="H131" s="609"/>
      <c r="I131" s="204"/>
      <c r="J131" s="205"/>
      <c r="K131" s="249" t="s">
        <v>318</v>
      </c>
      <c r="L131" s="254" t="s">
        <v>319</v>
      </c>
      <c r="M131" s="259"/>
      <c r="N131" s="260"/>
      <c r="O131" s="259"/>
      <c r="P131" s="260"/>
      <c r="Q131" s="259"/>
      <c r="R131" s="260"/>
    </row>
    <row r="132" spans="1:18" ht="17.25" customHeight="1" x14ac:dyDescent="0.45">
      <c r="A132" s="286"/>
      <c r="B132" s="286"/>
      <c r="C132" s="286"/>
      <c r="D132" s="286"/>
      <c r="E132" s="286"/>
      <c r="F132" s="250"/>
      <c r="H132" s="609"/>
      <c r="I132" s="204"/>
      <c r="J132" s="205"/>
      <c r="K132" s="283" t="s">
        <v>260</v>
      </c>
      <c r="L132" s="254" t="s">
        <v>300</v>
      </c>
      <c r="M132" s="259"/>
      <c r="N132" s="260"/>
      <c r="O132" s="259"/>
      <c r="P132" s="260"/>
      <c r="Q132" s="259"/>
      <c r="R132" s="260"/>
    </row>
    <row r="133" spans="1:18" ht="17.25" customHeight="1" thickBot="1" x14ac:dyDescent="0.5">
      <c r="A133" s="286"/>
      <c r="F133" s="250"/>
      <c r="H133" s="610"/>
      <c r="I133" s="207"/>
      <c r="J133" s="208"/>
      <c r="K133" s="207"/>
      <c r="L133" s="208"/>
      <c r="M133" s="257"/>
      <c r="N133" s="258"/>
      <c r="O133" s="257"/>
      <c r="P133" s="258"/>
      <c r="Q133" s="257"/>
      <c r="R133" s="258"/>
    </row>
    <row r="134" spans="1:18" ht="17.25" customHeight="1" thickTop="1" x14ac:dyDescent="0.45">
      <c r="A134" s="250"/>
      <c r="F134" s="250"/>
      <c r="H134" s="609">
        <v>7</v>
      </c>
      <c r="I134" s="204" t="s">
        <v>137</v>
      </c>
      <c r="J134" s="205"/>
      <c r="K134" s="204"/>
      <c r="L134" s="205"/>
      <c r="M134" s="259"/>
      <c r="N134" s="260"/>
      <c r="O134" s="259"/>
      <c r="P134" s="260"/>
      <c r="Q134" s="259"/>
      <c r="R134" s="260"/>
    </row>
    <row r="135" spans="1:18" ht="17.25" customHeight="1" thickBot="1" x14ac:dyDescent="0.5">
      <c r="A135" s="250"/>
      <c r="F135" s="286"/>
      <c r="H135" s="610"/>
      <c r="I135" s="207"/>
      <c r="J135" s="208"/>
      <c r="K135" s="207"/>
      <c r="L135" s="208"/>
      <c r="M135" s="257"/>
      <c r="N135" s="258"/>
      <c r="O135" s="257"/>
      <c r="P135" s="258"/>
      <c r="Q135" s="257"/>
      <c r="R135" s="258"/>
    </row>
    <row r="136" spans="1:18" ht="17.5" thickTop="1" x14ac:dyDescent="0.45">
      <c r="A136" s="286"/>
      <c r="F136" s="286"/>
    </row>
    <row r="137" spans="1:18" x14ac:dyDescent="0.45">
      <c r="A137" s="286"/>
      <c r="F137" s="286"/>
    </row>
  </sheetData>
  <mergeCells count="119">
    <mergeCell ref="S91:T98"/>
    <mergeCell ref="I3:J3"/>
    <mergeCell ref="K3:L3"/>
    <mergeCell ref="M3:N3"/>
    <mergeCell ref="K29:L29"/>
    <mergeCell ref="M29:N29"/>
    <mergeCell ref="O3:P3"/>
    <mergeCell ref="Q3:R3"/>
    <mergeCell ref="H1:J1"/>
    <mergeCell ref="I2:J2"/>
    <mergeCell ref="K2:L2"/>
    <mergeCell ref="M2:N2"/>
    <mergeCell ref="O2:P2"/>
    <mergeCell ref="Q2:R2"/>
    <mergeCell ref="H4:H5"/>
    <mergeCell ref="O29:P29"/>
    <mergeCell ref="Q29:R29"/>
    <mergeCell ref="S29:T29"/>
    <mergeCell ref="H41:H42"/>
    <mergeCell ref="H43:H44"/>
    <mergeCell ref="H45:H46"/>
    <mergeCell ref="H47:H50"/>
    <mergeCell ref="H51:H52"/>
    <mergeCell ref="H56:J56"/>
    <mergeCell ref="U29:V29"/>
    <mergeCell ref="H16:H17"/>
    <mergeCell ref="H18:H19"/>
    <mergeCell ref="H20:H23"/>
    <mergeCell ref="H24:H25"/>
    <mergeCell ref="H28:J28"/>
    <mergeCell ref="I29:J29"/>
    <mergeCell ref="O4:P25"/>
    <mergeCell ref="H6:H7"/>
    <mergeCell ref="H8:H9"/>
    <mergeCell ref="H10:H11"/>
    <mergeCell ref="H12:H13"/>
    <mergeCell ref="H14:H15"/>
    <mergeCell ref="U30:V30"/>
    <mergeCell ref="H31:H32"/>
    <mergeCell ref="H33:H34"/>
    <mergeCell ref="H35:H36"/>
    <mergeCell ref="H37:H38"/>
    <mergeCell ref="H39:H40"/>
    <mergeCell ref="I30:J30"/>
    <mergeCell ref="K30:L30"/>
    <mergeCell ref="M30:N30"/>
    <mergeCell ref="O30:P30"/>
    <mergeCell ref="Q30:R30"/>
    <mergeCell ref="S30:T30"/>
    <mergeCell ref="U57:V57"/>
    <mergeCell ref="I58:J58"/>
    <mergeCell ref="K58:L58"/>
    <mergeCell ref="M58:N58"/>
    <mergeCell ref="O58:P58"/>
    <mergeCell ref="Q58:R58"/>
    <mergeCell ref="S58:T58"/>
    <mergeCell ref="U58:V58"/>
    <mergeCell ref="I57:J57"/>
    <mergeCell ref="K57:L57"/>
    <mergeCell ref="M57:N57"/>
    <mergeCell ref="O57:P57"/>
    <mergeCell ref="Q57:R57"/>
    <mergeCell ref="S57:T57"/>
    <mergeCell ref="H71:H72"/>
    <mergeCell ref="H73:H74"/>
    <mergeCell ref="H75:H78"/>
    <mergeCell ref="H79:H80"/>
    <mergeCell ref="H84:J84"/>
    <mergeCell ref="I85:J85"/>
    <mergeCell ref="H59:H60"/>
    <mergeCell ref="H61:H62"/>
    <mergeCell ref="H63:H64"/>
    <mergeCell ref="H65:H66"/>
    <mergeCell ref="H67:H68"/>
    <mergeCell ref="H69:H70"/>
    <mergeCell ref="K86:L86"/>
    <mergeCell ref="M86:N86"/>
    <mergeCell ref="O86:P86"/>
    <mergeCell ref="Q86:R86"/>
    <mergeCell ref="S86:T86"/>
    <mergeCell ref="U86:V86"/>
    <mergeCell ref="K85:L85"/>
    <mergeCell ref="M85:N85"/>
    <mergeCell ref="O85:P85"/>
    <mergeCell ref="Q85:R85"/>
    <mergeCell ref="S85:T85"/>
    <mergeCell ref="U85:V85"/>
    <mergeCell ref="H87:H88"/>
    <mergeCell ref="H89:H90"/>
    <mergeCell ref="H91:H92"/>
    <mergeCell ref="H93:H94"/>
    <mergeCell ref="H95:H96"/>
    <mergeCell ref="H97:H98"/>
    <mergeCell ref="H99:H100"/>
    <mergeCell ref="H101:H102"/>
    <mergeCell ref="I86:J86"/>
    <mergeCell ref="H134:H135"/>
    <mergeCell ref="O112:P112"/>
    <mergeCell ref="Q112:R112"/>
    <mergeCell ref="O113:P113"/>
    <mergeCell ref="Q113:R113"/>
    <mergeCell ref="I113:J113"/>
    <mergeCell ref="K113:L113"/>
    <mergeCell ref="M113:N113"/>
    <mergeCell ref="H114:H115"/>
    <mergeCell ref="H116:H117"/>
    <mergeCell ref="H118:H119"/>
    <mergeCell ref="H120:H121"/>
    <mergeCell ref="H122:H123"/>
    <mergeCell ref="H124:H125"/>
    <mergeCell ref="H103:H106"/>
    <mergeCell ref="H107:H108"/>
    <mergeCell ref="H111:J111"/>
    <mergeCell ref="I112:J112"/>
    <mergeCell ref="K112:L112"/>
    <mergeCell ref="M112:N112"/>
    <mergeCell ref="H126:H127"/>
    <mergeCell ref="H128:H129"/>
    <mergeCell ref="H130:H133"/>
  </mergeCells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E03AB-B27E-477D-9EF4-4AE9DC9600AF}">
  <sheetPr>
    <tabColor theme="9" tint="0.79998168889431442"/>
  </sheetPr>
  <dimension ref="A1:Z111"/>
  <sheetViews>
    <sheetView showGridLines="0" topLeftCell="A25" workbookViewId="0">
      <selection activeCell="AD14" sqref="AD14"/>
    </sheetView>
  </sheetViews>
  <sheetFormatPr defaultRowHeight="17" x14ac:dyDescent="0.45"/>
  <cols>
    <col min="1" max="1" width="8.58203125" customWidth="1"/>
    <col min="2" max="2" width="4.08203125" customWidth="1"/>
    <col min="3" max="3" width="8.58203125" customWidth="1"/>
    <col min="4" max="4" width="4.08203125" customWidth="1"/>
    <col min="5" max="5" width="8.58203125" customWidth="1"/>
    <col min="6" max="6" width="4.08203125" customWidth="1"/>
    <col min="7" max="7" width="2.58203125" customWidth="1"/>
    <col min="8" max="8" width="7.08203125" customWidth="1"/>
    <col min="9" max="26" width="7.5" customWidth="1"/>
  </cols>
  <sheetData>
    <row r="1" spans="1:26" ht="27" thickTop="1" thickBot="1" x14ac:dyDescent="0.5">
      <c r="A1" s="182" t="s">
        <v>7</v>
      </c>
      <c r="B1" s="183"/>
      <c r="C1" s="182" t="s">
        <v>9</v>
      </c>
      <c r="D1" s="184" t="s">
        <v>218</v>
      </c>
      <c r="E1" s="182" t="s">
        <v>204</v>
      </c>
      <c r="F1" s="184" t="s">
        <v>220</v>
      </c>
      <c r="H1" s="611" t="s">
        <v>221</v>
      </c>
      <c r="I1" s="612"/>
      <c r="J1" s="613"/>
      <c r="K1" s="185"/>
      <c r="L1" s="186"/>
      <c r="M1" s="186"/>
      <c r="N1" s="186"/>
      <c r="O1" s="186"/>
      <c r="P1" s="186"/>
      <c r="Q1" s="186"/>
      <c r="R1" s="186"/>
    </row>
    <row r="2" spans="1:26" ht="26.5" thickTop="1" thickBot="1" x14ac:dyDescent="0.5">
      <c r="A2" s="187" t="s">
        <v>164</v>
      </c>
      <c r="B2" s="37">
        <f>COUNTIF(I:AL,"구로")</f>
        <v>1</v>
      </c>
      <c r="C2" s="37" t="s">
        <v>222</v>
      </c>
      <c r="D2" s="37">
        <f>COUNTIF(I:AL,"고영숙;")</f>
        <v>3</v>
      </c>
      <c r="E2" s="37" t="s">
        <v>233</v>
      </c>
      <c r="F2" s="188">
        <f>COUNTIF(I:AL,"이소영]")</f>
        <v>3</v>
      </c>
      <c r="G2" s="37"/>
      <c r="H2" s="189"/>
      <c r="I2" s="624">
        <v>1</v>
      </c>
      <c r="J2" s="625"/>
      <c r="K2" s="624">
        <v>2</v>
      </c>
      <c r="L2" s="625"/>
      <c r="M2" s="624">
        <v>3</v>
      </c>
      <c r="N2" s="625"/>
      <c r="O2" s="624">
        <v>4</v>
      </c>
      <c r="P2" s="625"/>
      <c r="Q2" s="624">
        <v>5</v>
      </c>
      <c r="R2" s="625"/>
      <c r="S2" s="624">
        <v>6</v>
      </c>
      <c r="T2" s="625"/>
      <c r="U2" s="624">
        <v>7</v>
      </c>
      <c r="V2" s="625"/>
      <c r="W2" s="624">
        <v>8</v>
      </c>
      <c r="X2" s="625"/>
      <c r="Y2" s="624">
        <v>9</v>
      </c>
      <c r="Z2" s="625"/>
    </row>
    <row r="3" spans="1:26" ht="22" thickTop="1" thickBot="1" x14ac:dyDescent="0.5">
      <c r="A3" s="187" t="s">
        <v>203</v>
      </c>
      <c r="B3" s="37">
        <f>COUNTIF(I:AL,"우리인력")</f>
        <v>0</v>
      </c>
      <c r="C3" s="37" t="s">
        <v>235</v>
      </c>
      <c r="D3" s="37">
        <f>COUNTIF(I:AL,"김용;")</f>
        <v>3</v>
      </c>
      <c r="E3" s="37" t="s">
        <v>163</v>
      </c>
      <c r="F3" s="188">
        <f>COUNTIF(I:AL,"이말진]")</f>
        <v>0</v>
      </c>
      <c r="H3" s="190"/>
      <c r="I3" s="628" t="s">
        <v>200</v>
      </c>
      <c r="J3" s="629"/>
      <c r="K3" s="628" t="s">
        <v>201</v>
      </c>
      <c r="L3" s="629"/>
      <c r="M3" s="628" t="s">
        <v>196</v>
      </c>
      <c r="N3" s="629"/>
      <c r="O3" s="628" t="s">
        <v>197</v>
      </c>
      <c r="P3" s="629"/>
      <c r="Q3" s="628" t="s">
        <v>198</v>
      </c>
      <c r="R3" s="629"/>
      <c r="S3" s="626" t="s">
        <v>199</v>
      </c>
      <c r="T3" s="627"/>
      <c r="U3" s="626" t="s">
        <v>202</v>
      </c>
      <c r="V3" s="627"/>
      <c r="W3" s="626" t="s">
        <v>200</v>
      </c>
      <c r="X3" s="627"/>
      <c r="Y3" s="626" t="s">
        <v>201</v>
      </c>
      <c r="Z3" s="627"/>
    </row>
    <row r="4" spans="1:26" ht="17.25" customHeight="1" thickTop="1" x14ac:dyDescent="0.45">
      <c r="A4" s="187" t="s">
        <v>168</v>
      </c>
      <c r="B4" s="37">
        <f>COUNTIF(I:AL,"박사랑")</f>
        <v>3</v>
      </c>
      <c r="C4" s="37" t="s">
        <v>237</v>
      </c>
      <c r="D4" s="37">
        <f>COUNTIF(I:AL,"윤분숙;")</f>
        <v>3</v>
      </c>
      <c r="E4" s="37" t="s">
        <v>173</v>
      </c>
      <c r="F4" s="188">
        <f>COUNTIF(I:AL,"변이서]")</f>
        <v>0</v>
      </c>
      <c r="H4" s="614">
        <v>10</v>
      </c>
      <c r="I4" s="251"/>
      <c r="J4" s="278"/>
      <c r="K4" s="251"/>
      <c r="L4" s="278"/>
      <c r="M4" s="251"/>
      <c r="N4" s="278"/>
      <c r="O4" s="251"/>
      <c r="P4" s="278"/>
      <c r="Q4" s="251"/>
      <c r="R4" s="278"/>
      <c r="S4" s="251"/>
      <c r="T4" s="278"/>
      <c r="U4" s="251"/>
      <c r="V4" s="278"/>
      <c r="W4" s="251"/>
      <c r="X4" s="278"/>
      <c r="Y4" s="251"/>
      <c r="Z4" s="278"/>
    </row>
    <row r="5" spans="1:26" ht="17.25" customHeight="1" thickBot="1" x14ac:dyDescent="0.5">
      <c r="A5" s="187" t="s">
        <v>233</v>
      </c>
      <c r="B5" s="37">
        <f>COUNTIF(I:AL,"이소영")</f>
        <v>6</v>
      </c>
      <c r="C5" s="37" t="s">
        <v>159</v>
      </c>
      <c r="D5" s="37">
        <f>COUNTIF(I:AL,"최임이;")</f>
        <v>2</v>
      </c>
      <c r="E5" s="37"/>
      <c r="F5" s="188"/>
      <c r="H5" s="610"/>
      <c r="I5" s="253"/>
      <c r="J5" s="252"/>
      <c r="K5" s="253"/>
      <c r="L5" s="252"/>
      <c r="M5" s="253"/>
      <c r="N5" s="252"/>
      <c r="O5" s="253"/>
      <c r="P5" s="252"/>
      <c r="Q5" s="253"/>
      <c r="R5" s="252"/>
      <c r="S5" s="253"/>
      <c r="T5" s="252"/>
      <c r="U5" s="253"/>
      <c r="V5" s="252"/>
      <c r="W5" s="253"/>
      <c r="X5" s="252"/>
      <c r="Y5" s="253"/>
      <c r="Z5" s="252"/>
    </row>
    <row r="6" spans="1:26" ht="17.25" customHeight="1" thickTop="1" x14ac:dyDescent="0.45">
      <c r="A6" s="187" t="s">
        <v>236</v>
      </c>
      <c r="B6" s="37">
        <f>COUNTIF(I:AL,"임하린")</f>
        <v>4</v>
      </c>
      <c r="C6" s="37" t="s">
        <v>163</v>
      </c>
      <c r="D6" s="37">
        <f>COUNTIF(I:AL,"이말진;")</f>
        <v>0</v>
      </c>
      <c r="E6" s="37"/>
      <c r="F6" s="188"/>
      <c r="H6" s="609">
        <v>11</v>
      </c>
      <c r="I6" s="249"/>
      <c r="J6" s="254"/>
      <c r="K6" s="249"/>
      <c r="L6" s="254"/>
      <c r="M6" s="249"/>
      <c r="N6" s="254"/>
      <c r="O6" s="249"/>
      <c r="P6" s="254"/>
      <c r="Q6" s="249"/>
      <c r="R6" s="254"/>
      <c r="S6" s="249"/>
      <c r="T6" s="254"/>
      <c r="U6" s="249"/>
      <c r="V6" s="254"/>
      <c r="W6" s="249"/>
      <c r="X6" s="254"/>
      <c r="Y6" s="249"/>
      <c r="Z6" s="254"/>
    </row>
    <row r="7" spans="1:26" ht="17.25" customHeight="1" thickBot="1" x14ac:dyDescent="0.5">
      <c r="A7" s="187" t="s">
        <v>241</v>
      </c>
      <c r="B7" s="37">
        <f>COUNTIF(I:AL,"정지원")</f>
        <v>3</v>
      </c>
      <c r="C7" s="37" t="s">
        <v>207</v>
      </c>
      <c r="D7" s="37">
        <f>COUNTIF(I:AL,"김인애;")</f>
        <v>0</v>
      </c>
      <c r="E7" s="37"/>
      <c r="F7" s="188"/>
      <c r="H7" s="610"/>
      <c r="I7" s="253"/>
      <c r="J7" s="252"/>
      <c r="K7" s="253"/>
      <c r="L7" s="252"/>
      <c r="M7" s="253"/>
      <c r="N7" s="252"/>
      <c r="O7" s="253"/>
      <c r="P7" s="252"/>
      <c r="Q7" s="253"/>
      <c r="R7" s="252"/>
      <c r="S7" s="253"/>
      <c r="T7" s="252"/>
      <c r="U7" s="253"/>
      <c r="V7" s="252"/>
      <c r="W7" s="253"/>
      <c r="X7" s="252"/>
      <c r="Y7" s="253"/>
      <c r="Z7" s="252"/>
    </row>
    <row r="8" spans="1:26" ht="17.25" customHeight="1" thickTop="1" x14ac:dyDescent="0.45">
      <c r="A8" s="187" t="s">
        <v>238</v>
      </c>
      <c r="B8" s="37">
        <f>COUNTIF(I:AL,"이기찬")</f>
        <v>4</v>
      </c>
      <c r="C8" s="37" t="s">
        <v>206</v>
      </c>
      <c r="D8" s="37">
        <f>COUNTIF(I:AL,"석경남;")</f>
        <v>1</v>
      </c>
      <c r="E8" s="37"/>
      <c r="F8" s="188"/>
      <c r="H8" s="609">
        <v>12</v>
      </c>
      <c r="I8" s="249"/>
      <c r="J8" s="254"/>
      <c r="K8" s="249"/>
      <c r="L8" s="254"/>
      <c r="M8" s="249"/>
      <c r="N8" s="254"/>
      <c r="O8" s="249"/>
      <c r="P8" s="254"/>
      <c r="Q8" s="249"/>
      <c r="R8" s="254"/>
      <c r="S8" s="249"/>
      <c r="T8" s="254"/>
      <c r="U8" s="249"/>
      <c r="V8" s="254"/>
      <c r="W8" s="249"/>
      <c r="X8" s="254"/>
      <c r="Y8" s="249"/>
      <c r="Z8" s="254"/>
    </row>
    <row r="9" spans="1:26" ht="17.25" customHeight="1" thickBot="1" x14ac:dyDescent="0.5">
      <c r="A9" s="187" t="s">
        <v>231</v>
      </c>
      <c r="B9" s="37">
        <f>COUNTIF(I:AL,"배이준")</f>
        <v>4</v>
      </c>
      <c r="C9" s="37" t="s">
        <v>210</v>
      </c>
      <c r="D9" s="37">
        <f>COUNTIF(I:AL,"박상혜;")</f>
        <v>0</v>
      </c>
      <c r="E9" s="37"/>
      <c r="F9" s="188"/>
      <c r="H9" s="610"/>
      <c r="I9" s="253"/>
      <c r="J9" s="252"/>
      <c r="K9" s="253"/>
      <c r="L9" s="252"/>
      <c r="M9" s="253"/>
      <c r="N9" s="252"/>
      <c r="O9" s="253"/>
      <c r="P9" s="252"/>
      <c r="Q9" s="253"/>
      <c r="R9" s="252"/>
      <c r="S9" s="253"/>
      <c r="T9" s="252"/>
      <c r="U9" s="253"/>
      <c r="V9" s="252"/>
      <c r="W9" s="253"/>
      <c r="X9" s="252"/>
      <c r="Y9" s="253"/>
      <c r="Z9" s="252"/>
    </row>
    <row r="10" spans="1:26" ht="17.25" customHeight="1" thickTop="1" x14ac:dyDescent="0.45">
      <c r="A10" s="187" t="s">
        <v>171</v>
      </c>
      <c r="B10" s="37">
        <f>COUNTIF(I:AL,"신정인")</f>
        <v>0</v>
      </c>
      <c r="C10" s="250" t="s">
        <v>234</v>
      </c>
      <c r="D10" s="250">
        <f>COUNTIF(I:AL,"신하린;")</f>
        <v>3</v>
      </c>
      <c r="E10" s="37"/>
      <c r="F10" s="188"/>
      <c r="H10" s="609">
        <v>1</v>
      </c>
      <c r="I10" s="249"/>
      <c r="J10" s="254"/>
      <c r="K10" s="249"/>
      <c r="L10" s="254"/>
      <c r="M10" s="249" t="s">
        <v>164</v>
      </c>
      <c r="N10" s="254"/>
      <c r="O10" s="249"/>
      <c r="P10" s="254"/>
      <c r="Q10" s="249"/>
      <c r="R10" s="254"/>
      <c r="S10" s="249"/>
      <c r="T10" s="254"/>
      <c r="U10" s="249"/>
      <c r="V10" s="254"/>
      <c r="W10" s="249"/>
      <c r="X10" s="254"/>
      <c r="Y10" s="249"/>
      <c r="Z10" s="254"/>
    </row>
    <row r="11" spans="1:26" ht="17.25" customHeight="1" thickBot="1" x14ac:dyDescent="0.5">
      <c r="A11" s="187" t="s">
        <v>173</v>
      </c>
      <c r="B11" s="37">
        <f>COUNTIF(I:AL,"변이서")</f>
        <v>3</v>
      </c>
      <c r="C11" s="250" t="s">
        <v>12</v>
      </c>
      <c r="D11" s="250">
        <f>COUNTIF(I:AL,"김혜정;")</f>
        <v>0</v>
      </c>
      <c r="E11" s="37"/>
      <c r="F11" s="188"/>
      <c r="H11" s="610"/>
      <c r="I11" s="253"/>
      <c r="J11" s="252"/>
      <c r="K11" s="253"/>
      <c r="L11" s="252"/>
      <c r="M11" s="253"/>
      <c r="N11" s="252"/>
      <c r="O11" s="253"/>
      <c r="P11" s="252"/>
      <c r="Q11" s="253"/>
      <c r="R11" s="252"/>
      <c r="S11" s="253"/>
      <c r="T11" s="252"/>
      <c r="U11" s="253"/>
      <c r="V11" s="252"/>
      <c r="W11" s="253"/>
      <c r="X11" s="252"/>
      <c r="Y11" s="253"/>
      <c r="Z11" s="252"/>
    </row>
    <row r="12" spans="1:26" ht="17.25" customHeight="1" thickTop="1" x14ac:dyDescent="0.45">
      <c r="A12" s="187" t="s">
        <v>242</v>
      </c>
      <c r="B12" s="37">
        <f>COUNTIF(I:AL,"박창민")</f>
        <v>3</v>
      </c>
      <c r="C12" s="37"/>
      <c r="D12" s="250"/>
      <c r="E12" s="37"/>
      <c r="F12" s="188"/>
      <c r="H12" s="609">
        <v>2</v>
      </c>
      <c r="I12" s="249" t="s">
        <v>295</v>
      </c>
      <c r="J12" s="254"/>
      <c r="K12" s="249"/>
      <c r="L12" s="254"/>
      <c r="M12" s="249"/>
      <c r="N12" s="254"/>
      <c r="O12" s="249"/>
      <c r="P12" s="254"/>
      <c r="Q12" s="249"/>
      <c r="R12" s="254"/>
      <c r="S12" s="249"/>
      <c r="T12" s="254"/>
      <c r="U12" s="249"/>
      <c r="V12" s="254"/>
      <c r="W12" s="249"/>
      <c r="X12" s="254"/>
      <c r="Y12" s="249"/>
      <c r="Z12" s="254"/>
    </row>
    <row r="13" spans="1:26" ht="17.25" customHeight="1" thickBot="1" x14ac:dyDescent="0.5">
      <c r="A13" s="187" t="s">
        <v>186</v>
      </c>
      <c r="B13" s="37">
        <f>COUNTIF(I:AL,"정윤후")</f>
        <v>0</v>
      </c>
      <c r="C13" s="37"/>
      <c r="D13" s="37"/>
      <c r="E13" s="37"/>
      <c r="F13" s="188"/>
      <c r="H13" s="610"/>
      <c r="I13" s="253"/>
      <c r="J13" s="252"/>
      <c r="K13" s="253"/>
      <c r="L13" s="252"/>
      <c r="M13" s="253"/>
      <c r="N13" s="252"/>
      <c r="O13" s="253"/>
      <c r="P13" s="252"/>
      <c r="Q13" s="253"/>
      <c r="R13" s="252"/>
      <c r="S13" s="253"/>
      <c r="T13" s="252"/>
      <c r="U13" s="253"/>
      <c r="V13" s="252"/>
      <c r="W13" s="253"/>
      <c r="X13" s="252"/>
      <c r="Y13" s="253"/>
      <c r="Z13" s="252"/>
    </row>
    <row r="14" spans="1:26" ht="17.25" customHeight="1" thickTop="1" x14ac:dyDescent="0.45">
      <c r="A14" s="195" t="s">
        <v>169</v>
      </c>
      <c r="B14" s="37">
        <f>COUNTIF(I:AP,"이순희")</f>
        <v>2</v>
      </c>
      <c r="E14" s="37"/>
      <c r="F14" s="188"/>
      <c r="H14" s="609">
        <v>3</v>
      </c>
      <c r="I14" s="249"/>
      <c r="J14" s="254"/>
      <c r="K14" s="249"/>
      <c r="L14" s="254"/>
      <c r="M14" s="249"/>
      <c r="N14" s="254"/>
      <c r="O14" s="249" t="s">
        <v>334</v>
      </c>
      <c r="P14" s="254"/>
      <c r="Q14" s="249" t="s">
        <v>267</v>
      </c>
      <c r="R14" s="254" t="s">
        <v>274</v>
      </c>
      <c r="S14" s="249" t="s">
        <v>20</v>
      </c>
      <c r="T14" s="254"/>
      <c r="U14" s="249" t="s">
        <v>344</v>
      </c>
      <c r="V14" s="254"/>
      <c r="W14" s="249"/>
      <c r="X14" s="254"/>
      <c r="Y14" s="249"/>
      <c r="Z14" s="254"/>
    </row>
    <row r="15" spans="1:26" ht="17.25" customHeight="1" thickBot="1" x14ac:dyDescent="0.5">
      <c r="A15" s="195" t="s">
        <v>210</v>
      </c>
      <c r="B15" s="37">
        <f>COUNTIF(I:AP,"박상혜")</f>
        <v>1</v>
      </c>
      <c r="E15" s="37"/>
      <c r="F15" s="188"/>
      <c r="H15" s="610"/>
      <c r="I15" s="253"/>
      <c r="J15" s="252"/>
      <c r="K15" s="253"/>
      <c r="L15" s="252"/>
      <c r="M15" s="253"/>
      <c r="N15" s="252"/>
      <c r="O15" s="253"/>
      <c r="P15" s="252"/>
      <c r="Q15" s="253" t="s">
        <v>243</v>
      </c>
      <c r="R15" s="252" t="s">
        <v>246</v>
      </c>
      <c r="S15" s="253"/>
      <c r="T15" s="252"/>
      <c r="U15" s="253"/>
      <c r="V15" s="252"/>
      <c r="W15" s="253"/>
      <c r="X15" s="252"/>
      <c r="Y15" s="253"/>
      <c r="Z15" s="252"/>
    </row>
    <row r="16" spans="1:26" ht="17.25" customHeight="1" thickTop="1" x14ac:dyDescent="0.45">
      <c r="A16" s="195" t="s">
        <v>183</v>
      </c>
      <c r="B16" s="37">
        <f>COUNTIF(G:AJ,"윤미호")</f>
        <v>5</v>
      </c>
      <c r="C16" s="191" t="s">
        <v>173</v>
      </c>
      <c r="D16" s="192">
        <f>COUNTIF(H$2:AN$1048576,"변이서;")</f>
        <v>3</v>
      </c>
      <c r="E16" s="37"/>
      <c r="F16" s="188"/>
      <c r="H16" s="609">
        <v>4</v>
      </c>
      <c r="I16" s="249"/>
      <c r="J16" s="254"/>
      <c r="K16" s="249"/>
      <c r="L16" s="254"/>
      <c r="M16" s="249" t="s">
        <v>168</v>
      </c>
      <c r="N16" s="254"/>
      <c r="O16" s="249" t="s">
        <v>335</v>
      </c>
      <c r="P16" s="254"/>
      <c r="Q16" s="249" t="s">
        <v>365</v>
      </c>
      <c r="R16" s="254"/>
      <c r="S16" s="249"/>
      <c r="T16" s="254"/>
      <c r="U16" s="249" t="s">
        <v>125</v>
      </c>
      <c r="V16" s="254"/>
      <c r="W16" s="249"/>
      <c r="X16" s="254"/>
      <c r="Y16" s="249"/>
      <c r="Z16" s="254"/>
    </row>
    <row r="17" spans="1:26" ht="17.25" customHeight="1" thickBot="1" x14ac:dyDescent="0.5">
      <c r="A17" s="195" t="s">
        <v>280</v>
      </c>
      <c r="B17" s="37">
        <f>COUNTIF(G:AJ,"김견희")</f>
        <v>0</v>
      </c>
      <c r="C17" s="193" t="s">
        <v>241</v>
      </c>
      <c r="D17" s="194">
        <f>COUNTIF(H$2:AN$1048576,"정지원;")</f>
        <v>4</v>
      </c>
      <c r="E17" s="37"/>
      <c r="F17" s="188"/>
      <c r="H17" s="610"/>
      <c r="I17" s="253"/>
      <c r="J17" s="252"/>
      <c r="K17" s="253"/>
      <c r="L17" s="252"/>
      <c r="M17" s="253"/>
      <c r="N17" s="252"/>
      <c r="O17" s="253"/>
      <c r="P17" s="252"/>
      <c r="Q17" s="253"/>
      <c r="R17" s="252"/>
      <c r="S17" s="253"/>
      <c r="T17" s="252"/>
      <c r="U17" s="253"/>
      <c r="V17" s="252"/>
      <c r="W17" s="253"/>
      <c r="X17" s="252"/>
      <c r="Y17" s="253"/>
      <c r="Z17" s="252"/>
    </row>
    <row r="18" spans="1:26" ht="17.25" customHeight="1" thickTop="1" x14ac:dyDescent="0.45">
      <c r="A18" s="187" t="s">
        <v>295</v>
      </c>
      <c r="B18" s="37">
        <f>COUNTIF(G:AJ,"김하윤")</f>
        <v>3</v>
      </c>
      <c r="C18" s="193" t="s">
        <v>168</v>
      </c>
      <c r="D18" s="194">
        <f>COUNTIF(H$2:AN$1048576,"박사랑;")</f>
        <v>4</v>
      </c>
      <c r="E18" s="37"/>
      <c r="F18" s="188"/>
      <c r="H18" s="609">
        <v>5</v>
      </c>
      <c r="I18" s="249" t="s">
        <v>74</v>
      </c>
      <c r="J18" s="254"/>
      <c r="K18" s="249"/>
      <c r="L18" s="254"/>
      <c r="M18" s="249" t="s">
        <v>173</v>
      </c>
      <c r="N18" s="254"/>
      <c r="O18" s="249" t="s">
        <v>336</v>
      </c>
      <c r="P18" s="254" t="s">
        <v>337</v>
      </c>
      <c r="Q18" s="249" t="s">
        <v>183</v>
      </c>
      <c r="R18" s="254"/>
      <c r="S18" s="249"/>
      <c r="T18" s="254"/>
      <c r="U18" s="249" t="s">
        <v>132</v>
      </c>
      <c r="V18" s="254"/>
      <c r="W18" s="249" t="s">
        <v>371</v>
      </c>
      <c r="X18" s="254"/>
      <c r="Y18" s="249"/>
      <c r="Z18" s="254"/>
    </row>
    <row r="19" spans="1:26" ht="17.25" customHeight="1" thickBot="1" x14ac:dyDescent="0.5">
      <c r="A19" s="187" t="s">
        <v>163</v>
      </c>
      <c r="B19" s="37">
        <f>COUNTIF(G:AJ,"이말진")</f>
        <v>0</v>
      </c>
      <c r="C19" s="193" t="s">
        <v>295</v>
      </c>
      <c r="D19" s="194">
        <f>COUNTIF(H$2:AN$1048576,"김하윤;")</f>
        <v>4</v>
      </c>
      <c r="E19" s="37"/>
      <c r="F19" s="188"/>
      <c r="H19" s="610"/>
      <c r="I19" s="253"/>
      <c r="J19" s="252"/>
      <c r="K19" s="253"/>
      <c r="L19" s="252"/>
      <c r="M19" s="253"/>
      <c r="N19" s="254"/>
      <c r="O19" s="253" t="s">
        <v>338</v>
      </c>
      <c r="P19" s="252"/>
      <c r="Q19" s="253"/>
      <c r="R19" s="252"/>
      <c r="S19" s="253"/>
      <c r="T19" s="252"/>
      <c r="U19" s="253"/>
      <c r="V19" s="252"/>
      <c r="W19" s="253"/>
      <c r="X19" s="252"/>
      <c r="Y19" s="253"/>
      <c r="Z19" s="252"/>
    </row>
    <row r="20" spans="1:26" ht="17.25" customHeight="1" thickTop="1" x14ac:dyDescent="0.45">
      <c r="A20" s="187" t="s">
        <v>298</v>
      </c>
      <c r="B20" s="37">
        <f>COUNTIF(G:AJ,"김지온")</f>
        <v>2</v>
      </c>
      <c r="C20" s="193" t="s">
        <v>298</v>
      </c>
      <c r="D20" s="194">
        <f>COUNTIF(H$2:AN$1048576,"김지온;")</f>
        <v>4</v>
      </c>
      <c r="E20" s="37"/>
      <c r="F20" s="188"/>
      <c r="H20" s="609">
        <v>6</v>
      </c>
      <c r="I20" s="249"/>
      <c r="J20" s="254"/>
      <c r="K20" s="249"/>
      <c r="L20" s="254"/>
      <c r="M20" s="282" t="s">
        <v>210</v>
      </c>
      <c r="N20" s="278"/>
      <c r="O20" s="282" t="s">
        <v>339</v>
      </c>
      <c r="P20" s="278" t="s">
        <v>340</v>
      </c>
      <c r="Q20" s="282" t="s">
        <v>270</v>
      </c>
      <c r="R20" s="278"/>
      <c r="S20" s="249"/>
      <c r="T20" s="254"/>
      <c r="U20" s="249"/>
      <c r="V20" s="254"/>
      <c r="W20" s="249"/>
      <c r="X20" s="254"/>
      <c r="Y20" s="249"/>
      <c r="Z20" s="254"/>
    </row>
    <row r="21" spans="1:26" ht="16.5" customHeight="1" x14ac:dyDescent="0.45">
      <c r="A21" s="195" t="s">
        <v>344</v>
      </c>
      <c r="B21" s="37">
        <f>COUNTIF(G:AJ,"김서현")</f>
        <v>3</v>
      </c>
      <c r="C21" s="193" t="s">
        <v>242</v>
      </c>
      <c r="D21" s="194">
        <f>COUNTIF(H:AN,"박창민;")</f>
        <v>4</v>
      </c>
      <c r="E21" s="37"/>
      <c r="F21" s="188"/>
      <c r="H21" s="609"/>
      <c r="I21" s="249"/>
      <c r="J21" s="254"/>
      <c r="K21" s="249"/>
      <c r="L21" s="254"/>
      <c r="M21" s="249"/>
      <c r="N21" s="254"/>
      <c r="O21" s="283" t="s">
        <v>341</v>
      </c>
      <c r="P21" s="254" t="s">
        <v>342</v>
      </c>
      <c r="Q21" s="283"/>
      <c r="R21" s="254"/>
      <c r="S21" s="249"/>
      <c r="T21" s="254"/>
      <c r="U21" s="249"/>
      <c r="V21" s="254"/>
      <c r="W21" s="249"/>
      <c r="X21" s="254"/>
      <c r="Y21" s="249"/>
      <c r="Z21" s="254"/>
    </row>
    <row r="22" spans="1:26" ht="16.5" customHeight="1" x14ac:dyDescent="0.45">
      <c r="A22" s="195" t="s">
        <v>365</v>
      </c>
      <c r="B22" s="37">
        <f>COUNTIF(G:AJ,"하성순")</f>
        <v>3</v>
      </c>
      <c r="C22" s="294" t="s">
        <v>134</v>
      </c>
      <c r="D22" s="295">
        <f>COUNTIF(H:AN,"이기찬;")</f>
        <v>3</v>
      </c>
      <c r="E22" s="37"/>
      <c r="F22" s="188"/>
      <c r="H22" s="609"/>
      <c r="I22" s="283"/>
      <c r="J22" s="254"/>
      <c r="K22" s="249"/>
      <c r="L22" s="254"/>
      <c r="M22" s="249"/>
      <c r="N22" s="254"/>
      <c r="O22" s="283" t="s">
        <v>343</v>
      </c>
      <c r="P22" s="254"/>
      <c r="Q22" s="283"/>
      <c r="R22" s="254"/>
      <c r="S22" s="249"/>
      <c r="T22" s="254"/>
      <c r="U22" s="249"/>
      <c r="V22" s="254"/>
      <c r="W22" s="249"/>
      <c r="X22" s="254"/>
      <c r="Y22" s="249"/>
      <c r="Z22" s="254"/>
    </row>
    <row r="23" spans="1:26" ht="17.25" customHeight="1" thickBot="1" x14ac:dyDescent="0.5">
      <c r="A23" s="195"/>
      <c r="B23" s="37"/>
      <c r="C23" s="294" t="s">
        <v>344</v>
      </c>
      <c r="D23" s="295">
        <f>COUNTIF(H:AN,"김서현;")</f>
        <v>2</v>
      </c>
      <c r="E23" s="37"/>
      <c r="F23" s="188"/>
      <c r="H23" s="610"/>
      <c r="I23" s="253"/>
      <c r="J23" s="252"/>
      <c r="K23" s="253"/>
      <c r="L23" s="252"/>
      <c r="M23" s="253"/>
      <c r="N23" s="252"/>
      <c r="O23" s="284"/>
      <c r="P23" s="252"/>
      <c r="Q23" s="284"/>
      <c r="R23" s="252"/>
      <c r="S23" s="253"/>
      <c r="T23" s="252"/>
      <c r="U23" s="253"/>
      <c r="V23" s="252"/>
      <c r="W23" s="253"/>
      <c r="X23" s="252"/>
      <c r="Y23" s="253"/>
      <c r="Z23" s="252"/>
    </row>
    <row r="24" spans="1:26" ht="17.25" customHeight="1" thickTop="1" x14ac:dyDescent="0.45">
      <c r="A24" s="285"/>
      <c r="B24" s="250"/>
      <c r="C24" s="294"/>
      <c r="D24" s="295"/>
      <c r="E24" s="37"/>
      <c r="F24" s="188"/>
      <c r="H24" s="609">
        <v>7</v>
      </c>
      <c r="I24" s="249"/>
      <c r="J24" s="254"/>
      <c r="K24" s="249"/>
      <c r="L24" s="254"/>
      <c r="M24" s="249"/>
      <c r="N24" s="254"/>
      <c r="O24" s="249"/>
      <c r="P24" s="254"/>
      <c r="Q24" s="249"/>
      <c r="R24" s="254"/>
      <c r="S24" s="249"/>
      <c r="T24" s="254"/>
      <c r="U24" s="249"/>
      <c r="V24" s="254"/>
      <c r="W24" s="249"/>
      <c r="X24" s="254"/>
      <c r="Y24" s="249"/>
      <c r="Z24" s="254"/>
    </row>
    <row r="25" spans="1:26" ht="17.25" customHeight="1" thickBot="1" x14ac:dyDescent="0.5">
      <c r="A25" s="287"/>
      <c r="B25" s="301"/>
      <c r="C25" s="222"/>
      <c r="D25" s="223"/>
      <c r="E25" s="220"/>
      <c r="F25" s="221"/>
      <c r="H25" s="610"/>
      <c r="I25" s="253"/>
      <c r="J25" s="252"/>
      <c r="K25" s="253"/>
      <c r="L25" s="252"/>
      <c r="M25" s="253"/>
      <c r="N25" s="252"/>
      <c r="O25" s="253"/>
      <c r="P25" s="252"/>
      <c r="Q25" s="253"/>
      <c r="R25" s="252"/>
      <c r="S25" s="253"/>
      <c r="T25" s="252"/>
      <c r="U25" s="253"/>
      <c r="V25" s="252"/>
      <c r="W25" s="253"/>
      <c r="X25" s="252"/>
      <c r="Y25" s="253"/>
      <c r="Z25" s="252"/>
    </row>
    <row r="26" spans="1:26" ht="17.5" thickTop="1" x14ac:dyDescent="0.45">
      <c r="A26" s="37"/>
      <c r="B26" s="37"/>
      <c r="C26" s="37"/>
      <c r="D26" s="37"/>
      <c r="E26" s="37"/>
      <c r="F26" s="37"/>
    </row>
    <row r="27" spans="1:26" ht="17.5" thickBot="1" x14ac:dyDescent="0.5">
      <c r="A27" s="37"/>
      <c r="B27" s="37"/>
      <c r="C27" s="37"/>
      <c r="D27" s="37"/>
      <c r="E27" s="37"/>
      <c r="F27" s="37"/>
    </row>
    <row r="28" spans="1:26" ht="27" thickTop="1" thickBot="1" x14ac:dyDescent="0.5">
      <c r="A28" s="289"/>
      <c r="B28" s="250"/>
      <c r="C28" s="250"/>
      <c r="D28" s="250"/>
      <c r="E28" s="250"/>
      <c r="F28" s="290"/>
      <c r="H28" s="611" t="s">
        <v>254</v>
      </c>
      <c r="I28" s="612"/>
      <c r="J28" s="613"/>
      <c r="K28" s="185"/>
      <c r="L28" s="186"/>
      <c r="M28" s="186"/>
      <c r="N28" s="186"/>
      <c r="O28" s="186"/>
      <c r="P28" s="186"/>
      <c r="Q28" s="186"/>
      <c r="R28" s="186"/>
      <c r="S28" s="186"/>
      <c r="T28" s="186"/>
      <c r="U28" s="186"/>
      <c r="V28" s="186"/>
    </row>
    <row r="29" spans="1:26" ht="26.5" thickTop="1" thickBot="1" x14ac:dyDescent="0.5">
      <c r="A29" s="250"/>
      <c r="B29" s="250"/>
      <c r="C29" s="250"/>
      <c r="D29" s="250"/>
      <c r="E29" s="250"/>
      <c r="F29" s="250"/>
      <c r="H29" s="189"/>
      <c r="I29" s="624">
        <v>10</v>
      </c>
      <c r="J29" s="625"/>
      <c r="K29" s="624">
        <v>11</v>
      </c>
      <c r="L29" s="625"/>
      <c r="M29" s="624">
        <v>12</v>
      </c>
      <c r="N29" s="625"/>
      <c r="O29" s="624">
        <v>13</v>
      </c>
      <c r="P29" s="625"/>
      <c r="Q29" s="624">
        <v>14</v>
      </c>
      <c r="R29" s="625"/>
      <c r="S29" s="624">
        <v>15</v>
      </c>
      <c r="T29" s="625"/>
      <c r="U29" s="624">
        <v>16</v>
      </c>
      <c r="V29" s="625"/>
    </row>
    <row r="30" spans="1:26" ht="22" thickTop="1" thickBot="1" x14ac:dyDescent="0.5">
      <c r="A30" s="250"/>
      <c r="B30" s="250"/>
      <c r="C30" s="250"/>
      <c r="D30" s="250"/>
      <c r="E30" s="250"/>
      <c r="F30" s="250"/>
      <c r="H30" s="190"/>
      <c r="I30" s="626" t="s">
        <v>224</v>
      </c>
      <c r="J30" s="627"/>
      <c r="K30" s="626" t="s">
        <v>225</v>
      </c>
      <c r="L30" s="627"/>
      <c r="M30" s="626" t="s">
        <v>226</v>
      </c>
      <c r="N30" s="627"/>
      <c r="O30" s="626" t="s">
        <v>227</v>
      </c>
      <c r="P30" s="627"/>
      <c r="Q30" s="626" t="s">
        <v>228</v>
      </c>
      <c r="R30" s="627"/>
      <c r="S30" s="626" t="s">
        <v>229</v>
      </c>
      <c r="T30" s="627"/>
      <c r="U30" s="626" t="s">
        <v>230</v>
      </c>
      <c r="V30" s="627"/>
    </row>
    <row r="31" spans="1:26" ht="17.5" thickTop="1" x14ac:dyDescent="0.45">
      <c r="A31" s="250"/>
      <c r="B31" s="250"/>
      <c r="C31" s="250"/>
      <c r="D31" s="250"/>
      <c r="E31" s="250"/>
      <c r="F31" s="250"/>
      <c r="H31" s="614">
        <v>10</v>
      </c>
      <c r="I31" s="249"/>
      <c r="J31" s="278"/>
      <c r="K31" s="251"/>
      <c r="L31" s="278"/>
      <c r="M31" s="249"/>
      <c r="N31" s="278"/>
      <c r="O31" s="251"/>
      <c r="P31" s="278"/>
      <c r="Q31" s="251"/>
      <c r="R31" s="278"/>
      <c r="S31" s="251"/>
      <c r="T31" s="278"/>
      <c r="U31" s="251"/>
      <c r="V31" s="278"/>
    </row>
    <row r="32" spans="1:26" ht="17.5" thickBot="1" x14ac:dyDescent="0.5">
      <c r="A32" s="250"/>
      <c r="B32" s="250"/>
      <c r="C32" s="250"/>
      <c r="D32" s="250"/>
      <c r="E32" s="250"/>
      <c r="F32" s="250"/>
      <c r="H32" s="610"/>
      <c r="I32" s="253"/>
      <c r="J32" s="252"/>
      <c r="K32" s="253"/>
      <c r="L32" s="252"/>
      <c r="M32" s="253"/>
      <c r="N32" s="252"/>
      <c r="O32" s="253"/>
      <c r="P32" s="252"/>
      <c r="Q32" s="253"/>
      <c r="R32" s="252"/>
      <c r="S32" s="253"/>
      <c r="T32" s="252"/>
      <c r="U32" s="253"/>
      <c r="V32" s="252"/>
    </row>
    <row r="33" spans="1:22" ht="17.5" thickTop="1" x14ac:dyDescent="0.45">
      <c r="A33" s="250"/>
      <c r="B33" s="250"/>
      <c r="C33" s="250"/>
      <c r="D33" s="250"/>
      <c r="E33" s="250"/>
      <c r="F33" s="250"/>
      <c r="H33" s="609">
        <v>11</v>
      </c>
      <c r="I33" s="249"/>
      <c r="J33" s="254"/>
      <c r="K33" s="249"/>
      <c r="L33" s="254"/>
      <c r="M33" s="249"/>
      <c r="N33" s="254"/>
      <c r="O33" s="249"/>
      <c r="P33" s="254"/>
      <c r="Q33" s="249"/>
      <c r="R33" s="254"/>
      <c r="S33" s="249"/>
      <c r="T33" s="254"/>
      <c r="U33" s="249"/>
      <c r="V33" s="254"/>
    </row>
    <row r="34" spans="1:22" ht="17.5" thickBot="1" x14ac:dyDescent="0.5">
      <c r="A34" s="250"/>
      <c r="B34" s="250"/>
      <c r="C34" s="250"/>
      <c r="D34" s="250"/>
      <c r="E34" s="250"/>
      <c r="F34" s="250"/>
      <c r="H34" s="610"/>
      <c r="I34" s="253"/>
      <c r="J34" s="252"/>
      <c r="K34" s="253"/>
      <c r="L34" s="252"/>
      <c r="M34" s="253"/>
      <c r="N34" s="252"/>
      <c r="O34" s="253"/>
      <c r="P34" s="252"/>
      <c r="Q34" s="253"/>
      <c r="R34" s="252"/>
      <c r="S34" s="253"/>
      <c r="T34" s="252"/>
      <c r="U34" s="253"/>
      <c r="V34" s="252"/>
    </row>
    <row r="35" spans="1:22" ht="17.5" thickTop="1" x14ac:dyDescent="0.45">
      <c r="A35" s="250"/>
      <c r="B35" s="250"/>
      <c r="C35" s="250"/>
      <c r="D35" s="250"/>
      <c r="E35" s="250"/>
      <c r="F35" s="250"/>
      <c r="H35" s="609">
        <v>12</v>
      </c>
      <c r="I35" s="249"/>
      <c r="J35" s="254"/>
      <c r="K35" s="249"/>
      <c r="L35" s="254"/>
      <c r="M35" s="249"/>
      <c r="N35" s="254"/>
      <c r="O35" s="249"/>
      <c r="P35" s="254"/>
      <c r="Q35" s="249"/>
      <c r="R35" s="254"/>
      <c r="S35" s="249"/>
      <c r="T35" s="254"/>
      <c r="U35" s="249"/>
      <c r="V35" s="254"/>
    </row>
    <row r="36" spans="1:22" ht="17.5" thickBot="1" x14ac:dyDescent="0.5">
      <c r="A36" s="250"/>
      <c r="B36" s="250"/>
      <c r="C36" s="286"/>
      <c r="D36" s="286"/>
      <c r="E36" s="250"/>
      <c r="F36" s="250"/>
      <c r="H36" s="610"/>
      <c r="I36" s="253"/>
      <c r="J36" s="252"/>
      <c r="K36" s="253"/>
      <c r="L36" s="252"/>
      <c r="M36" s="253"/>
      <c r="N36" s="252"/>
      <c r="O36" s="253"/>
      <c r="P36" s="252"/>
      <c r="Q36" s="253"/>
      <c r="R36" s="252"/>
      <c r="S36" s="253"/>
      <c r="T36" s="252"/>
      <c r="U36" s="253"/>
      <c r="V36" s="252"/>
    </row>
    <row r="37" spans="1:22" ht="17.5" thickTop="1" x14ac:dyDescent="0.45">
      <c r="A37" s="250"/>
      <c r="B37" s="250"/>
      <c r="C37" s="286"/>
      <c r="D37" s="286"/>
      <c r="E37" s="250"/>
      <c r="F37" s="250"/>
      <c r="H37" s="609">
        <v>1</v>
      </c>
      <c r="I37" s="249"/>
      <c r="J37" s="254"/>
      <c r="K37" s="249"/>
      <c r="L37" s="254"/>
      <c r="M37" s="249"/>
      <c r="N37" s="254"/>
      <c r="O37" s="249"/>
      <c r="P37" s="254"/>
      <c r="Q37" s="249"/>
      <c r="R37" s="254"/>
      <c r="S37" s="249"/>
      <c r="T37" s="254"/>
      <c r="U37" s="249"/>
      <c r="V37" s="254"/>
    </row>
    <row r="38" spans="1:22" ht="17.5" thickBot="1" x14ac:dyDescent="0.5">
      <c r="A38" s="250"/>
      <c r="B38" s="250"/>
      <c r="C38" s="286"/>
      <c r="D38" s="286"/>
      <c r="E38" s="250"/>
      <c r="F38" s="250"/>
      <c r="H38" s="610"/>
      <c r="I38" s="253"/>
      <c r="J38" s="252"/>
      <c r="K38" s="253"/>
      <c r="L38" s="252"/>
      <c r="M38" s="253"/>
      <c r="N38" s="252"/>
      <c r="O38" s="253"/>
      <c r="P38" s="252"/>
      <c r="Q38" s="253"/>
      <c r="R38" s="252"/>
      <c r="S38" s="253"/>
      <c r="T38" s="252"/>
      <c r="U38" s="253"/>
      <c r="V38" s="252"/>
    </row>
    <row r="39" spans="1:22" ht="17.5" thickTop="1" x14ac:dyDescent="0.45">
      <c r="A39" s="250"/>
      <c r="B39" s="250"/>
      <c r="C39" s="286"/>
      <c r="D39" s="286"/>
      <c r="E39" s="250"/>
      <c r="F39" s="250"/>
      <c r="H39" s="609">
        <v>2</v>
      </c>
      <c r="I39" s="249"/>
      <c r="J39" s="254"/>
      <c r="K39" s="249"/>
      <c r="L39" s="254"/>
      <c r="M39" s="249"/>
      <c r="N39" s="254"/>
      <c r="O39" s="249" t="s">
        <v>365</v>
      </c>
      <c r="P39" s="254"/>
      <c r="Q39" s="249"/>
      <c r="R39" s="254"/>
      <c r="S39" s="249"/>
      <c r="T39" s="254"/>
      <c r="U39" s="249"/>
      <c r="V39" s="254"/>
    </row>
    <row r="40" spans="1:22" ht="17.5" thickBot="1" x14ac:dyDescent="0.5">
      <c r="A40" s="250"/>
      <c r="B40" s="250"/>
      <c r="C40" s="250"/>
      <c r="D40" s="250"/>
      <c r="E40" s="250"/>
      <c r="F40" s="250"/>
      <c r="H40" s="610"/>
      <c r="I40" s="253"/>
      <c r="J40" s="252"/>
      <c r="K40" s="253"/>
      <c r="L40" s="252"/>
      <c r="M40" s="253"/>
      <c r="N40" s="252"/>
      <c r="O40" s="253"/>
      <c r="P40" s="252"/>
      <c r="Q40" s="253"/>
      <c r="R40" s="252"/>
      <c r="S40" s="253"/>
      <c r="T40" s="252"/>
      <c r="U40" s="253"/>
      <c r="V40" s="252"/>
    </row>
    <row r="41" spans="1:22" ht="17.5" thickTop="1" x14ac:dyDescent="0.45">
      <c r="A41" s="250"/>
      <c r="B41" s="250"/>
      <c r="C41" s="250"/>
      <c r="D41" s="250"/>
      <c r="E41" s="250"/>
      <c r="F41" s="250"/>
      <c r="H41" s="609">
        <v>3</v>
      </c>
      <c r="I41" s="249"/>
      <c r="J41" s="254"/>
      <c r="K41" s="249" t="s">
        <v>346</v>
      </c>
      <c r="L41" s="254"/>
      <c r="M41" s="249" t="s">
        <v>267</v>
      </c>
      <c r="N41" s="254" t="s">
        <v>262</v>
      </c>
      <c r="O41" s="249" t="s">
        <v>366</v>
      </c>
      <c r="P41" s="254"/>
      <c r="Q41" s="249" t="s">
        <v>368</v>
      </c>
      <c r="R41" s="254"/>
      <c r="S41" s="249"/>
      <c r="T41" s="254"/>
      <c r="U41" s="249"/>
      <c r="V41" s="254"/>
    </row>
    <row r="42" spans="1:22" ht="17.5" thickBot="1" x14ac:dyDescent="0.5">
      <c r="A42" s="250"/>
      <c r="B42" s="250"/>
      <c r="C42" s="250"/>
      <c r="D42" s="250"/>
      <c r="E42" s="250"/>
      <c r="F42" s="250"/>
      <c r="H42" s="610"/>
      <c r="I42" s="253"/>
      <c r="J42" s="252"/>
      <c r="K42" s="253"/>
      <c r="L42" s="252"/>
      <c r="M42" s="253" t="s">
        <v>243</v>
      </c>
      <c r="N42" s="252" t="s">
        <v>246</v>
      </c>
      <c r="O42" s="253"/>
      <c r="P42" s="252"/>
      <c r="Q42" s="253"/>
      <c r="R42" s="252"/>
      <c r="S42" s="253"/>
      <c r="T42" s="252"/>
      <c r="U42" s="253"/>
      <c r="V42" s="252"/>
    </row>
    <row r="43" spans="1:22" ht="17.5" thickTop="1" x14ac:dyDescent="0.45">
      <c r="A43" s="250"/>
      <c r="B43" s="250"/>
      <c r="C43" s="250"/>
      <c r="D43" s="250"/>
      <c r="E43" s="250"/>
      <c r="F43" s="250"/>
      <c r="H43" s="609">
        <v>4</v>
      </c>
      <c r="I43" s="249" t="s">
        <v>352</v>
      </c>
      <c r="J43" s="254"/>
      <c r="K43" s="249" t="s">
        <v>353</v>
      </c>
      <c r="L43" s="254"/>
      <c r="M43" s="249"/>
      <c r="N43" s="254"/>
      <c r="O43" s="249"/>
      <c r="P43" s="254"/>
      <c r="Q43" s="249" t="s">
        <v>364</v>
      </c>
      <c r="R43" s="254"/>
      <c r="S43" s="249"/>
      <c r="T43" s="254"/>
      <c r="U43" s="249"/>
      <c r="V43" s="254"/>
    </row>
    <row r="44" spans="1:22" ht="17.5" thickBot="1" x14ac:dyDescent="0.5">
      <c r="A44" s="250"/>
      <c r="B44" s="250"/>
      <c r="C44" s="250"/>
      <c r="D44" s="250"/>
      <c r="E44" s="250"/>
      <c r="F44" s="250"/>
      <c r="H44" s="610"/>
      <c r="I44" s="253"/>
      <c r="J44" s="252"/>
      <c r="K44" s="253"/>
      <c r="L44" s="252"/>
      <c r="M44" s="253"/>
      <c r="N44" s="252"/>
      <c r="O44" s="253"/>
      <c r="P44" s="252"/>
      <c r="Q44" s="253"/>
      <c r="R44" s="252"/>
      <c r="S44" s="253"/>
      <c r="T44" s="252"/>
      <c r="U44" s="253"/>
      <c r="V44" s="252"/>
    </row>
    <row r="45" spans="1:22" ht="17.5" thickTop="1" x14ac:dyDescent="0.45">
      <c r="A45" s="250"/>
      <c r="B45" s="286"/>
      <c r="C45" s="250"/>
      <c r="D45" s="250"/>
      <c r="E45" s="250"/>
      <c r="F45" s="250"/>
      <c r="H45" s="609">
        <v>5</v>
      </c>
      <c r="I45" s="249"/>
      <c r="J45" s="254"/>
      <c r="K45" s="249" t="s">
        <v>347</v>
      </c>
      <c r="L45" s="279"/>
      <c r="M45" s="249" t="s">
        <v>183</v>
      </c>
      <c r="N45" s="254" t="s">
        <v>270</v>
      </c>
      <c r="O45" s="249"/>
      <c r="P45" s="254"/>
      <c r="Q45" s="249" t="s">
        <v>369</v>
      </c>
      <c r="R45" s="254"/>
      <c r="S45" s="249" t="s">
        <v>371</v>
      </c>
      <c r="T45" s="254"/>
      <c r="U45" s="249"/>
      <c r="V45" s="254"/>
    </row>
    <row r="46" spans="1:22" ht="17.5" thickBot="1" x14ac:dyDescent="0.5">
      <c r="A46" s="250"/>
      <c r="B46" s="250"/>
      <c r="C46" s="250"/>
      <c r="D46" s="250"/>
      <c r="E46" s="250"/>
      <c r="F46" s="250"/>
      <c r="H46" s="610"/>
      <c r="I46" s="253"/>
      <c r="J46" s="252"/>
      <c r="K46" s="280"/>
      <c r="L46" s="281"/>
      <c r="M46" s="253"/>
      <c r="N46" s="252"/>
      <c r="O46" s="253"/>
      <c r="P46" s="252"/>
      <c r="Q46" s="253"/>
      <c r="R46" s="252"/>
      <c r="S46" s="253"/>
      <c r="T46" s="252"/>
      <c r="U46" s="253"/>
      <c r="V46" s="252"/>
    </row>
    <row r="47" spans="1:22" ht="17.5" thickTop="1" x14ac:dyDescent="0.45">
      <c r="A47" s="250"/>
      <c r="B47" s="250"/>
      <c r="C47" s="286"/>
      <c r="D47" s="286"/>
      <c r="E47" s="286"/>
      <c r="F47" s="250"/>
      <c r="H47" s="609">
        <v>6</v>
      </c>
      <c r="I47" s="249"/>
      <c r="J47" s="254"/>
      <c r="K47" s="282" t="s">
        <v>300</v>
      </c>
      <c r="L47" s="278" t="s">
        <v>319</v>
      </c>
      <c r="M47" s="249" t="s">
        <v>183</v>
      </c>
      <c r="N47" s="254"/>
      <c r="O47" s="249"/>
      <c r="P47" s="254"/>
      <c r="Q47" s="249" t="s">
        <v>370</v>
      </c>
      <c r="R47" s="254"/>
      <c r="S47" s="249"/>
      <c r="T47" s="254"/>
      <c r="U47" s="249"/>
      <c r="V47" s="254"/>
    </row>
    <row r="48" spans="1:22" x14ac:dyDescent="0.45">
      <c r="A48" s="250"/>
      <c r="B48" s="286"/>
      <c r="C48" s="286"/>
      <c r="D48" s="286"/>
      <c r="E48" s="286"/>
      <c r="F48" s="250"/>
      <c r="H48" s="609"/>
      <c r="I48" s="249"/>
      <c r="J48" s="254"/>
      <c r="K48" s="283" t="s">
        <v>318</v>
      </c>
      <c r="L48" s="254" t="s">
        <v>306</v>
      </c>
      <c r="M48" s="249"/>
      <c r="N48" s="254"/>
      <c r="O48" s="249"/>
      <c r="P48" s="254"/>
      <c r="Q48" s="249"/>
      <c r="R48" s="254"/>
      <c r="S48" s="249"/>
      <c r="T48" s="254"/>
      <c r="U48" s="249"/>
      <c r="V48" s="254"/>
    </row>
    <row r="49" spans="1:22" x14ac:dyDescent="0.45">
      <c r="A49" s="286"/>
      <c r="B49" s="286"/>
      <c r="C49" s="286"/>
      <c r="D49" s="286"/>
      <c r="E49" s="286"/>
      <c r="F49" s="250"/>
      <c r="H49" s="609"/>
      <c r="I49" s="249"/>
      <c r="J49" s="254"/>
      <c r="K49" s="283" t="s">
        <v>260</v>
      </c>
      <c r="L49" s="254" t="s">
        <v>350</v>
      </c>
      <c r="M49" s="249"/>
      <c r="N49" s="254"/>
      <c r="O49" s="249"/>
      <c r="P49" s="254"/>
      <c r="Q49" s="249"/>
      <c r="R49" s="254"/>
      <c r="S49" s="249"/>
      <c r="T49" s="254"/>
      <c r="U49" s="249"/>
      <c r="V49" s="254"/>
    </row>
    <row r="50" spans="1:22" ht="17.5" thickBot="1" x14ac:dyDescent="0.5">
      <c r="A50" s="286"/>
      <c r="B50" s="286"/>
      <c r="C50" s="286"/>
      <c r="D50" s="286"/>
      <c r="E50" s="286"/>
      <c r="F50" s="250"/>
      <c r="H50" s="610"/>
      <c r="I50" s="253"/>
      <c r="J50" s="252"/>
      <c r="K50" s="253" t="s">
        <v>351</v>
      </c>
      <c r="L50" s="252" t="s">
        <v>348</v>
      </c>
      <c r="M50" s="253"/>
      <c r="N50" s="252"/>
      <c r="O50" s="253"/>
      <c r="P50" s="252"/>
      <c r="Q50" s="253"/>
      <c r="R50" s="252"/>
      <c r="S50" s="253"/>
      <c r="T50" s="252"/>
      <c r="U50" s="253"/>
      <c r="V50" s="252"/>
    </row>
    <row r="51" spans="1:22" ht="21.5" thickTop="1" x14ac:dyDescent="0.45">
      <c r="A51" s="250"/>
      <c r="B51" s="250"/>
      <c r="C51" s="289"/>
      <c r="D51" s="290"/>
      <c r="E51" s="289"/>
      <c r="F51" s="250"/>
      <c r="H51" s="609">
        <v>7</v>
      </c>
      <c r="I51" s="249"/>
      <c r="J51" s="254"/>
      <c r="K51" s="249" t="s">
        <v>349</v>
      </c>
      <c r="L51" s="254"/>
      <c r="M51" s="249"/>
      <c r="N51" s="254"/>
      <c r="O51" s="249" t="s">
        <v>367</v>
      </c>
      <c r="P51" s="254"/>
      <c r="Q51" s="249"/>
      <c r="R51" s="254"/>
      <c r="S51" s="249"/>
      <c r="T51" s="254"/>
      <c r="U51" s="249"/>
      <c r="V51" s="254"/>
    </row>
    <row r="52" spans="1:22" ht="17.5" thickBot="1" x14ac:dyDescent="0.5">
      <c r="A52" s="250"/>
      <c r="B52" s="250"/>
      <c r="C52" s="250"/>
      <c r="D52" s="250"/>
      <c r="E52" s="250"/>
      <c r="F52" s="286"/>
      <c r="H52" s="610"/>
      <c r="I52" s="253"/>
      <c r="J52" s="252"/>
      <c r="K52" s="253"/>
      <c r="L52" s="252"/>
      <c r="M52" s="253"/>
      <c r="N52" s="252"/>
      <c r="O52" s="253"/>
      <c r="P52" s="252"/>
      <c r="Q52" s="253"/>
      <c r="R52" s="252"/>
      <c r="S52" s="253"/>
      <c r="T52" s="252"/>
      <c r="U52" s="253"/>
      <c r="V52" s="252"/>
    </row>
    <row r="53" spans="1:22" ht="17.5" thickTop="1" x14ac:dyDescent="0.45">
      <c r="A53" s="286"/>
      <c r="B53" s="250"/>
      <c r="C53" s="250"/>
      <c r="D53" s="250"/>
      <c r="E53" s="250"/>
      <c r="F53" s="286"/>
      <c r="H53" s="112"/>
      <c r="I53" s="112"/>
      <c r="J53" s="112"/>
      <c r="K53" s="112"/>
      <c r="L53" s="112"/>
      <c r="M53" s="112"/>
      <c r="N53" s="112"/>
      <c r="O53" s="112"/>
      <c r="P53" s="112"/>
      <c r="Q53" s="112"/>
      <c r="R53" s="112"/>
      <c r="S53" s="112"/>
      <c r="T53" s="112"/>
      <c r="U53" s="112"/>
    </row>
    <row r="54" spans="1:22" x14ac:dyDescent="0.45">
      <c r="A54" s="286"/>
      <c r="B54" s="250"/>
      <c r="C54" s="250"/>
      <c r="D54" s="250"/>
      <c r="E54" s="250"/>
      <c r="F54" s="286"/>
    </row>
    <row r="55" spans="1:22" ht="17.5" thickBot="1" x14ac:dyDescent="0.5">
      <c r="A55" s="286"/>
      <c r="B55" s="250"/>
      <c r="C55" s="250"/>
      <c r="D55" s="250"/>
      <c r="E55" s="250"/>
      <c r="F55" s="286"/>
    </row>
    <row r="56" spans="1:22" ht="27" thickTop="1" thickBot="1" x14ac:dyDescent="0.5">
      <c r="A56" s="289"/>
      <c r="B56" s="250"/>
      <c r="C56" s="250"/>
      <c r="D56" s="250"/>
      <c r="E56" s="250"/>
      <c r="F56" s="290"/>
      <c r="H56" s="611" t="s">
        <v>258</v>
      </c>
      <c r="I56" s="612"/>
      <c r="J56" s="613"/>
      <c r="K56" s="185"/>
      <c r="L56" s="186"/>
      <c r="M56" s="186"/>
      <c r="N56" s="186"/>
      <c r="O56" s="186"/>
      <c r="P56" s="186"/>
      <c r="Q56" s="186"/>
      <c r="R56" s="186"/>
      <c r="S56" s="186"/>
      <c r="T56" s="186"/>
      <c r="U56" s="186"/>
      <c r="V56" s="186"/>
    </row>
    <row r="57" spans="1:22" ht="26.5" thickTop="1" thickBot="1" x14ac:dyDescent="0.5">
      <c r="A57" s="250"/>
      <c r="B57" s="250"/>
      <c r="C57" s="250"/>
      <c r="D57" s="250"/>
      <c r="E57" s="250"/>
      <c r="F57" s="250"/>
      <c r="H57" s="189"/>
      <c r="I57" s="624">
        <v>17</v>
      </c>
      <c r="J57" s="625"/>
      <c r="K57" s="624">
        <v>18</v>
      </c>
      <c r="L57" s="625"/>
      <c r="M57" s="624">
        <v>19</v>
      </c>
      <c r="N57" s="625"/>
      <c r="O57" s="624">
        <v>20</v>
      </c>
      <c r="P57" s="625"/>
      <c r="Q57" s="624">
        <v>21</v>
      </c>
      <c r="R57" s="625"/>
      <c r="S57" s="624">
        <v>22</v>
      </c>
      <c r="T57" s="625"/>
      <c r="U57" s="624">
        <v>23</v>
      </c>
      <c r="V57" s="625"/>
    </row>
    <row r="58" spans="1:22" ht="22" thickTop="1" thickBot="1" x14ac:dyDescent="0.5">
      <c r="A58" s="250"/>
      <c r="B58" s="250"/>
      <c r="C58" s="250"/>
      <c r="D58" s="250"/>
      <c r="E58" s="250"/>
      <c r="F58" s="250"/>
      <c r="H58" s="190"/>
      <c r="I58" s="626" t="s">
        <v>224</v>
      </c>
      <c r="J58" s="627"/>
      <c r="K58" s="626" t="s">
        <v>225</v>
      </c>
      <c r="L58" s="627"/>
      <c r="M58" s="626" t="s">
        <v>226</v>
      </c>
      <c r="N58" s="627"/>
      <c r="O58" s="626" t="s">
        <v>227</v>
      </c>
      <c r="P58" s="627"/>
      <c r="Q58" s="626" t="s">
        <v>228</v>
      </c>
      <c r="R58" s="627"/>
      <c r="S58" s="626" t="s">
        <v>229</v>
      </c>
      <c r="T58" s="627"/>
      <c r="U58" s="626" t="s">
        <v>230</v>
      </c>
      <c r="V58" s="627"/>
    </row>
    <row r="59" spans="1:22" ht="17.5" thickTop="1" x14ac:dyDescent="0.45">
      <c r="A59" s="250"/>
      <c r="B59" s="250"/>
      <c r="C59" s="250"/>
      <c r="D59" s="250"/>
      <c r="E59" s="250"/>
      <c r="F59" s="250"/>
      <c r="H59" s="614">
        <v>10</v>
      </c>
      <c r="I59" s="204"/>
      <c r="J59" s="203"/>
      <c r="K59" s="202"/>
      <c r="L59" s="203"/>
      <c r="M59" s="202"/>
      <c r="N59" s="203"/>
      <c r="O59" s="251"/>
      <c r="P59" s="203"/>
      <c r="Q59" s="202"/>
      <c r="R59" s="203"/>
      <c r="S59" s="202"/>
      <c r="T59" s="205"/>
      <c r="U59" s="202"/>
      <c r="V59" s="203"/>
    </row>
    <row r="60" spans="1:22" ht="17.5" thickBot="1" x14ac:dyDescent="0.5">
      <c r="A60" s="250"/>
      <c r="B60" s="250"/>
      <c r="C60" s="250"/>
      <c r="D60" s="250"/>
      <c r="E60" s="250"/>
      <c r="F60" s="250"/>
      <c r="H60" s="610"/>
      <c r="I60" s="207"/>
      <c r="J60" s="208"/>
      <c r="K60" s="207"/>
      <c r="L60" s="208"/>
      <c r="M60" s="207"/>
      <c r="N60" s="208"/>
      <c r="O60" s="207"/>
      <c r="P60" s="208"/>
      <c r="Q60" s="207"/>
      <c r="R60" s="208"/>
      <c r="S60" s="207"/>
      <c r="T60" s="208"/>
      <c r="U60" s="207"/>
      <c r="V60" s="208"/>
    </row>
    <row r="61" spans="1:22" ht="17.5" thickTop="1" x14ac:dyDescent="0.45">
      <c r="A61" s="250"/>
      <c r="B61" s="250"/>
      <c r="C61" s="250"/>
      <c r="D61" s="250"/>
      <c r="E61" s="250"/>
      <c r="F61" s="250"/>
      <c r="H61" s="609">
        <v>11</v>
      </c>
      <c r="I61" s="211"/>
      <c r="J61" s="205"/>
      <c r="K61" s="204"/>
      <c r="L61" s="205"/>
      <c r="M61" s="249"/>
      <c r="N61" s="205"/>
      <c r="O61" s="204"/>
      <c r="P61" s="205"/>
      <c r="Q61" s="204"/>
      <c r="R61" s="205"/>
      <c r="S61" s="204" t="s">
        <v>173</v>
      </c>
      <c r="T61" s="205"/>
      <c r="U61" s="204"/>
      <c r="V61" s="205"/>
    </row>
    <row r="62" spans="1:22" ht="17.5" thickBot="1" x14ac:dyDescent="0.5">
      <c r="A62" s="250"/>
      <c r="B62" s="250"/>
      <c r="C62" s="250"/>
      <c r="D62" s="250"/>
      <c r="E62" s="250"/>
      <c r="F62" s="250"/>
      <c r="H62" s="610"/>
      <c r="I62" s="207"/>
      <c r="J62" s="208"/>
      <c r="K62" s="207"/>
      <c r="L62" s="208"/>
      <c r="M62" s="207"/>
      <c r="N62" s="208"/>
      <c r="O62" s="207"/>
      <c r="P62" s="208"/>
      <c r="Q62" s="207"/>
      <c r="R62" s="208"/>
      <c r="S62" s="207"/>
      <c r="T62" s="208"/>
      <c r="U62" s="207"/>
      <c r="V62" s="208"/>
    </row>
    <row r="63" spans="1:22" ht="17.5" thickTop="1" x14ac:dyDescent="0.45">
      <c r="A63" s="250"/>
      <c r="B63" s="250"/>
      <c r="C63" s="250"/>
      <c r="D63" s="250"/>
      <c r="E63" s="250"/>
      <c r="F63" s="250"/>
      <c r="H63" s="609">
        <v>12</v>
      </c>
      <c r="I63" s="204"/>
      <c r="J63" s="205"/>
      <c r="K63" s="204"/>
      <c r="L63" s="205"/>
      <c r="M63" s="204"/>
      <c r="N63" s="205"/>
      <c r="O63" s="204"/>
      <c r="P63" s="205"/>
      <c r="Q63" s="204" t="s">
        <v>129</v>
      </c>
      <c r="R63" s="205"/>
      <c r="S63" s="204" t="s">
        <v>295</v>
      </c>
      <c r="T63" s="205" t="s">
        <v>298</v>
      </c>
      <c r="U63" s="204"/>
      <c r="V63" s="205"/>
    </row>
    <row r="64" spans="1:22" ht="17.5" thickBot="1" x14ac:dyDescent="0.5">
      <c r="A64" s="250"/>
      <c r="B64" s="250"/>
      <c r="C64" s="286"/>
      <c r="D64" s="286"/>
      <c r="E64" s="250"/>
      <c r="F64" s="250"/>
      <c r="H64" s="610"/>
      <c r="I64" s="207"/>
      <c r="J64" s="208"/>
      <c r="K64" s="207"/>
      <c r="L64" s="208"/>
      <c r="M64" s="207"/>
      <c r="N64" s="208"/>
      <c r="O64" s="207"/>
      <c r="P64" s="208"/>
      <c r="Q64" s="207"/>
      <c r="R64" s="208"/>
      <c r="S64" s="207"/>
      <c r="T64" s="208"/>
      <c r="U64" s="207"/>
      <c r="V64" s="208"/>
    </row>
    <row r="65" spans="1:22" ht="17.5" thickTop="1" x14ac:dyDescent="0.45">
      <c r="A65" s="250"/>
      <c r="B65" s="250"/>
      <c r="C65" s="286"/>
      <c r="D65" s="286"/>
      <c r="E65" s="250"/>
      <c r="F65" s="250"/>
      <c r="H65" s="609">
        <v>1</v>
      </c>
      <c r="I65" s="204"/>
      <c r="J65" s="205"/>
      <c r="K65" s="204"/>
      <c r="L65" s="205"/>
      <c r="M65" s="204"/>
      <c r="N65" s="205"/>
      <c r="O65" s="249"/>
      <c r="P65" s="205"/>
      <c r="Q65" s="204" t="s">
        <v>354</v>
      </c>
      <c r="R65" s="205"/>
      <c r="S65" s="204"/>
      <c r="T65" s="205"/>
      <c r="U65" s="204"/>
      <c r="V65" s="205"/>
    </row>
    <row r="66" spans="1:22" ht="17.5" thickBot="1" x14ac:dyDescent="0.5">
      <c r="A66" s="250"/>
      <c r="B66" s="250"/>
      <c r="C66" s="286"/>
      <c r="D66" s="286"/>
      <c r="E66" s="250"/>
      <c r="F66" s="250"/>
      <c r="H66" s="610"/>
      <c r="I66" s="207"/>
      <c r="J66" s="208"/>
      <c r="K66" s="207"/>
      <c r="L66" s="208"/>
      <c r="M66" s="207"/>
      <c r="N66" s="208"/>
      <c r="O66" s="207"/>
      <c r="P66" s="208"/>
      <c r="Q66" s="207"/>
      <c r="R66" s="208"/>
      <c r="S66" s="207"/>
      <c r="T66" s="208"/>
      <c r="U66" s="207"/>
      <c r="V66" s="208"/>
    </row>
    <row r="67" spans="1:22" ht="17.5" thickTop="1" x14ac:dyDescent="0.45">
      <c r="A67" s="250"/>
      <c r="B67" s="250"/>
      <c r="C67" s="286"/>
      <c r="D67" s="286"/>
      <c r="E67" s="250"/>
      <c r="F67" s="250"/>
      <c r="H67" s="609">
        <v>2</v>
      </c>
      <c r="I67" s="204"/>
      <c r="J67" s="205"/>
      <c r="K67" s="204"/>
      <c r="L67" s="205"/>
      <c r="M67" s="204"/>
      <c r="N67" s="205"/>
      <c r="O67" s="204"/>
      <c r="P67" s="205"/>
      <c r="Q67" s="204" t="s">
        <v>125</v>
      </c>
      <c r="R67" s="205"/>
      <c r="S67" s="204"/>
      <c r="T67" s="205"/>
      <c r="U67" s="204"/>
      <c r="V67" s="205"/>
    </row>
    <row r="68" spans="1:22" ht="17.5" thickBot="1" x14ac:dyDescent="0.5">
      <c r="A68" s="250"/>
      <c r="B68" s="250"/>
      <c r="C68" s="250"/>
      <c r="D68" s="250"/>
      <c r="E68" s="250"/>
      <c r="F68" s="250"/>
      <c r="H68" s="610"/>
      <c r="I68" s="207"/>
      <c r="J68" s="208"/>
      <c r="K68" s="207"/>
      <c r="L68" s="208"/>
      <c r="M68" s="207"/>
      <c r="N68" s="208"/>
      <c r="O68" s="207"/>
      <c r="P68" s="208"/>
      <c r="Q68" s="207"/>
      <c r="R68" s="208"/>
      <c r="S68" s="207"/>
      <c r="T68" s="208"/>
      <c r="U68" s="207"/>
      <c r="V68" s="208"/>
    </row>
    <row r="69" spans="1:22" ht="17.5" thickTop="1" x14ac:dyDescent="0.45">
      <c r="A69" s="250"/>
      <c r="B69" s="250"/>
      <c r="C69" s="250"/>
      <c r="D69" s="250"/>
      <c r="E69" s="250"/>
      <c r="F69" s="250"/>
      <c r="H69" s="609">
        <v>3</v>
      </c>
      <c r="I69" s="204"/>
      <c r="J69" s="205"/>
      <c r="K69" s="249" t="s">
        <v>1</v>
      </c>
      <c r="L69" s="254"/>
      <c r="M69" s="249" t="s">
        <v>267</v>
      </c>
      <c r="N69" s="254" t="s">
        <v>262</v>
      </c>
      <c r="O69" s="249" t="s">
        <v>20</v>
      </c>
      <c r="P69" s="205"/>
      <c r="Q69" s="204" t="s">
        <v>1</v>
      </c>
      <c r="R69" s="205"/>
      <c r="S69" s="204"/>
      <c r="T69" s="205"/>
      <c r="U69" s="204"/>
      <c r="V69" s="205"/>
    </row>
    <row r="70" spans="1:22" ht="17.5" thickBot="1" x14ac:dyDescent="0.5">
      <c r="A70" s="250"/>
      <c r="B70" s="250"/>
      <c r="C70" s="250"/>
      <c r="D70" s="250"/>
      <c r="E70" s="250"/>
      <c r="F70" s="250"/>
      <c r="H70" s="610"/>
      <c r="I70" s="207"/>
      <c r="J70" s="208"/>
      <c r="K70" s="253"/>
      <c r="L70" s="252"/>
      <c r="M70" s="253" t="s">
        <v>243</v>
      </c>
      <c r="N70" s="252" t="s">
        <v>246</v>
      </c>
      <c r="O70" s="207"/>
      <c r="P70" s="208"/>
      <c r="Q70" s="207"/>
      <c r="R70" s="208"/>
      <c r="S70" s="207"/>
      <c r="T70" s="208"/>
      <c r="U70" s="207"/>
      <c r="V70" s="208"/>
    </row>
    <row r="71" spans="1:22" ht="17.5" thickTop="1" x14ac:dyDescent="0.45">
      <c r="A71" s="250"/>
      <c r="B71" s="250"/>
      <c r="C71" s="250"/>
      <c r="D71" s="250"/>
      <c r="E71" s="250"/>
      <c r="F71" s="250"/>
      <c r="H71" s="609">
        <v>4</v>
      </c>
      <c r="I71" s="204"/>
      <c r="J71" s="205"/>
      <c r="K71" s="249" t="s">
        <v>269</v>
      </c>
      <c r="L71" s="254"/>
      <c r="M71" s="249" t="s">
        <v>173</v>
      </c>
      <c r="N71" s="254"/>
      <c r="O71" s="204"/>
      <c r="P71" s="205"/>
      <c r="Q71" s="204" t="s">
        <v>132</v>
      </c>
      <c r="R71" s="205"/>
      <c r="S71" s="204"/>
      <c r="T71" s="205"/>
      <c r="U71" s="204"/>
      <c r="V71" s="205"/>
    </row>
    <row r="72" spans="1:22" ht="17.5" thickBot="1" x14ac:dyDescent="0.5">
      <c r="A72" s="250"/>
      <c r="B72" s="250"/>
      <c r="C72" s="250"/>
      <c r="D72" s="250"/>
      <c r="E72" s="250"/>
      <c r="F72" s="250"/>
      <c r="H72" s="610"/>
      <c r="I72" s="207"/>
      <c r="J72" s="208"/>
      <c r="K72" s="253"/>
      <c r="L72" s="252"/>
      <c r="M72" s="207"/>
      <c r="N72" s="208"/>
      <c r="O72" s="207"/>
      <c r="P72" s="208"/>
      <c r="Q72" s="207"/>
      <c r="R72" s="208"/>
      <c r="S72" s="207"/>
      <c r="T72" s="208"/>
      <c r="U72" s="207"/>
      <c r="V72" s="208"/>
    </row>
    <row r="73" spans="1:22" ht="17.5" thickTop="1" x14ac:dyDescent="0.45">
      <c r="A73" s="250"/>
      <c r="B73" s="286"/>
      <c r="C73" s="250"/>
      <c r="D73" s="250"/>
      <c r="E73" s="250"/>
      <c r="F73" s="250"/>
      <c r="H73" s="609">
        <v>5</v>
      </c>
      <c r="I73" s="204"/>
      <c r="J73" s="205"/>
      <c r="K73" s="249" t="s">
        <v>134</v>
      </c>
      <c r="L73" s="279"/>
      <c r="M73" s="249" t="s">
        <v>183</v>
      </c>
      <c r="N73" s="254" t="s">
        <v>270</v>
      </c>
      <c r="O73" s="204"/>
      <c r="P73" s="205"/>
      <c r="Q73" s="204"/>
      <c r="R73" s="205"/>
      <c r="S73" s="204" t="s">
        <v>74</v>
      </c>
      <c r="T73" s="205"/>
      <c r="U73" s="204"/>
      <c r="V73" s="205"/>
    </row>
    <row r="74" spans="1:22" ht="17.5" thickBot="1" x14ac:dyDescent="0.5">
      <c r="A74" s="250"/>
      <c r="B74" s="250"/>
      <c r="C74" s="250"/>
      <c r="D74" s="250"/>
      <c r="E74" s="250"/>
      <c r="F74" s="250"/>
      <c r="H74" s="610"/>
      <c r="I74" s="207"/>
      <c r="J74" s="208"/>
      <c r="K74" s="280"/>
      <c r="L74" s="281"/>
      <c r="M74" s="207"/>
      <c r="N74" s="208"/>
      <c r="O74" s="207"/>
      <c r="P74" s="208"/>
      <c r="Q74" s="207"/>
      <c r="R74" s="208"/>
      <c r="S74" s="207"/>
      <c r="T74" s="208"/>
      <c r="U74" s="207"/>
      <c r="V74" s="208"/>
    </row>
    <row r="75" spans="1:22" ht="17.5" thickTop="1" x14ac:dyDescent="0.45">
      <c r="A75" s="250"/>
      <c r="B75" s="250"/>
      <c r="C75" s="286"/>
      <c r="D75" s="286"/>
      <c r="E75" s="286"/>
      <c r="F75" s="250"/>
      <c r="H75" s="609">
        <v>6</v>
      </c>
      <c r="I75" s="204"/>
      <c r="J75" s="205"/>
      <c r="K75" s="282" t="s">
        <v>300</v>
      </c>
      <c r="L75" s="278" t="s">
        <v>319</v>
      </c>
      <c r="M75" s="204"/>
      <c r="N75" s="205"/>
      <c r="O75" s="204"/>
      <c r="P75" s="205"/>
      <c r="Q75" s="204" t="s">
        <v>169</v>
      </c>
      <c r="R75" s="205" t="s">
        <v>183</v>
      </c>
      <c r="S75" s="204"/>
      <c r="T75" s="205"/>
      <c r="U75" s="204"/>
      <c r="V75" s="205"/>
    </row>
    <row r="76" spans="1:22" x14ac:dyDescent="0.45">
      <c r="A76" s="250"/>
      <c r="B76" s="286"/>
      <c r="C76" s="286"/>
      <c r="D76" s="286"/>
      <c r="E76" s="286"/>
      <c r="F76" s="250"/>
      <c r="H76" s="609"/>
      <c r="I76" s="204"/>
      <c r="J76" s="205"/>
      <c r="K76" s="283" t="s">
        <v>318</v>
      </c>
      <c r="L76" s="254" t="s">
        <v>306</v>
      </c>
      <c r="M76" s="204"/>
      <c r="N76" s="205"/>
      <c r="O76" s="204"/>
      <c r="P76" s="205"/>
      <c r="Q76" s="204"/>
      <c r="R76" s="205"/>
      <c r="S76" s="204"/>
      <c r="T76" s="205"/>
      <c r="U76" s="204"/>
      <c r="V76" s="205"/>
    </row>
    <row r="77" spans="1:22" x14ac:dyDescent="0.45">
      <c r="A77" s="286"/>
      <c r="B77" s="286"/>
      <c r="C77" s="286"/>
      <c r="D77" s="286"/>
      <c r="E77" s="286"/>
      <c r="F77" s="250"/>
      <c r="H77" s="609"/>
      <c r="I77" s="204"/>
      <c r="J77" s="205"/>
      <c r="K77" s="283" t="s">
        <v>260</v>
      </c>
      <c r="L77" s="254"/>
      <c r="M77" s="204"/>
      <c r="N77" s="205"/>
      <c r="O77" s="204"/>
      <c r="P77" s="205"/>
      <c r="Q77" s="204"/>
      <c r="R77" s="205"/>
      <c r="S77" s="204"/>
      <c r="T77" s="205"/>
      <c r="U77" s="204"/>
      <c r="V77" s="205"/>
    </row>
    <row r="78" spans="1:22" ht="17.5" thickBot="1" x14ac:dyDescent="0.5">
      <c r="A78" s="286"/>
      <c r="B78" s="286"/>
      <c r="C78" s="286"/>
      <c r="D78" s="286"/>
      <c r="E78" s="286"/>
      <c r="F78" s="250"/>
      <c r="H78" s="610"/>
      <c r="I78" s="207"/>
      <c r="J78" s="208"/>
      <c r="K78" s="253" t="s">
        <v>317</v>
      </c>
      <c r="L78" s="252" t="s">
        <v>253</v>
      </c>
      <c r="M78" s="207"/>
      <c r="N78" s="208"/>
      <c r="O78" s="207"/>
      <c r="P78" s="208"/>
      <c r="Q78" s="207"/>
      <c r="R78" s="208"/>
      <c r="S78" s="207"/>
      <c r="T78" s="208"/>
      <c r="U78" s="207"/>
      <c r="V78" s="208"/>
    </row>
    <row r="79" spans="1:22" ht="21.5" thickTop="1" x14ac:dyDescent="0.45">
      <c r="A79" s="250"/>
      <c r="B79" s="250"/>
      <c r="C79" s="289"/>
      <c r="D79" s="290"/>
      <c r="E79" s="289"/>
      <c r="F79" s="250"/>
      <c r="H79" s="609">
        <v>7</v>
      </c>
      <c r="I79" s="204"/>
      <c r="J79" s="205"/>
      <c r="K79" s="204"/>
      <c r="L79" s="205"/>
      <c r="M79" s="204"/>
      <c r="N79" s="205"/>
      <c r="O79" s="204" t="s">
        <v>51</v>
      </c>
      <c r="P79" s="205"/>
      <c r="Q79" s="204"/>
      <c r="R79" s="205"/>
      <c r="S79" s="204"/>
      <c r="T79" s="205"/>
      <c r="U79" s="204"/>
      <c r="V79" s="205"/>
    </row>
    <row r="80" spans="1:22" ht="17.5" thickBot="1" x14ac:dyDescent="0.5">
      <c r="A80" s="250"/>
      <c r="B80" s="250"/>
      <c r="C80" s="250"/>
      <c r="D80" s="250"/>
      <c r="E80" s="250"/>
      <c r="F80" s="286"/>
      <c r="H80" s="610"/>
      <c r="I80" s="207"/>
      <c r="J80" s="208"/>
      <c r="K80" s="207"/>
      <c r="L80" s="208"/>
      <c r="M80" s="207"/>
      <c r="N80" s="208"/>
      <c r="O80" s="207"/>
      <c r="P80" s="208"/>
      <c r="Q80" s="207"/>
      <c r="R80" s="208"/>
      <c r="S80" s="207"/>
      <c r="T80" s="208"/>
      <c r="U80" s="207"/>
      <c r="V80" s="208"/>
    </row>
    <row r="81" spans="1:22" ht="17.5" thickTop="1" x14ac:dyDescent="0.45">
      <c r="A81" s="286"/>
      <c r="B81" s="250"/>
      <c r="C81" s="250"/>
      <c r="D81" s="250"/>
      <c r="E81" s="250"/>
      <c r="F81" s="286"/>
      <c r="H81" s="112"/>
      <c r="I81" s="112"/>
      <c r="J81" s="112"/>
      <c r="K81" s="112"/>
      <c r="L81" s="112"/>
      <c r="M81" s="112"/>
      <c r="N81" s="112"/>
      <c r="O81" s="112"/>
      <c r="P81" s="112"/>
      <c r="Q81" s="112"/>
      <c r="R81" s="112"/>
      <c r="S81" s="112"/>
      <c r="T81" s="112"/>
      <c r="U81" s="112"/>
    </row>
    <row r="82" spans="1:22" x14ac:dyDescent="0.45">
      <c r="A82" s="286"/>
      <c r="B82" s="250"/>
      <c r="C82" s="250"/>
      <c r="D82" s="250"/>
      <c r="E82" s="250"/>
      <c r="F82" s="286"/>
      <c r="H82" s="112"/>
      <c r="I82" s="112"/>
      <c r="J82" s="112"/>
      <c r="K82" s="112"/>
      <c r="L82" s="112"/>
      <c r="M82" s="112"/>
      <c r="N82" s="112"/>
      <c r="O82" s="112"/>
      <c r="P82" s="112"/>
      <c r="Q82" s="112"/>
      <c r="R82" s="112"/>
      <c r="S82" s="112"/>
      <c r="T82" s="112"/>
      <c r="U82" s="112"/>
    </row>
    <row r="83" spans="1:22" ht="17.5" thickBot="1" x14ac:dyDescent="0.5">
      <c r="A83" s="286"/>
      <c r="B83" s="250"/>
      <c r="C83" s="250"/>
      <c r="D83" s="250"/>
      <c r="E83" s="250"/>
      <c r="F83" s="286"/>
    </row>
    <row r="84" spans="1:22" ht="27" thickTop="1" thickBot="1" x14ac:dyDescent="0.5">
      <c r="A84" s="289"/>
      <c r="B84" s="250"/>
      <c r="C84" s="250"/>
      <c r="D84" s="250"/>
      <c r="E84" s="250"/>
      <c r="F84" s="290"/>
      <c r="H84" s="611" t="s">
        <v>261</v>
      </c>
      <c r="I84" s="612"/>
      <c r="J84" s="613"/>
      <c r="K84" s="185"/>
      <c r="L84" s="186"/>
      <c r="M84" s="186"/>
      <c r="N84" s="186"/>
      <c r="O84" s="186"/>
      <c r="P84" s="186"/>
    </row>
    <row r="85" spans="1:22" ht="26.5" thickTop="1" thickBot="1" x14ac:dyDescent="0.5">
      <c r="A85" s="250"/>
      <c r="B85" s="250"/>
      <c r="C85" s="250"/>
      <c r="D85" s="250"/>
      <c r="E85" s="250"/>
      <c r="F85" s="250"/>
      <c r="H85" s="189"/>
      <c r="I85" s="624">
        <v>24</v>
      </c>
      <c r="J85" s="625"/>
      <c r="K85" s="624">
        <v>25</v>
      </c>
      <c r="L85" s="625"/>
      <c r="M85" s="624">
        <v>26</v>
      </c>
      <c r="N85" s="625"/>
      <c r="O85" s="624">
        <v>27</v>
      </c>
      <c r="P85" s="625"/>
      <c r="Q85" s="624">
        <v>28</v>
      </c>
      <c r="R85" s="625"/>
      <c r="S85" s="630">
        <v>29</v>
      </c>
      <c r="T85" s="631"/>
      <c r="U85" s="630">
        <v>30</v>
      </c>
      <c r="V85" s="631"/>
    </row>
    <row r="86" spans="1:22" ht="22" thickTop="1" thickBot="1" x14ac:dyDescent="0.5">
      <c r="A86" s="250"/>
      <c r="B86" s="250"/>
      <c r="C86" s="250"/>
      <c r="D86" s="250"/>
      <c r="E86" s="250"/>
      <c r="F86" s="250"/>
      <c r="H86" s="190"/>
      <c r="I86" s="628" t="s">
        <v>224</v>
      </c>
      <c r="J86" s="629"/>
      <c r="K86" s="628" t="s">
        <v>225</v>
      </c>
      <c r="L86" s="629"/>
      <c r="M86" s="628" t="s">
        <v>226</v>
      </c>
      <c r="N86" s="629"/>
      <c r="O86" s="628" t="s">
        <v>227</v>
      </c>
      <c r="P86" s="629"/>
      <c r="Q86" s="628" t="s">
        <v>202</v>
      </c>
      <c r="R86" s="629"/>
      <c r="S86" s="632" t="s">
        <v>200</v>
      </c>
      <c r="T86" s="633"/>
      <c r="U86" s="632" t="s">
        <v>201</v>
      </c>
      <c r="V86" s="633"/>
    </row>
    <row r="87" spans="1:22" ht="17.5" thickTop="1" x14ac:dyDescent="0.45">
      <c r="A87" s="250"/>
      <c r="B87" s="250"/>
      <c r="C87" s="250"/>
      <c r="D87" s="250"/>
      <c r="E87" s="250"/>
      <c r="F87" s="250"/>
      <c r="H87" s="614">
        <v>10</v>
      </c>
      <c r="I87" s="37"/>
      <c r="J87" s="203"/>
      <c r="K87" s="37"/>
      <c r="L87" s="203"/>
      <c r="M87" s="202"/>
      <c r="N87" s="203"/>
      <c r="O87" s="202"/>
      <c r="P87" s="203"/>
      <c r="Q87" s="202"/>
      <c r="R87" s="203"/>
      <c r="S87" s="255"/>
      <c r="T87" s="256"/>
      <c r="U87" s="255"/>
      <c r="V87" s="256"/>
    </row>
    <row r="88" spans="1:22" ht="17.5" thickBot="1" x14ac:dyDescent="0.5">
      <c r="A88" s="250"/>
      <c r="B88" s="250"/>
      <c r="C88" s="250"/>
      <c r="D88" s="250"/>
      <c r="E88" s="250"/>
      <c r="F88" s="250"/>
      <c r="H88" s="610"/>
      <c r="I88" s="207"/>
      <c r="J88" s="208"/>
      <c r="K88" s="207"/>
      <c r="L88" s="208"/>
      <c r="M88" s="207"/>
      <c r="N88" s="208"/>
      <c r="O88" s="207"/>
      <c r="P88" s="208"/>
      <c r="Q88" s="207"/>
      <c r="R88" s="208"/>
      <c r="S88" s="257"/>
      <c r="T88" s="258"/>
      <c r="U88" s="257"/>
      <c r="V88" s="258"/>
    </row>
    <row r="89" spans="1:22" ht="17.5" thickTop="1" x14ac:dyDescent="0.45">
      <c r="A89" s="250"/>
      <c r="B89" s="250"/>
      <c r="C89" s="250"/>
      <c r="D89" s="250"/>
      <c r="E89" s="250"/>
      <c r="F89" s="250"/>
      <c r="H89" s="609">
        <v>11</v>
      </c>
      <c r="I89" s="204"/>
      <c r="J89" s="205"/>
      <c r="K89" s="204"/>
      <c r="L89" s="205"/>
      <c r="M89" s="204"/>
      <c r="N89" s="205"/>
      <c r="O89" s="204"/>
      <c r="P89" s="205"/>
      <c r="Q89" s="204"/>
      <c r="R89" s="205"/>
      <c r="S89" s="259"/>
      <c r="T89" s="260"/>
      <c r="U89" s="259"/>
      <c r="V89" s="260"/>
    </row>
    <row r="90" spans="1:22" ht="17.5" thickBot="1" x14ac:dyDescent="0.5">
      <c r="A90" s="250"/>
      <c r="B90" s="250"/>
      <c r="C90" s="250"/>
      <c r="D90" s="250"/>
      <c r="E90" s="250"/>
      <c r="F90" s="250"/>
      <c r="H90" s="610"/>
      <c r="I90" s="207"/>
      <c r="J90" s="208"/>
      <c r="K90" s="207"/>
      <c r="L90" s="208"/>
      <c r="M90" s="207"/>
      <c r="N90" s="208"/>
      <c r="O90" s="207"/>
      <c r="P90" s="208"/>
      <c r="Q90" s="207"/>
      <c r="R90" s="208"/>
      <c r="S90" s="257"/>
      <c r="T90" s="258"/>
      <c r="U90" s="257"/>
      <c r="V90" s="258"/>
    </row>
    <row r="91" spans="1:22" ht="17.25" customHeight="1" thickTop="1" x14ac:dyDescent="0.45">
      <c r="A91" s="250"/>
      <c r="B91" s="250"/>
      <c r="C91" s="250"/>
      <c r="D91" s="250"/>
      <c r="E91" s="250"/>
      <c r="F91" s="250"/>
      <c r="H91" s="609">
        <v>12</v>
      </c>
      <c r="I91" s="204"/>
      <c r="J91" s="205"/>
      <c r="K91" s="204"/>
      <c r="L91" s="205"/>
      <c r="M91" s="204"/>
      <c r="N91" s="205"/>
      <c r="O91" s="204"/>
      <c r="P91" s="205"/>
      <c r="Q91" s="204"/>
      <c r="R91" s="205"/>
      <c r="S91" s="259"/>
      <c r="T91" s="260"/>
      <c r="U91" s="259"/>
      <c r="V91" s="260"/>
    </row>
    <row r="92" spans="1:22" ht="17.25" customHeight="1" thickBot="1" x14ac:dyDescent="0.5">
      <c r="A92" s="250"/>
      <c r="B92" s="250"/>
      <c r="C92" s="286"/>
      <c r="D92" s="286"/>
      <c r="E92" s="250"/>
      <c r="F92" s="250"/>
      <c r="H92" s="610"/>
      <c r="I92" s="207"/>
      <c r="J92" s="208"/>
      <c r="K92" s="207"/>
      <c r="L92" s="208"/>
      <c r="M92" s="207"/>
      <c r="N92" s="208"/>
      <c r="O92" s="207"/>
      <c r="P92" s="208"/>
      <c r="Q92" s="207"/>
      <c r="R92" s="208"/>
      <c r="S92" s="257"/>
      <c r="T92" s="258"/>
      <c r="U92" s="257"/>
      <c r="V92" s="258"/>
    </row>
    <row r="93" spans="1:22" ht="17.25" customHeight="1" thickTop="1" x14ac:dyDescent="0.45">
      <c r="A93" s="250"/>
      <c r="B93" s="250"/>
      <c r="C93" s="286"/>
      <c r="D93" s="286"/>
      <c r="E93" s="250"/>
      <c r="F93" s="250"/>
      <c r="H93" s="609">
        <v>1</v>
      </c>
      <c r="I93" s="204"/>
      <c r="J93" s="205"/>
      <c r="K93" s="204"/>
      <c r="L93" s="205"/>
      <c r="N93" s="205"/>
      <c r="O93" s="249"/>
      <c r="P93" s="205"/>
      <c r="Q93" s="204"/>
      <c r="R93" s="205"/>
      <c r="S93" s="259"/>
      <c r="T93" s="260"/>
      <c r="U93" s="259"/>
      <c r="V93" s="260"/>
    </row>
    <row r="94" spans="1:22" ht="17.25" customHeight="1" thickBot="1" x14ac:dyDescent="0.5">
      <c r="A94" s="250"/>
      <c r="B94" s="250"/>
      <c r="C94" s="286"/>
      <c r="D94" s="286"/>
      <c r="E94" s="250"/>
      <c r="F94" s="250"/>
      <c r="H94" s="610"/>
      <c r="I94" s="207"/>
      <c r="J94" s="208"/>
      <c r="K94" s="207"/>
      <c r="L94" s="208"/>
      <c r="M94" s="207"/>
      <c r="N94" s="208"/>
      <c r="O94" s="207"/>
      <c r="P94" s="208"/>
      <c r="Q94" s="207"/>
      <c r="R94" s="208"/>
      <c r="S94" s="257"/>
      <c r="T94" s="258"/>
      <c r="U94" s="257"/>
      <c r="V94" s="258"/>
    </row>
    <row r="95" spans="1:22" ht="17.25" customHeight="1" thickTop="1" x14ac:dyDescent="0.45">
      <c r="A95" s="250"/>
      <c r="B95" s="250"/>
      <c r="C95" s="286"/>
      <c r="D95" s="286"/>
      <c r="E95" s="250"/>
      <c r="F95" s="250"/>
      <c r="H95" s="609">
        <v>2</v>
      </c>
      <c r="I95" s="204"/>
      <c r="J95" s="205"/>
      <c r="K95" s="204"/>
      <c r="L95" s="205"/>
      <c r="M95" s="204"/>
      <c r="N95" s="205"/>
      <c r="O95" s="204"/>
      <c r="P95" s="205"/>
      <c r="Q95" s="204"/>
      <c r="R95" s="205"/>
      <c r="S95" s="259"/>
      <c r="T95" s="260"/>
      <c r="U95" s="259"/>
      <c r="V95" s="260"/>
    </row>
    <row r="96" spans="1:22" ht="17.25" customHeight="1" thickBot="1" x14ac:dyDescent="0.5">
      <c r="A96" s="250"/>
      <c r="B96" s="250"/>
      <c r="C96" s="250"/>
      <c r="D96" s="250"/>
      <c r="E96" s="250"/>
      <c r="F96" s="250"/>
      <c r="H96" s="610"/>
      <c r="I96" s="207"/>
      <c r="J96" s="208"/>
      <c r="K96" s="207"/>
      <c r="L96" s="208"/>
      <c r="M96" s="207"/>
      <c r="N96" s="208"/>
      <c r="O96" s="207"/>
      <c r="P96" s="208"/>
      <c r="Q96" s="207"/>
      <c r="R96" s="208"/>
      <c r="S96" s="257"/>
      <c r="T96" s="258"/>
      <c r="U96" s="257"/>
      <c r="V96" s="258"/>
    </row>
    <row r="97" spans="1:22" ht="17.25" customHeight="1" thickTop="1" x14ac:dyDescent="0.45">
      <c r="A97" s="250"/>
      <c r="B97" s="250"/>
      <c r="C97" s="250"/>
      <c r="D97" s="250"/>
      <c r="E97" s="250"/>
      <c r="F97" s="250"/>
      <c r="H97" s="609">
        <v>3</v>
      </c>
      <c r="I97" s="204"/>
      <c r="J97" s="205"/>
      <c r="K97" s="249" t="s">
        <v>1</v>
      </c>
      <c r="L97" s="205"/>
      <c r="M97" s="249"/>
      <c r="N97" s="254"/>
      <c r="O97" s="204" t="s">
        <v>377</v>
      </c>
      <c r="P97" s="205"/>
      <c r="Q97" s="204"/>
      <c r="R97" s="205"/>
      <c r="S97" s="259"/>
      <c r="T97" s="260"/>
      <c r="U97" s="259"/>
      <c r="V97" s="260"/>
    </row>
    <row r="98" spans="1:22" ht="17.25" customHeight="1" thickBot="1" x14ac:dyDescent="0.5">
      <c r="A98" s="250"/>
      <c r="B98" s="250"/>
      <c r="C98" s="250"/>
      <c r="D98" s="250"/>
      <c r="E98" s="250"/>
      <c r="F98" s="250"/>
      <c r="H98" s="610"/>
      <c r="I98" s="207"/>
      <c r="J98" s="208"/>
      <c r="K98" s="207"/>
      <c r="L98" s="208"/>
      <c r="M98" s="253"/>
      <c r="N98" s="252"/>
      <c r="O98" s="207"/>
      <c r="P98" s="208"/>
      <c r="Q98" s="207"/>
      <c r="R98" s="208"/>
      <c r="S98" s="257"/>
      <c r="T98" s="258"/>
      <c r="U98" s="257"/>
      <c r="V98" s="258"/>
    </row>
    <row r="99" spans="1:22" ht="17.5" thickTop="1" x14ac:dyDescent="0.45">
      <c r="A99" s="250"/>
      <c r="B99" s="250"/>
      <c r="C99" s="250"/>
      <c r="D99" s="250"/>
      <c r="E99" s="250"/>
      <c r="F99" s="250"/>
      <c r="H99" s="609">
        <v>4</v>
      </c>
      <c r="I99" s="204" t="s">
        <v>168</v>
      </c>
      <c r="J99" s="205"/>
      <c r="K99" s="249"/>
      <c r="L99" s="205"/>
      <c r="M99" s="204"/>
      <c r="N99" s="205"/>
      <c r="O99" s="204"/>
      <c r="P99" s="205"/>
      <c r="Q99" s="249"/>
      <c r="R99" s="205"/>
      <c r="S99" s="259"/>
      <c r="T99" s="260"/>
      <c r="U99" s="259"/>
      <c r="V99" s="260"/>
    </row>
    <row r="100" spans="1:22" ht="17.5" thickBot="1" x14ac:dyDescent="0.5">
      <c r="A100" s="250"/>
      <c r="B100" s="250"/>
      <c r="C100" s="250"/>
      <c r="D100" s="250"/>
      <c r="E100" s="250"/>
      <c r="F100" s="250"/>
      <c r="H100" s="610"/>
      <c r="I100" s="207"/>
      <c r="J100" s="208"/>
      <c r="K100" s="207"/>
      <c r="L100" s="208"/>
      <c r="M100" s="207"/>
      <c r="N100" s="208"/>
      <c r="O100" s="207"/>
      <c r="P100" s="208"/>
      <c r="Q100" s="207"/>
      <c r="R100" s="208"/>
      <c r="S100" s="257"/>
      <c r="T100" s="258"/>
      <c r="U100" s="257"/>
      <c r="V100" s="258"/>
    </row>
    <row r="101" spans="1:22" ht="17.5" thickTop="1" x14ac:dyDescent="0.45">
      <c r="A101" s="250"/>
      <c r="B101" s="286"/>
      <c r="C101" s="250"/>
      <c r="D101" s="250"/>
      <c r="E101" s="250"/>
      <c r="F101" s="250"/>
      <c r="H101" s="609">
        <v>5</v>
      </c>
      <c r="I101" s="204"/>
      <c r="J101" s="205"/>
      <c r="K101" s="204" t="s">
        <v>134</v>
      </c>
      <c r="L101" s="206"/>
      <c r="M101" s="204"/>
      <c r="N101" s="205"/>
      <c r="O101" s="204"/>
      <c r="P101" s="205"/>
      <c r="Q101" s="204"/>
      <c r="R101" s="205"/>
      <c r="S101" s="259"/>
      <c r="T101" s="260"/>
      <c r="U101" s="259"/>
      <c r="V101" s="260"/>
    </row>
    <row r="102" spans="1:22" ht="17.5" thickBot="1" x14ac:dyDescent="0.5">
      <c r="A102" s="250"/>
      <c r="B102" s="250"/>
      <c r="C102" s="250"/>
      <c r="D102" s="250"/>
      <c r="E102" s="250"/>
      <c r="F102" s="250"/>
      <c r="H102" s="610"/>
      <c r="I102" s="207"/>
      <c r="J102" s="208"/>
      <c r="K102" s="215"/>
      <c r="L102" s="216"/>
      <c r="M102" s="207"/>
      <c r="N102" s="208"/>
      <c r="O102" s="207"/>
      <c r="P102" s="208"/>
      <c r="Q102" s="207"/>
      <c r="R102" s="208"/>
      <c r="S102" s="257"/>
      <c r="T102" s="258"/>
      <c r="U102" s="257"/>
      <c r="V102" s="258"/>
    </row>
    <row r="103" spans="1:22" ht="17.5" thickTop="1" x14ac:dyDescent="0.45">
      <c r="A103" s="250"/>
      <c r="B103" s="250"/>
      <c r="C103" s="286"/>
      <c r="D103" s="286"/>
      <c r="E103" s="286"/>
      <c r="F103" s="250"/>
      <c r="H103" s="609">
        <v>6</v>
      </c>
      <c r="I103" s="204"/>
      <c r="J103" s="205"/>
      <c r="K103" s="249" t="s">
        <v>356</v>
      </c>
      <c r="L103" s="254" t="s">
        <v>357</v>
      </c>
      <c r="M103" s="249"/>
      <c r="N103" s="254"/>
      <c r="O103" s="204"/>
      <c r="P103" s="205"/>
      <c r="Q103" s="204"/>
      <c r="R103" s="205"/>
      <c r="S103" s="259"/>
      <c r="T103" s="260"/>
      <c r="U103" s="259"/>
      <c r="V103" s="260"/>
    </row>
    <row r="104" spans="1:22" x14ac:dyDescent="0.45">
      <c r="A104" s="250"/>
      <c r="B104" s="286"/>
      <c r="C104" s="286"/>
      <c r="D104" s="286"/>
      <c r="E104" s="286"/>
      <c r="F104" s="250"/>
      <c r="H104" s="609"/>
      <c r="I104" s="204"/>
      <c r="J104" s="205"/>
      <c r="K104" s="249" t="s">
        <v>358</v>
      </c>
      <c r="L104" s="254" t="s">
        <v>359</v>
      </c>
      <c r="M104" s="204"/>
      <c r="N104" s="205"/>
      <c r="O104" s="204"/>
      <c r="P104" s="205"/>
      <c r="Q104" s="204"/>
      <c r="R104" s="205"/>
      <c r="S104" s="259"/>
      <c r="T104" s="260"/>
      <c r="U104" s="259"/>
      <c r="V104" s="260"/>
    </row>
    <row r="105" spans="1:22" x14ac:dyDescent="0.45">
      <c r="A105" s="286"/>
      <c r="B105" s="286"/>
      <c r="C105" s="286"/>
      <c r="D105" s="286"/>
      <c r="E105" s="286"/>
      <c r="F105" s="250"/>
      <c r="H105" s="609"/>
      <c r="I105" s="204"/>
      <c r="J105" s="205"/>
      <c r="K105" s="283" t="s">
        <v>360</v>
      </c>
      <c r="L105" s="254" t="s">
        <v>361</v>
      </c>
      <c r="M105" s="204"/>
      <c r="N105" s="205"/>
      <c r="O105" s="204"/>
      <c r="P105" s="205"/>
      <c r="Q105" s="204"/>
      <c r="R105" s="205"/>
      <c r="S105" s="259"/>
      <c r="T105" s="260"/>
      <c r="U105" s="259"/>
      <c r="V105" s="260"/>
    </row>
    <row r="106" spans="1:22" ht="21.5" thickBot="1" x14ac:dyDescent="0.5">
      <c r="A106" s="286"/>
      <c r="B106" s="250"/>
      <c r="C106" s="289"/>
      <c r="D106" s="290"/>
      <c r="E106" s="289"/>
      <c r="F106" s="250"/>
      <c r="H106" s="610"/>
      <c r="I106" s="207"/>
      <c r="J106" s="208"/>
      <c r="K106" s="207" t="s">
        <v>362</v>
      </c>
      <c r="L106" s="208" t="s">
        <v>363</v>
      </c>
      <c r="M106" s="207"/>
      <c r="N106" s="208"/>
      <c r="O106" s="207"/>
      <c r="P106" s="208"/>
      <c r="Q106" s="207"/>
      <c r="R106" s="208"/>
      <c r="S106" s="257"/>
      <c r="T106" s="258"/>
      <c r="U106" s="257"/>
      <c r="V106" s="258"/>
    </row>
    <row r="107" spans="1:22" ht="17.5" thickTop="1" x14ac:dyDescent="0.45">
      <c r="A107" s="250"/>
      <c r="B107" s="250"/>
      <c r="C107" s="250"/>
      <c r="D107" s="250"/>
      <c r="E107" s="250"/>
      <c r="F107" s="250"/>
      <c r="H107" s="609">
        <v>7</v>
      </c>
      <c r="I107" s="204"/>
      <c r="J107" s="205"/>
      <c r="K107" s="204" t="s">
        <v>344</v>
      </c>
      <c r="L107" s="205"/>
      <c r="M107" s="204"/>
      <c r="N107" s="205"/>
      <c r="O107" s="204" t="s">
        <v>378</v>
      </c>
      <c r="P107" s="205"/>
      <c r="Q107" s="204"/>
      <c r="R107" s="205"/>
      <c r="S107" s="259"/>
      <c r="T107" s="260"/>
      <c r="U107" s="259"/>
      <c r="V107" s="260"/>
    </row>
    <row r="108" spans="1:22" ht="17.5" thickBot="1" x14ac:dyDescent="0.5">
      <c r="A108" s="250"/>
      <c r="B108" s="250"/>
      <c r="C108" s="250"/>
      <c r="D108" s="250"/>
      <c r="E108" s="250"/>
      <c r="F108" s="286"/>
      <c r="H108" s="610"/>
      <c r="I108" s="207"/>
      <c r="J108" s="208"/>
      <c r="K108" s="207"/>
      <c r="L108" s="208"/>
      <c r="M108" s="207"/>
      <c r="N108" s="208"/>
      <c r="O108" s="207"/>
      <c r="P108" s="208"/>
      <c r="Q108" s="207"/>
      <c r="R108" s="208"/>
      <c r="S108" s="257"/>
      <c r="T108" s="258"/>
      <c r="U108" s="257"/>
      <c r="V108" s="258"/>
    </row>
    <row r="109" spans="1:22" ht="17.5" thickTop="1" x14ac:dyDescent="0.45">
      <c r="A109" s="286"/>
      <c r="B109" s="250"/>
      <c r="C109" s="250"/>
      <c r="D109" s="250"/>
      <c r="E109" s="250"/>
      <c r="F109" s="286"/>
    </row>
    <row r="110" spans="1:22" x14ac:dyDescent="0.45">
      <c r="A110" s="286"/>
      <c r="B110" s="250"/>
      <c r="C110" s="250"/>
      <c r="D110" s="250"/>
      <c r="E110" s="250"/>
      <c r="F110" s="286"/>
    </row>
    <row r="111" spans="1:22" x14ac:dyDescent="0.45">
      <c r="A111" s="286"/>
      <c r="F111" s="286"/>
    </row>
  </sheetData>
  <mergeCells count="104">
    <mergeCell ref="H1:J1"/>
    <mergeCell ref="I2:J2"/>
    <mergeCell ref="K2:L2"/>
    <mergeCell ref="M2:N2"/>
    <mergeCell ref="O2:P2"/>
    <mergeCell ref="Q2:R2"/>
    <mergeCell ref="I3:J3"/>
    <mergeCell ref="K3:L3"/>
    <mergeCell ref="M3:N3"/>
    <mergeCell ref="O3:P3"/>
    <mergeCell ref="Q3:R3"/>
    <mergeCell ref="H12:H13"/>
    <mergeCell ref="H14:H15"/>
    <mergeCell ref="H16:H17"/>
    <mergeCell ref="H18:H19"/>
    <mergeCell ref="H20:H23"/>
    <mergeCell ref="H24:H25"/>
    <mergeCell ref="H31:H32"/>
    <mergeCell ref="H33:H34"/>
    <mergeCell ref="H4:H5"/>
    <mergeCell ref="H6:H7"/>
    <mergeCell ref="H8:H9"/>
    <mergeCell ref="H10:H11"/>
    <mergeCell ref="H28:J28"/>
    <mergeCell ref="I29:J29"/>
    <mergeCell ref="H35:H36"/>
    <mergeCell ref="H37:H38"/>
    <mergeCell ref="H39:H40"/>
    <mergeCell ref="H41:H42"/>
    <mergeCell ref="S29:T29"/>
    <mergeCell ref="U29:V29"/>
    <mergeCell ref="I30:J30"/>
    <mergeCell ref="K30:L30"/>
    <mergeCell ref="M30:N30"/>
    <mergeCell ref="O30:P30"/>
    <mergeCell ref="Q30:R30"/>
    <mergeCell ref="S30:T30"/>
    <mergeCell ref="U30:V30"/>
    <mergeCell ref="Q29:R29"/>
    <mergeCell ref="K29:L29"/>
    <mergeCell ref="M29:N29"/>
    <mergeCell ref="O29:P29"/>
    <mergeCell ref="K57:L57"/>
    <mergeCell ref="M57:N57"/>
    <mergeCell ref="O57:P57"/>
    <mergeCell ref="Q57:R57"/>
    <mergeCell ref="S57:T57"/>
    <mergeCell ref="U57:V57"/>
    <mergeCell ref="H43:H44"/>
    <mergeCell ref="H45:H46"/>
    <mergeCell ref="H47:H50"/>
    <mergeCell ref="H51:H52"/>
    <mergeCell ref="H56:J56"/>
    <mergeCell ref="I57:J57"/>
    <mergeCell ref="H71:H72"/>
    <mergeCell ref="H73:H74"/>
    <mergeCell ref="H75:H78"/>
    <mergeCell ref="H79:H80"/>
    <mergeCell ref="H84:J84"/>
    <mergeCell ref="U58:V58"/>
    <mergeCell ref="H59:H60"/>
    <mergeCell ref="H61:H62"/>
    <mergeCell ref="H63:H64"/>
    <mergeCell ref="H65:H66"/>
    <mergeCell ref="H67:H68"/>
    <mergeCell ref="I58:J58"/>
    <mergeCell ref="K58:L58"/>
    <mergeCell ref="M58:N58"/>
    <mergeCell ref="O58:P58"/>
    <mergeCell ref="Q58:R58"/>
    <mergeCell ref="S58:T58"/>
    <mergeCell ref="H101:H102"/>
    <mergeCell ref="H103:H106"/>
    <mergeCell ref="H107:H108"/>
    <mergeCell ref="H87:H88"/>
    <mergeCell ref="H89:H90"/>
    <mergeCell ref="H91:H92"/>
    <mergeCell ref="H93:H94"/>
    <mergeCell ref="H95:H96"/>
    <mergeCell ref="H97:H98"/>
    <mergeCell ref="U2:V2"/>
    <mergeCell ref="W2:X2"/>
    <mergeCell ref="U3:V3"/>
    <mergeCell ref="W3:X3"/>
    <mergeCell ref="Y2:Z2"/>
    <mergeCell ref="Y3:Z3"/>
    <mergeCell ref="S2:T2"/>
    <mergeCell ref="S3:T3"/>
    <mergeCell ref="H99:H100"/>
    <mergeCell ref="U85:V85"/>
    <mergeCell ref="I86:J86"/>
    <mergeCell ref="K86:L86"/>
    <mergeCell ref="M86:N86"/>
    <mergeCell ref="O86:P86"/>
    <mergeCell ref="Q86:R86"/>
    <mergeCell ref="S86:T86"/>
    <mergeCell ref="U86:V86"/>
    <mergeCell ref="I85:J85"/>
    <mergeCell ref="K85:L85"/>
    <mergeCell ref="M85:N85"/>
    <mergeCell ref="O85:P85"/>
    <mergeCell ref="Q85:R85"/>
    <mergeCell ref="S85:T85"/>
    <mergeCell ref="H69:H70"/>
  </mergeCells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5C6BD-45B6-42B1-A262-4A57A6C08E49}">
  <sheetPr>
    <tabColor theme="9" tint="0.79998168889431442"/>
  </sheetPr>
  <dimension ref="A1:V136"/>
  <sheetViews>
    <sheetView showGridLines="0" workbookViewId="0">
      <selection activeCell="L13" sqref="L13"/>
    </sheetView>
  </sheetViews>
  <sheetFormatPr defaultRowHeight="17" x14ac:dyDescent="0.45"/>
  <cols>
    <col min="1" max="1" width="8.58203125" customWidth="1"/>
    <col min="2" max="2" width="4.08203125" customWidth="1"/>
    <col min="3" max="3" width="8.58203125" customWidth="1"/>
    <col min="4" max="4" width="4.08203125" customWidth="1"/>
    <col min="5" max="5" width="8.58203125" customWidth="1"/>
    <col min="6" max="6" width="4.08203125" customWidth="1"/>
    <col min="7" max="7" width="2.58203125" customWidth="1"/>
    <col min="8" max="8" width="7.08203125" customWidth="1"/>
    <col min="9" max="26" width="7.5" customWidth="1"/>
  </cols>
  <sheetData>
    <row r="1" spans="1:22" ht="27" thickTop="1" thickBot="1" x14ac:dyDescent="0.5">
      <c r="A1" s="182" t="s">
        <v>7</v>
      </c>
      <c r="B1" s="183"/>
      <c r="C1" s="182" t="s">
        <v>9</v>
      </c>
      <c r="D1" s="184" t="s">
        <v>218</v>
      </c>
      <c r="E1" s="182" t="s">
        <v>204</v>
      </c>
      <c r="F1" s="184" t="s">
        <v>220</v>
      </c>
      <c r="H1" s="611" t="s">
        <v>221</v>
      </c>
      <c r="I1" s="612"/>
      <c r="J1" s="613"/>
      <c r="K1" s="185"/>
      <c r="L1" s="186"/>
      <c r="M1" s="186"/>
      <c r="N1" s="186"/>
      <c r="O1" s="186"/>
      <c r="P1" s="186"/>
      <c r="Q1" s="186"/>
      <c r="R1" s="186"/>
    </row>
    <row r="2" spans="1:22" ht="26.5" thickTop="1" thickBot="1" x14ac:dyDescent="0.5">
      <c r="A2" s="187" t="s">
        <v>164</v>
      </c>
      <c r="B2" s="37">
        <f>COUNTIF(I:AL,"구로")</f>
        <v>0</v>
      </c>
      <c r="C2" s="37" t="s">
        <v>222</v>
      </c>
      <c r="D2" s="37">
        <f>COUNTIF(I:AL,"고영숙;")</f>
        <v>1</v>
      </c>
      <c r="E2" s="37" t="s">
        <v>233</v>
      </c>
      <c r="F2" s="188">
        <f>COUNTIF(I:AL,"이소영]")</f>
        <v>0</v>
      </c>
      <c r="G2" s="37"/>
      <c r="H2" s="189"/>
      <c r="I2" s="624">
        <v>1</v>
      </c>
      <c r="J2" s="625"/>
      <c r="K2" s="624">
        <v>2</v>
      </c>
      <c r="L2" s="625"/>
      <c r="M2" s="624">
        <v>3</v>
      </c>
      <c r="N2" s="625"/>
      <c r="O2" s="624">
        <v>4</v>
      </c>
      <c r="P2" s="625"/>
      <c r="Q2" s="624">
        <v>5</v>
      </c>
      <c r="R2" s="625"/>
      <c r="S2" s="624">
        <v>6</v>
      </c>
      <c r="T2" s="625"/>
      <c r="U2" s="624">
        <v>7</v>
      </c>
      <c r="V2" s="625"/>
    </row>
    <row r="3" spans="1:22" ht="22" thickTop="1" thickBot="1" x14ac:dyDescent="0.5">
      <c r="A3" s="187" t="s">
        <v>168</v>
      </c>
      <c r="B3" s="37">
        <f>COUNTIF(I:AL,"박사랑")</f>
        <v>0</v>
      </c>
      <c r="C3" s="37" t="s">
        <v>235</v>
      </c>
      <c r="D3" s="37">
        <f>COUNTIF(I:AL,"김용;")</f>
        <v>1</v>
      </c>
      <c r="E3" s="37" t="s">
        <v>163</v>
      </c>
      <c r="F3" s="188">
        <f>COUNTIF(I:AL,"이말진]")</f>
        <v>0</v>
      </c>
      <c r="H3" s="190"/>
      <c r="I3" s="628" t="s">
        <v>196</v>
      </c>
      <c r="J3" s="629"/>
      <c r="K3" s="628" t="s">
        <v>197</v>
      </c>
      <c r="L3" s="629"/>
      <c r="M3" s="628" t="s">
        <v>198</v>
      </c>
      <c r="N3" s="629"/>
      <c r="O3" s="628" t="s">
        <v>199</v>
      </c>
      <c r="P3" s="629"/>
      <c r="Q3" s="628" t="s">
        <v>202</v>
      </c>
      <c r="R3" s="629"/>
      <c r="S3" s="626" t="s">
        <v>200</v>
      </c>
      <c r="T3" s="627"/>
      <c r="U3" s="626" t="s">
        <v>201</v>
      </c>
      <c r="V3" s="627"/>
    </row>
    <row r="4" spans="1:22" ht="17.25" customHeight="1" thickTop="1" x14ac:dyDescent="0.45">
      <c r="A4" s="187" t="s">
        <v>233</v>
      </c>
      <c r="B4" s="37">
        <f>COUNTIF(I:AL,"이소영")</f>
        <v>1</v>
      </c>
      <c r="C4" s="37" t="s">
        <v>237</v>
      </c>
      <c r="D4" s="37">
        <f>COUNTIF(I:AL,"윤분숙;")</f>
        <v>1</v>
      </c>
      <c r="E4" s="37"/>
      <c r="F4" s="188"/>
      <c r="H4" s="614">
        <v>10</v>
      </c>
      <c r="I4" s="251"/>
      <c r="J4" s="278"/>
      <c r="K4" s="251"/>
      <c r="L4" s="278"/>
      <c r="M4" s="251"/>
      <c r="N4" s="278"/>
      <c r="O4" s="251"/>
      <c r="P4" s="278"/>
      <c r="Q4" s="251"/>
      <c r="R4" s="278"/>
      <c r="S4" s="251"/>
      <c r="T4" s="278"/>
      <c r="U4" s="251"/>
      <c r="V4" s="278"/>
    </row>
    <row r="5" spans="1:22" ht="17.25" customHeight="1" thickBot="1" x14ac:dyDescent="0.5">
      <c r="A5" s="187" t="s">
        <v>236</v>
      </c>
      <c r="B5" s="37">
        <f>COUNTIF(I:AL,"임하린")</f>
        <v>1</v>
      </c>
      <c r="C5" s="37" t="s">
        <v>159</v>
      </c>
      <c r="D5" s="37">
        <f>COUNTIF(I:AL,"최임이;")</f>
        <v>1</v>
      </c>
      <c r="E5" s="37"/>
      <c r="F5" s="188"/>
      <c r="H5" s="610"/>
      <c r="I5" s="253"/>
      <c r="J5" s="252"/>
      <c r="K5" s="253"/>
      <c r="L5" s="252"/>
      <c r="M5" s="253"/>
      <c r="N5" s="252"/>
      <c r="O5" s="253"/>
      <c r="P5" s="252"/>
      <c r="Q5" s="253"/>
      <c r="R5" s="252"/>
      <c r="S5" s="253"/>
      <c r="T5" s="252"/>
      <c r="U5" s="253"/>
      <c r="V5" s="252"/>
    </row>
    <row r="6" spans="1:22" ht="17.25" customHeight="1" thickTop="1" x14ac:dyDescent="0.45">
      <c r="A6" s="187" t="s">
        <v>241</v>
      </c>
      <c r="B6" s="37">
        <f>COUNTIF(I:AL,"정지원")</f>
        <v>0</v>
      </c>
      <c r="C6" s="37" t="s">
        <v>163</v>
      </c>
      <c r="D6" s="37">
        <f>COUNTIF(I:AL,"이말진;")</f>
        <v>1</v>
      </c>
      <c r="E6" s="37"/>
      <c r="F6" s="188"/>
      <c r="H6" s="609">
        <v>11</v>
      </c>
      <c r="I6" s="249"/>
      <c r="J6" s="254"/>
      <c r="K6" s="249"/>
      <c r="L6" s="254"/>
      <c r="M6" s="249"/>
      <c r="N6" s="254"/>
      <c r="O6" s="249"/>
      <c r="P6" s="254"/>
      <c r="Q6" s="249"/>
      <c r="R6" s="254"/>
      <c r="S6" s="249"/>
      <c r="T6" s="254"/>
      <c r="U6" s="249"/>
      <c r="V6" s="254"/>
    </row>
    <row r="7" spans="1:22" ht="17.25" customHeight="1" thickBot="1" x14ac:dyDescent="0.5">
      <c r="A7" s="187" t="s">
        <v>238</v>
      </c>
      <c r="B7" s="37">
        <f>COUNTIF(I:AL,"이기찬")</f>
        <v>1</v>
      </c>
      <c r="C7" s="37" t="s">
        <v>207</v>
      </c>
      <c r="D7" s="37">
        <f>COUNTIF(I:AL,"김인애;")</f>
        <v>0</v>
      </c>
      <c r="E7" s="37"/>
      <c r="F7" s="188"/>
      <c r="H7" s="610"/>
      <c r="I7" s="253"/>
      <c r="J7" s="252"/>
      <c r="K7" s="253"/>
      <c r="L7" s="252"/>
      <c r="M7" s="253"/>
      <c r="N7" s="252"/>
      <c r="O7" s="253"/>
      <c r="P7" s="252"/>
      <c r="Q7" s="253"/>
      <c r="R7" s="252"/>
      <c r="S7" s="253"/>
      <c r="T7" s="252"/>
      <c r="U7" s="253"/>
      <c r="V7" s="252"/>
    </row>
    <row r="8" spans="1:22" ht="17.25" customHeight="1" thickTop="1" x14ac:dyDescent="0.45">
      <c r="A8" s="187" t="s">
        <v>231</v>
      </c>
      <c r="B8" s="37">
        <f>COUNTIF(I:AL,"배이준")</f>
        <v>0</v>
      </c>
      <c r="C8" s="37" t="s">
        <v>206</v>
      </c>
      <c r="D8" s="37">
        <f>COUNTIF(I:AL,"석경남;")</f>
        <v>1</v>
      </c>
      <c r="E8" s="37"/>
      <c r="F8" s="188"/>
      <c r="H8" s="609">
        <v>12</v>
      </c>
      <c r="I8" s="249"/>
      <c r="J8" s="254"/>
      <c r="K8" s="249"/>
      <c r="L8" s="254"/>
      <c r="M8" s="249"/>
      <c r="N8" s="254"/>
      <c r="O8" s="249"/>
      <c r="P8" s="254"/>
      <c r="Q8" s="249"/>
      <c r="R8" s="254"/>
      <c r="S8" s="249"/>
      <c r="T8" s="254"/>
      <c r="U8" s="249"/>
      <c r="V8" s="254"/>
    </row>
    <row r="9" spans="1:22" ht="17.25" customHeight="1" thickBot="1" x14ac:dyDescent="0.5">
      <c r="A9" s="187" t="s">
        <v>171</v>
      </c>
      <c r="B9" s="37">
        <f>COUNTIF(I:AL,"신정인")</f>
        <v>1</v>
      </c>
      <c r="C9" s="37" t="s">
        <v>210</v>
      </c>
      <c r="D9" s="37">
        <f>COUNTIF(I:AL,"박상혜;")</f>
        <v>0</v>
      </c>
      <c r="E9" s="37"/>
      <c r="F9" s="188"/>
      <c r="H9" s="610"/>
      <c r="I9" s="253"/>
      <c r="J9" s="252"/>
      <c r="K9" s="253"/>
      <c r="L9" s="252"/>
      <c r="M9" s="253"/>
      <c r="N9" s="252"/>
      <c r="O9" s="253"/>
      <c r="P9" s="252"/>
      <c r="Q9" s="253"/>
      <c r="R9" s="252"/>
      <c r="S9" s="253"/>
      <c r="T9" s="252"/>
      <c r="U9" s="253"/>
      <c r="V9" s="252"/>
    </row>
    <row r="10" spans="1:22" ht="17.25" customHeight="1" thickTop="1" x14ac:dyDescent="0.45">
      <c r="A10" s="187" t="s">
        <v>173</v>
      </c>
      <c r="B10" s="37">
        <f>COUNTIF(I:AL,"변이서")</f>
        <v>0</v>
      </c>
      <c r="C10" s="250" t="s">
        <v>234</v>
      </c>
      <c r="D10" s="250">
        <f>COUNTIF(I:AL,"신하린;")</f>
        <v>0</v>
      </c>
      <c r="E10" s="37"/>
      <c r="F10" s="188"/>
      <c r="H10" s="609">
        <v>1</v>
      </c>
      <c r="I10" s="249"/>
      <c r="J10" s="254"/>
      <c r="K10" s="249"/>
      <c r="L10" s="254"/>
      <c r="M10" s="249"/>
      <c r="N10" s="254"/>
      <c r="O10" s="249"/>
      <c r="P10" s="254"/>
      <c r="Q10" s="249"/>
      <c r="R10" s="254"/>
      <c r="S10" s="249"/>
      <c r="T10" s="254"/>
      <c r="U10" s="249"/>
      <c r="V10" s="254"/>
    </row>
    <row r="11" spans="1:22" ht="17.25" customHeight="1" thickBot="1" x14ac:dyDescent="0.5">
      <c r="A11" s="187" t="s">
        <v>242</v>
      </c>
      <c r="B11" s="37">
        <f>COUNTIF(I:AL,"박창민")</f>
        <v>0</v>
      </c>
      <c r="C11" s="250" t="s">
        <v>12</v>
      </c>
      <c r="D11" s="250">
        <f>COUNTIF(I:AL,"김혜정;")</f>
        <v>0</v>
      </c>
      <c r="E11" s="37"/>
      <c r="F11" s="188"/>
      <c r="H11" s="610"/>
      <c r="I11" s="253"/>
      <c r="J11" s="252"/>
      <c r="K11" s="253"/>
      <c r="L11" s="252"/>
      <c r="M11" s="253"/>
      <c r="N11" s="252"/>
      <c r="O11" s="253"/>
      <c r="P11" s="252"/>
      <c r="Q11" s="253"/>
      <c r="R11" s="252"/>
      <c r="S11" s="253"/>
      <c r="T11" s="252"/>
      <c r="U11" s="253"/>
      <c r="V11" s="252"/>
    </row>
    <row r="12" spans="1:22" ht="17.25" customHeight="1" thickTop="1" x14ac:dyDescent="0.45">
      <c r="A12" s="187" t="s">
        <v>186</v>
      </c>
      <c r="B12" s="37">
        <f>COUNTIF(I:AL,"정윤후")</f>
        <v>0</v>
      </c>
      <c r="C12" s="37"/>
      <c r="D12" s="250"/>
      <c r="E12" s="37"/>
      <c r="F12" s="188"/>
      <c r="H12" s="609">
        <v>2</v>
      </c>
      <c r="I12" s="249"/>
      <c r="J12" s="254"/>
      <c r="K12" s="249"/>
      <c r="L12" s="254"/>
      <c r="M12" s="249"/>
      <c r="N12" s="254"/>
      <c r="O12" s="249"/>
      <c r="P12" s="254"/>
      <c r="Q12" s="249"/>
      <c r="R12" s="254"/>
      <c r="S12" s="249"/>
      <c r="T12" s="254"/>
      <c r="U12" s="249"/>
      <c r="V12" s="254"/>
    </row>
    <row r="13" spans="1:22" ht="17.25" customHeight="1" thickBot="1" x14ac:dyDescent="0.5">
      <c r="A13" s="195" t="s">
        <v>169</v>
      </c>
      <c r="B13" s="37">
        <f>COUNTIF(I:AP,"이순희")</f>
        <v>0</v>
      </c>
      <c r="C13" s="37"/>
      <c r="D13" s="37"/>
      <c r="E13" s="37"/>
      <c r="F13" s="188"/>
      <c r="H13" s="610"/>
      <c r="I13" s="253"/>
      <c r="J13" s="252"/>
      <c r="K13" s="253"/>
      <c r="L13" s="252"/>
      <c r="M13" s="253"/>
      <c r="N13" s="252"/>
      <c r="O13" s="253"/>
      <c r="P13" s="252"/>
      <c r="Q13" s="253"/>
      <c r="R13" s="252"/>
      <c r="S13" s="253"/>
      <c r="T13" s="252"/>
      <c r="U13" s="253"/>
      <c r="V13" s="252"/>
    </row>
    <row r="14" spans="1:22" ht="17.25" customHeight="1" thickTop="1" x14ac:dyDescent="0.45">
      <c r="A14" s="195" t="s">
        <v>210</v>
      </c>
      <c r="B14" s="37">
        <f>COUNTIF(I:AP,"박상혜")</f>
        <v>0</v>
      </c>
      <c r="C14" s="191" t="s">
        <v>173</v>
      </c>
      <c r="D14" s="192">
        <f>COUNTIF(H$2:AN$1048576,"변이서;")</f>
        <v>1</v>
      </c>
      <c r="E14" s="37"/>
      <c r="F14" s="188"/>
      <c r="H14" s="609">
        <v>3</v>
      </c>
      <c r="I14" s="249"/>
      <c r="J14" s="254"/>
      <c r="K14" s="249" t="s">
        <v>1</v>
      </c>
      <c r="L14" s="254"/>
      <c r="M14" s="249" t="s">
        <v>267</v>
      </c>
      <c r="N14" s="254" t="s">
        <v>262</v>
      </c>
      <c r="O14" s="249" t="s">
        <v>171</v>
      </c>
      <c r="P14" s="254"/>
      <c r="Q14" s="249"/>
      <c r="R14" s="254"/>
      <c r="S14" s="249"/>
      <c r="T14" s="254"/>
      <c r="U14" s="249"/>
      <c r="V14" s="254"/>
    </row>
    <row r="15" spans="1:22" ht="17.25" customHeight="1" thickBot="1" x14ac:dyDescent="0.5">
      <c r="A15" s="195" t="s">
        <v>183</v>
      </c>
      <c r="B15" s="37">
        <f>COUNTIF(G:AJ,"윤미호")</f>
        <v>2</v>
      </c>
      <c r="C15" s="193" t="s">
        <v>241</v>
      </c>
      <c r="D15" s="194">
        <f>COUNTIF(H$2:AN$1048576,"정지원;")</f>
        <v>0</v>
      </c>
      <c r="E15" s="37"/>
      <c r="F15" s="188"/>
      <c r="H15" s="610"/>
      <c r="I15" s="253"/>
      <c r="J15" s="252"/>
      <c r="K15" s="253"/>
      <c r="L15" s="252"/>
      <c r="M15" s="253" t="s">
        <v>243</v>
      </c>
      <c r="N15" s="252" t="s">
        <v>246</v>
      </c>
      <c r="O15" s="253"/>
      <c r="P15" s="252"/>
      <c r="Q15" s="253"/>
      <c r="R15" s="252"/>
      <c r="S15" s="253"/>
      <c r="T15" s="252"/>
      <c r="U15" s="253"/>
      <c r="V15" s="252"/>
    </row>
    <row r="16" spans="1:22" ht="17.25" customHeight="1" thickTop="1" x14ac:dyDescent="0.45">
      <c r="A16" s="195" t="s">
        <v>280</v>
      </c>
      <c r="B16" s="37">
        <f>COUNTIF(G:AJ,"김견희")</f>
        <v>0</v>
      </c>
      <c r="C16" s="193" t="s">
        <v>168</v>
      </c>
      <c r="D16" s="194">
        <f>COUNTIF(H$2:AN$1048576,"박사랑;")</f>
        <v>0</v>
      </c>
      <c r="E16" s="37"/>
      <c r="F16" s="188"/>
      <c r="H16" s="609">
        <v>4</v>
      </c>
      <c r="I16" s="249"/>
      <c r="J16" s="254"/>
      <c r="K16" s="249"/>
      <c r="L16" s="254"/>
      <c r="M16" s="249" t="s">
        <v>274</v>
      </c>
      <c r="N16" s="254"/>
      <c r="O16" s="249" t="s">
        <v>20</v>
      </c>
      <c r="P16" s="254"/>
      <c r="Q16" s="249"/>
      <c r="R16" s="254"/>
      <c r="S16" s="249"/>
      <c r="T16" s="254"/>
      <c r="U16" s="249"/>
      <c r="V16" s="254"/>
    </row>
    <row r="17" spans="1:22" ht="17.25" customHeight="1" thickBot="1" x14ac:dyDescent="0.5">
      <c r="A17" s="187" t="s">
        <v>163</v>
      </c>
      <c r="B17" s="37">
        <f>COUNTIF(G:AJ,"이말진")</f>
        <v>0</v>
      </c>
      <c r="C17" s="193" t="s">
        <v>242</v>
      </c>
      <c r="D17" s="194">
        <f>COUNTIF(H:AN,"박창민;")</f>
        <v>0</v>
      </c>
      <c r="E17" s="37"/>
      <c r="F17" s="188"/>
      <c r="H17" s="610"/>
      <c r="I17" s="253"/>
      <c r="J17" s="252"/>
      <c r="K17" s="253"/>
      <c r="L17" s="252"/>
      <c r="M17" s="253"/>
      <c r="N17" s="252"/>
      <c r="O17" s="253"/>
      <c r="P17" s="252"/>
      <c r="Q17" s="253"/>
      <c r="R17" s="252"/>
      <c r="S17" s="253"/>
      <c r="T17" s="252"/>
      <c r="U17" s="253"/>
      <c r="V17" s="252"/>
    </row>
    <row r="18" spans="1:22" ht="17.25" customHeight="1" thickTop="1" x14ac:dyDescent="0.45">
      <c r="A18" s="195" t="s">
        <v>344</v>
      </c>
      <c r="B18" s="37">
        <f>COUNTIF(G:AJ,"김서현")</f>
        <v>0</v>
      </c>
      <c r="C18" s="294" t="s">
        <v>134</v>
      </c>
      <c r="D18" s="295">
        <f>COUNTIF(H:AN,"이기찬;")</f>
        <v>1</v>
      </c>
      <c r="E18" s="37"/>
      <c r="F18" s="188"/>
      <c r="H18" s="609">
        <v>5</v>
      </c>
      <c r="I18" s="249"/>
      <c r="J18" s="254"/>
      <c r="K18" s="249" t="s">
        <v>134</v>
      </c>
      <c r="L18" s="254"/>
      <c r="M18" s="249" t="s">
        <v>183</v>
      </c>
      <c r="N18" s="254" t="s">
        <v>250</v>
      </c>
      <c r="O18" s="249" t="s">
        <v>183</v>
      </c>
      <c r="P18" s="254"/>
      <c r="Q18" s="249"/>
      <c r="R18" s="254"/>
      <c r="S18" s="249"/>
      <c r="T18" s="254"/>
      <c r="U18" s="249"/>
      <c r="V18" s="254"/>
    </row>
    <row r="19" spans="1:22" ht="17.25" customHeight="1" thickBot="1" x14ac:dyDescent="0.5">
      <c r="A19" s="195" t="s">
        <v>372</v>
      </c>
      <c r="B19" s="37">
        <f>COUNTIF(G:AJ,"정승은")</f>
        <v>0</v>
      </c>
      <c r="C19" s="294" t="s">
        <v>344</v>
      </c>
      <c r="D19" s="295">
        <f>COUNTIF(H:AN,"김서현;")</f>
        <v>0</v>
      </c>
      <c r="E19" s="37"/>
      <c r="F19" s="188"/>
      <c r="H19" s="610"/>
      <c r="I19" s="253"/>
      <c r="J19" s="252"/>
      <c r="K19" s="253"/>
      <c r="L19" s="252"/>
      <c r="M19" s="253"/>
      <c r="N19" s="254"/>
      <c r="O19" s="253"/>
      <c r="P19" s="252"/>
      <c r="Q19" s="253"/>
      <c r="R19" s="252"/>
      <c r="S19" s="253"/>
      <c r="T19" s="252"/>
      <c r="U19" s="253"/>
      <c r="V19" s="252"/>
    </row>
    <row r="20" spans="1:22" ht="17.25" customHeight="1" thickTop="1" x14ac:dyDescent="0.45">
      <c r="A20" s="195" t="s">
        <v>373</v>
      </c>
      <c r="B20" s="37">
        <f>COUNTIF(G:AJ,"정서은")</f>
        <v>0</v>
      </c>
      <c r="C20" s="294" t="s">
        <v>375</v>
      </c>
      <c r="D20" s="295">
        <f>COUNTIF(H:AN,"음채원;")</f>
        <v>1</v>
      </c>
      <c r="E20" s="37"/>
      <c r="F20" s="188"/>
      <c r="H20" s="609">
        <v>6</v>
      </c>
      <c r="I20" s="249"/>
      <c r="J20" s="254"/>
      <c r="K20" s="249" t="s">
        <v>253</v>
      </c>
      <c r="L20" s="254" t="s">
        <v>380</v>
      </c>
      <c r="M20" s="282"/>
      <c r="N20" s="278"/>
      <c r="O20" s="282"/>
      <c r="P20" s="278"/>
      <c r="Q20" s="282"/>
      <c r="R20" s="278"/>
      <c r="S20" s="249"/>
      <c r="T20" s="254"/>
      <c r="U20" s="249"/>
      <c r="V20" s="254"/>
    </row>
    <row r="21" spans="1:22" ht="16.5" customHeight="1" x14ac:dyDescent="0.45">
      <c r="A21" s="195" t="s">
        <v>375</v>
      </c>
      <c r="B21" s="37">
        <f>COUNTIF(G:AJ,"음채원")</f>
        <v>0</v>
      </c>
      <c r="C21" s="294" t="s">
        <v>372</v>
      </c>
      <c r="D21" s="295">
        <f>COUNTIF(I:AL,"정승은;")</f>
        <v>0</v>
      </c>
      <c r="E21" s="37"/>
      <c r="F21" s="188"/>
      <c r="H21" s="609"/>
      <c r="I21" s="249"/>
      <c r="J21" s="254"/>
      <c r="K21" s="249" t="s">
        <v>317</v>
      </c>
      <c r="L21" s="254"/>
      <c r="M21" s="249"/>
      <c r="N21" s="254"/>
      <c r="O21" s="283"/>
      <c r="P21" s="254"/>
      <c r="Q21" s="283"/>
      <c r="R21" s="254"/>
      <c r="S21" s="249"/>
      <c r="T21" s="254"/>
      <c r="U21" s="249"/>
      <c r="V21" s="254"/>
    </row>
    <row r="22" spans="1:22" ht="16.5" customHeight="1" x14ac:dyDescent="0.45">
      <c r="A22" s="195"/>
      <c r="B22" s="37"/>
      <c r="C22" s="294" t="s">
        <v>373</v>
      </c>
      <c r="D22" s="295">
        <f>COUNTIF(I:AL,"정서은;")</f>
        <v>0</v>
      </c>
      <c r="E22" s="37"/>
      <c r="F22" s="188"/>
      <c r="H22" s="609"/>
      <c r="I22" s="283"/>
      <c r="J22" s="254"/>
      <c r="K22" s="249"/>
      <c r="L22" s="254"/>
      <c r="M22" s="249"/>
      <c r="N22" s="254"/>
      <c r="O22" s="283"/>
      <c r="P22" s="254"/>
      <c r="Q22" s="283"/>
      <c r="R22" s="254"/>
      <c r="S22" s="249"/>
      <c r="T22" s="254"/>
      <c r="U22" s="249"/>
      <c r="V22" s="254"/>
    </row>
    <row r="23" spans="1:22" ht="17.25" customHeight="1" thickBot="1" x14ac:dyDescent="0.5">
      <c r="A23" s="195"/>
      <c r="B23" s="37"/>
      <c r="C23" s="294"/>
      <c r="D23" s="295"/>
      <c r="E23" s="37"/>
      <c r="F23" s="188"/>
      <c r="H23" s="610"/>
      <c r="I23" s="253"/>
      <c r="J23" s="252"/>
      <c r="K23" s="253"/>
      <c r="L23" s="252"/>
      <c r="M23" s="253"/>
      <c r="N23" s="252"/>
      <c r="O23" s="284"/>
      <c r="P23" s="252"/>
      <c r="Q23" s="284"/>
      <c r="R23" s="252"/>
      <c r="S23" s="253"/>
      <c r="T23" s="252"/>
      <c r="U23" s="253"/>
      <c r="V23" s="252"/>
    </row>
    <row r="24" spans="1:22" ht="17.25" customHeight="1" thickTop="1" x14ac:dyDescent="0.45">
      <c r="A24" s="285"/>
      <c r="B24" s="250"/>
      <c r="C24" s="294"/>
      <c r="D24" s="295"/>
      <c r="E24" s="37"/>
      <c r="F24" s="188"/>
      <c r="H24" s="609">
        <v>7</v>
      </c>
      <c r="I24" s="249"/>
      <c r="J24" s="254"/>
      <c r="K24" s="249"/>
      <c r="L24" s="254"/>
      <c r="M24" s="249"/>
      <c r="N24" s="254"/>
      <c r="O24" s="249"/>
      <c r="P24" s="254"/>
      <c r="Q24" s="249"/>
      <c r="R24" s="254"/>
      <c r="S24" s="249"/>
      <c r="T24" s="254"/>
      <c r="U24" s="249"/>
      <c r="V24" s="254"/>
    </row>
    <row r="25" spans="1:22" ht="17.25" customHeight="1" thickBot="1" x14ac:dyDescent="0.5">
      <c r="A25" s="285"/>
      <c r="B25" s="250"/>
      <c r="C25" s="356"/>
      <c r="D25" s="357"/>
      <c r="F25" s="358"/>
      <c r="H25" s="610"/>
      <c r="I25" s="253"/>
      <c r="J25" s="252"/>
      <c r="K25" s="253"/>
      <c r="L25" s="252"/>
      <c r="M25" s="253"/>
      <c r="N25" s="252"/>
      <c r="O25" s="253"/>
      <c r="P25" s="252"/>
      <c r="Q25" s="253"/>
      <c r="R25" s="252"/>
      <c r="S25" s="253"/>
      <c r="T25" s="252"/>
      <c r="U25" s="253"/>
      <c r="V25" s="252"/>
    </row>
    <row r="26" spans="1:22" ht="18" thickTop="1" thickBot="1" x14ac:dyDescent="0.5">
      <c r="A26" s="287"/>
      <c r="B26" s="301"/>
      <c r="C26" s="222"/>
      <c r="D26" s="223"/>
      <c r="E26" s="220"/>
      <c r="F26" s="221"/>
    </row>
    <row r="27" spans="1:22" ht="18" thickTop="1" thickBot="1" x14ac:dyDescent="0.5">
      <c r="A27" s="37"/>
      <c r="B27" s="37"/>
      <c r="C27" s="37"/>
      <c r="D27" s="37"/>
      <c r="E27" s="37"/>
      <c r="F27" s="37"/>
    </row>
    <row r="28" spans="1:22" ht="27" thickTop="1" thickBot="1" x14ac:dyDescent="0.5">
      <c r="A28" s="289"/>
      <c r="B28" s="250"/>
      <c r="C28" s="250"/>
      <c r="D28" s="250"/>
      <c r="E28" s="250"/>
      <c r="F28" s="290"/>
      <c r="H28" s="611" t="s">
        <v>254</v>
      </c>
      <c r="I28" s="612"/>
      <c r="J28" s="613"/>
      <c r="K28" s="185"/>
      <c r="L28" s="186"/>
      <c r="M28" s="186"/>
      <c r="N28" s="186"/>
      <c r="O28" s="186"/>
      <c r="P28" s="186"/>
      <c r="Q28" s="186"/>
      <c r="R28" s="186"/>
      <c r="S28" s="186"/>
      <c r="T28" s="186"/>
      <c r="U28" s="186"/>
      <c r="V28" s="186"/>
    </row>
    <row r="29" spans="1:22" ht="26.5" thickTop="1" thickBot="1" x14ac:dyDescent="0.5">
      <c r="A29" s="250"/>
      <c r="B29" s="250"/>
      <c r="C29" s="250"/>
      <c r="D29" s="250"/>
      <c r="E29" s="250"/>
      <c r="F29" s="250"/>
      <c r="H29" s="189"/>
      <c r="I29" s="624">
        <v>8</v>
      </c>
      <c r="J29" s="625"/>
      <c r="K29" s="624">
        <v>9</v>
      </c>
      <c r="L29" s="625"/>
      <c r="M29" s="624">
        <v>10</v>
      </c>
      <c r="N29" s="625"/>
      <c r="O29" s="624">
        <v>11</v>
      </c>
      <c r="P29" s="625"/>
      <c r="Q29" s="624">
        <v>12</v>
      </c>
      <c r="R29" s="625"/>
      <c r="S29" s="624">
        <v>13</v>
      </c>
      <c r="T29" s="625"/>
      <c r="U29" s="624">
        <v>14</v>
      </c>
      <c r="V29" s="625"/>
    </row>
    <row r="30" spans="1:22" ht="22" thickTop="1" thickBot="1" x14ac:dyDescent="0.5">
      <c r="A30" s="250"/>
      <c r="B30" s="250"/>
      <c r="C30" s="250"/>
      <c r="D30" s="250"/>
      <c r="E30" s="250"/>
      <c r="F30" s="250"/>
      <c r="H30" s="190"/>
      <c r="I30" s="626" t="s">
        <v>224</v>
      </c>
      <c r="J30" s="627"/>
      <c r="K30" s="626" t="s">
        <v>225</v>
      </c>
      <c r="L30" s="627"/>
      <c r="M30" s="626" t="s">
        <v>226</v>
      </c>
      <c r="N30" s="627"/>
      <c r="O30" s="626" t="s">
        <v>227</v>
      </c>
      <c r="P30" s="627"/>
      <c r="Q30" s="626" t="s">
        <v>228</v>
      </c>
      <c r="R30" s="627"/>
      <c r="S30" s="626" t="s">
        <v>229</v>
      </c>
      <c r="T30" s="627"/>
      <c r="U30" s="626" t="s">
        <v>230</v>
      </c>
      <c r="V30" s="627"/>
    </row>
    <row r="31" spans="1:22" ht="17.5" thickTop="1" x14ac:dyDescent="0.45">
      <c r="A31" s="250"/>
      <c r="B31" s="250"/>
      <c r="C31" s="250"/>
      <c r="D31" s="250"/>
      <c r="E31" s="250"/>
      <c r="F31" s="250"/>
      <c r="H31" s="614">
        <v>10</v>
      </c>
      <c r="I31" s="249"/>
      <c r="J31" s="278"/>
      <c r="K31" s="251"/>
      <c r="L31" s="278"/>
      <c r="M31" s="249"/>
      <c r="N31" s="278"/>
      <c r="O31" s="251"/>
      <c r="P31" s="278"/>
      <c r="Q31" s="251"/>
      <c r="R31" s="278"/>
      <c r="S31" s="251"/>
      <c r="T31" s="278"/>
      <c r="U31" s="251"/>
      <c r="V31" s="278"/>
    </row>
    <row r="32" spans="1:22" ht="17.5" thickBot="1" x14ac:dyDescent="0.5">
      <c r="A32" s="250"/>
      <c r="B32" s="250"/>
      <c r="C32" s="250"/>
      <c r="D32" s="250"/>
      <c r="E32" s="250"/>
      <c r="F32" s="250"/>
      <c r="H32" s="610"/>
      <c r="I32" s="253"/>
      <c r="J32" s="252"/>
      <c r="K32" s="253"/>
      <c r="L32" s="252"/>
      <c r="M32" s="253"/>
      <c r="N32" s="252"/>
      <c r="O32" s="253"/>
      <c r="P32" s="252"/>
      <c r="Q32" s="253"/>
      <c r="R32" s="252"/>
      <c r="S32" s="253"/>
      <c r="T32" s="252"/>
      <c r="U32" s="253"/>
      <c r="V32" s="252"/>
    </row>
    <row r="33" spans="1:22" ht="17.5" thickTop="1" x14ac:dyDescent="0.45">
      <c r="A33" s="250"/>
      <c r="B33" s="250"/>
      <c r="C33" s="250"/>
      <c r="D33" s="250"/>
      <c r="E33" s="250"/>
      <c r="F33" s="250"/>
      <c r="H33" s="609">
        <v>11</v>
      </c>
      <c r="I33" s="249"/>
      <c r="J33" s="254"/>
      <c r="K33" s="249"/>
      <c r="L33" s="254"/>
      <c r="M33" s="249"/>
      <c r="N33" s="254"/>
      <c r="O33" s="249"/>
      <c r="P33" s="254"/>
      <c r="Q33" s="249"/>
      <c r="R33" s="254"/>
      <c r="S33" s="249"/>
      <c r="T33" s="254"/>
      <c r="U33" s="249"/>
      <c r="V33" s="254"/>
    </row>
    <row r="34" spans="1:22" ht="17.5" thickBot="1" x14ac:dyDescent="0.5">
      <c r="A34" s="250"/>
      <c r="B34" s="250"/>
      <c r="C34" s="250"/>
      <c r="D34" s="250"/>
      <c r="E34" s="250"/>
      <c r="F34" s="250"/>
      <c r="H34" s="610"/>
      <c r="I34" s="253"/>
      <c r="J34" s="252"/>
      <c r="K34" s="253"/>
      <c r="L34" s="252"/>
      <c r="M34" s="253"/>
      <c r="N34" s="252"/>
      <c r="O34" s="253"/>
      <c r="P34" s="252"/>
      <c r="Q34" s="253"/>
      <c r="R34" s="252"/>
      <c r="S34" s="253"/>
      <c r="T34" s="252"/>
      <c r="U34" s="253"/>
      <c r="V34" s="252"/>
    </row>
    <row r="35" spans="1:22" ht="17.5" thickTop="1" x14ac:dyDescent="0.45">
      <c r="A35" s="250"/>
      <c r="B35" s="250"/>
      <c r="C35" s="250"/>
      <c r="D35" s="250"/>
      <c r="E35" s="250"/>
      <c r="F35" s="250"/>
      <c r="H35" s="609">
        <v>12</v>
      </c>
      <c r="I35" s="249"/>
      <c r="J35" s="254"/>
      <c r="K35" s="249"/>
      <c r="L35" s="254"/>
      <c r="M35" s="249"/>
      <c r="N35" s="254"/>
      <c r="O35" s="249"/>
      <c r="P35" s="254"/>
      <c r="Q35" s="249"/>
      <c r="R35" s="254"/>
      <c r="S35" s="249"/>
      <c r="T35" s="254"/>
      <c r="U35" s="249"/>
      <c r="V35" s="254"/>
    </row>
    <row r="36" spans="1:22" ht="17.5" thickBot="1" x14ac:dyDescent="0.5">
      <c r="A36" s="250"/>
      <c r="B36" s="250"/>
      <c r="C36" s="286"/>
      <c r="D36" s="286"/>
      <c r="E36" s="250"/>
      <c r="F36" s="250"/>
      <c r="H36" s="610"/>
      <c r="I36" s="253"/>
      <c r="J36" s="252"/>
      <c r="K36" s="253"/>
      <c r="L36" s="252"/>
      <c r="M36" s="253"/>
      <c r="N36" s="252"/>
      <c r="O36" s="253"/>
      <c r="P36" s="252"/>
      <c r="Q36" s="253"/>
      <c r="R36" s="252"/>
      <c r="S36" s="253"/>
      <c r="T36" s="252"/>
      <c r="U36" s="253"/>
      <c r="V36" s="252"/>
    </row>
    <row r="37" spans="1:22" ht="17.5" thickTop="1" x14ac:dyDescent="0.45">
      <c r="A37" s="250"/>
      <c r="B37" s="250"/>
      <c r="C37" s="286"/>
      <c r="D37" s="286"/>
      <c r="E37" s="250"/>
      <c r="F37" s="250"/>
      <c r="H37" s="609">
        <v>1</v>
      </c>
      <c r="I37" s="249"/>
      <c r="J37" s="254"/>
      <c r="K37" s="249"/>
      <c r="L37" s="254"/>
      <c r="M37" s="249"/>
      <c r="N37" s="254"/>
      <c r="O37" s="249"/>
      <c r="P37" s="254"/>
      <c r="Q37" s="249"/>
      <c r="R37" s="254"/>
      <c r="S37" s="249"/>
      <c r="T37" s="254"/>
      <c r="U37" s="249"/>
      <c r="V37" s="254"/>
    </row>
    <row r="38" spans="1:22" ht="17.5" thickBot="1" x14ac:dyDescent="0.5">
      <c r="A38" s="250"/>
      <c r="B38" s="250"/>
      <c r="C38" s="286"/>
      <c r="D38" s="286"/>
      <c r="E38" s="250"/>
      <c r="F38" s="250"/>
      <c r="H38" s="610"/>
      <c r="I38" s="253"/>
      <c r="J38" s="252"/>
      <c r="K38" s="253"/>
      <c r="L38" s="252"/>
      <c r="M38" s="253"/>
      <c r="N38" s="252"/>
      <c r="O38" s="253"/>
      <c r="P38" s="252"/>
      <c r="Q38" s="253"/>
      <c r="R38" s="252"/>
      <c r="S38" s="253"/>
      <c r="T38" s="252"/>
      <c r="U38" s="253"/>
      <c r="V38" s="252"/>
    </row>
    <row r="39" spans="1:22" ht="17.5" thickTop="1" x14ac:dyDescent="0.45">
      <c r="A39" s="250"/>
      <c r="B39" s="250"/>
      <c r="C39" s="286"/>
      <c r="D39" s="286"/>
      <c r="E39" s="250"/>
      <c r="F39" s="250"/>
      <c r="H39" s="609">
        <v>2</v>
      </c>
      <c r="I39" s="249"/>
      <c r="J39" s="254"/>
      <c r="K39" s="249"/>
      <c r="L39" s="254"/>
      <c r="M39" s="249"/>
      <c r="N39" s="254"/>
      <c r="O39" s="249"/>
      <c r="P39" s="254"/>
      <c r="Q39" s="249"/>
      <c r="R39" s="254"/>
      <c r="S39" s="249"/>
      <c r="T39" s="254"/>
      <c r="U39" s="249"/>
      <c r="V39" s="254"/>
    </row>
    <row r="40" spans="1:22" ht="17.5" thickBot="1" x14ac:dyDescent="0.5">
      <c r="A40" s="250"/>
      <c r="B40" s="250"/>
      <c r="C40" s="250"/>
      <c r="D40" s="250"/>
      <c r="E40" s="250"/>
      <c r="F40" s="250"/>
      <c r="H40" s="610"/>
      <c r="I40" s="253"/>
      <c r="J40" s="252"/>
      <c r="K40" s="253"/>
      <c r="L40" s="252"/>
      <c r="M40" s="253"/>
      <c r="N40" s="252"/>
      <c r="O40" s="253"/>
      <c r="P40" s="252"/>
      <c r="Q40" s="253"/>
      <c r="R40" s="252"/>
      <c r="S40" s="253"/>
      <c r="T40" s="252"/>
      <c r="U40" s="253"/>
      <c r="V40" s="252"/>
    </row>
    <row r="41" spans="1:22" ht="17.5" thickTop="1" x14ac:dyDescent="0.45">
      <c r="A41" s="250"/>
      <c r="B41" s="250"/>
      <c r="C41" s="250"/>
      <c r="D41" s="250"/>
      <c r="E41" s="250"/>
      <c r="F41" s="250"/>
      <c r="H41" s="609">
        <v>3</v>
      </c>
      <c r="I41" s="249"/>
      <c r="J41" s="254"/>
      <c r="K41" s="249"/>
      <c r="L41" s="254"/>
      <c r="M41" s="249"/>
      <c r="N41" s="254"/>
      <c r="O41" s="249"/>
      <c r="P41" s="254"/>
      <c r="Q41" s="249"/>
      <c r="R41" s="254"/>
      <c r="S41" s="249"/>
      <c r="T41" s="254"/>
      <c r="U41" s="249"/>
      <c r="V41" s="254"/>
    </row>
    <row r="42" spans="1:22" ht="17.5" thickBot="1" x14ac:dyDescent="0.5">
      <c r="A42" s="250"/>
      <c r="B42" s="250"/>
      <c r="C42" s="250"/>
      <c r="D42" s="250"/>
      <c r="E42" s="250"/>
      <c r="F42" s="250"/>
      <c r="H42" s="610"/>
      <c r="I42" s="253"/>
      <c r="J42" s="252"/>
      <c r="K42" s="253"/>
      <c r="L42" s="252"/>
      <c r="M42" s="253"/>
      <c r="N42" s="252"/>
      <c r="O42" s="253"/>
      <c r="P42" s="252"/>
      <c r="Q42" s="253"/>
      <c r="R42" s="252"/>
      <c r="S42" s="253"/>
      <c r="T42" s="252"/>
      <c r="U42" s="253"/>
      <c r="V42" s="252"/>
    </row>
    <row r="43" spans="1:22" ht="17.5" thickTop="1" x14ac:dyDescent="0.45">
      <c r="A43" s="250"/>
      <c r="B43" s="250"/>
      <c r="C43" s="250"/>
      <c r="D43" s="250"/>
      <c r="E43" s="250"/>
      <c r="F43" s="250"/>
      <c r="H43" s="609">
        <v>4</v>
      </c>
      <c r="I43" s="249"/>
      <c r="J43" s="254"/>
      <c r="K43" s="249"/>
      <c r="L43" s="254"/>
      <c r="M43" s="249"/>
      <c r="N43" s="254"/>
      <c r="O43" s="249"/>
      <c r="P43" s="254"/>
      <c r="Q43" s="249"/>
      <c r="R43" s="254"/>
      <c r="S43" s="249"/>
      <c r="T43" s="254"/>
      <c r="U43" s="249"/>
      <c r="V43" s="254"/>
    </row>
    <row r="44" spans="1:22" ht="17.5" thickBot="1" x14ac:dyDescent="0.5">
      <c r="A44" s="250"/>
      <c r="B44" s="250"/>
      <c r="C44" s="250"/>
      <c r="D44" s="250"/>
      <c r="E44" s="250"/>
      <c r="F44" s="250"/>
      <c r="H44" s="610"/>
      <c r="I44" s="253"/>
      <c r="J44" s="252"/>
      <c r="K44" s="253"/>
      <c r="L44" s="252"/>
      <c r="M44" s="253"/>
      <c r="N44" s="252"/>
      <c r="O44" s="253"/>
      <c r="P44" s="252"/>
      <c r="Q44" s="253"/>
      <c r="R44" s="252"/>
      <c r="S44" s="253"/>
      <c r="T44" s="252"/>
      <c r="U44" s="253"/>
      <c r="V44" s="252"/>
    </row>
    <row r="45" spans="1:22" ht="17.5" thickTop="1" x14ac:dyDescent="0.45">
      <c r="A45" s="250"/>
      <c r="B45" s="286"/>
      <c r="C45" s="250"/>
      <c r="D45" s="250"/>
      <c r="E45" s="250"/>
      <c r="F45" s="250"/>
      <c r="H45" s="609">
        <v>5</v>
      </c>
      <c r="I45" s="249"/>
      <c r="J45" s="254"/>
      <c r="K45" s="249"/>
      <c r="L45" s="279"/>
      <c r="M45" s="249"/>
      <c r="N45" s="254"/>
      <c r="O45" s="249"/>
      <c r="P45" s="254"/>
      <c r="Q45" s="249"/>
      <c r="R45" s="254"/>
      <c r="S45" s="249"/>
      <c r="T45" s="254"/>
      <c r="U45" s="249"/>
      <c r="V45" s="254"/>
    </row>
    <row r="46" spans="1:22" ht="17.5" thickBot="1" x14ac:dyDescent="0.5">
      <c r="A46" s="250"/>
      <c r="B46" s="250"/>
      <c r="C46" s="250"/>
      <c r="D46" s="250"/>
      <c r="E46" s="250"/>
      <c r="F46" s="250"/>
      <c r="H46" s="610"/>
      <c r="I46" s="253"/>
      <c r="J46" s="252"/>
      <c r="K46" s="280"/>
      <c r="L46" s="281"/>
      <c r="M46" s="253"/>
      <c r="N46" s="252"/>
      <c r="O46" s="253"/>
      <c r="P46" s="252"/>
      <c r="Q46" s="253"/>
      <c r="R46" s="252"/>
      <c r="S46" s="253"/>
      <c r="T46" s="252"/>
      <c r="U46" s="253"/>
      <c r="V46" s="252"/>
    </row>
    <row r="47" spans="1:22" ht="17.5" thickTop="1" x14ac:dyDescent="0.45">
      <c r="A47" s="250"/>
      <c r="B47" s="250"/>
      <c r="C47" s="286"/>
      <c r="D47" s="286"/>
      <c r="E47" s="286"/>
      <c r="F47" s="250"/>
      <c r="H47" s="609">
        <v>6</v>
      </c>
      <c r="I47" s="249"/>
      <c r="J47" s="254"/>
      <c r="K47" s="282"/>
      <c r="L47" s="278"/>
      <c r="M47" s="249"/>
      <c r="N47" s="254"/>
      <c r="O47" s="249"/>
      <c r="P47" s="254"/>
      <c r="Q47" s="249"/>
      <c r="R47" s="254"/>
      <c r="S47" s="249"/>
      <c r="T47" s="254"/>
      <c r="U47" s="249"/>
      <c r="V47" s="254"/>
    </row>
    <row r="48" spans="1:22" x14ac:dyDescent="0.45">
      <c r="A48" s="250"/>
      <c r="B48" s="286"/>
      <c r="C48" s="286"/>
      <c r="D48" s="286"/>
      <c r="E48" s="286"/>
      <c r="F48" s="250"/>
      <c r="H48" s="609"/>
      <c r="I48" s="249"/>
      <c r="J48" s="254"/>
      <c r="K48" s="283"/>
      <c r="L48" s="254"/>
      <c r="M48" s="249"/>
      <c r="N48" s="254"/>
      <c r="O48" s="249"/>
      <c r="P48" s="254"/>
      <c r="Q48" s="249"/>
      <c r="R48" s="254"/>
      <c r="S48" s="249"/>
      <c r="T48" s="254"/>
      <c r="U48" s="249"/>
      <c r="V48" s="254"/>
    </row>
    <row r="49" spans="1:22" x14ac:dyDescent="0.45">
      <c r="A49" s="286"/>
      <c r="B49" s="286"/>
      <c r="C49" s="286"/>
      <c r="D49" s="286"/>
      <c r="E49" s="286"/>
      <c r="F49" s="250"/>
      <c r="H49" s="609"/>
      <c r="I49" s="249"/>
      <c r="J49" s="254"/>
      <c r="K49" s="283"/>
      <c r="L49" s="254"/>
      <c r="M49" s="249"/>
      <c r="N49" s="254"/>
      <c r="O49" s="249"/>
      <c r="P49" s="254"/>
      <c r="Q49" s="249"/>
      <c r="R49" s="254"/>
      <c r="S49" s="249"/>
      <c r="T49" s="254"/>
      <c r="U49" s="249"/>
      <c r="V49" s="254"/>
    </row>
    <row r="50" spans="1:22" ht="17.5" thickBot="1" x14ac:dyDescent="0.5">
      <c r="A50" s="286"/>
      <c r="B50" s="286"/>
      <c r="C50" s="286"/>
      <c r="D50" s="286"/>
      <c r="E50" s="286"/>
      <c r="F50" s="250"/>
      <c r="H50" s="610"/>
      <c r="I50" s="253"/>
      <c r="J50" s="252"/>
      <c r="K50" s="253"/>
      <c r="L50" s="252"/>
      <c r="M50" s="253"/>
      <c r="N50" s="252"/>
      <c r="O50" s="253"/>
      <c r="P50" s="252"/>
      <c r="Q50" s="253"/>
      <c r="R50" s="252"/>
      <c r="S50" s="253"/>
      <c r="T50" s="252"/>
      <c r="U50" s="253"/>
      <c r="V50" s="252"/>
    </row>
    <row r="51" spans="1:22" ht="21.5" thickTop="1" x14ac:dyDescent="0.45">
      <c r="A51" s="250"/>
      <c r="B51" s="250"/>
      <c r="C51" s="289"/>
      <c r="D51" s="290"/>
      <c r="E51" s="289"/>
      <c r="F51" s="250"/>
      <c r="H51" s="609">
        <v>7</v>
      </c>
      <c r="I51" s="249"/>
      <c r="J51" s="254"/>
      <c r="K51" s="249"/>
      <c r="L51" s="254"/>
      <c r="M51" s="249"/>
      <c r="N51" s="254"/>
      <c r="O51" s="249"/>
      <c r="P51" s="254"/>
      <c r="Q51" s="249"/>
      <c r="R51" s="254"/>
      <c r="S51" s="249"/>
      <c r="T51" s="254"/>
      <c r="U51" s="249"/>
      <c r="V51" s="254"/>
    </row>
    <row r="52" spans="1:22" ht="17.5" thickBot="1" x14ac:dyDescent="0.5">
      <c r="A52" s="250"/>
      <c r="B52" s="250"/>
      <c r="C52" s="250"/>
      <c r="D52" s="250"/>
      <c r="E52" s="250"/>
      <c r="F52" s="286"/>
      <c r="H52" s="610"/>
      <c r="I52" s="253"/>
      <c r="J52" s="252"/>
      <c r="K52" s="253"/>
      <c r="L52" s="252"/>
      <c r="M52" s="253"/>
      <c r="N52" s="252"/>
      <c r="O52" s="253"/>
      <c r="P52" s="252"/>
      <c r="Q52" s="253"/>
      <c r="R52" s="252"/>
      <c r="S52" s="253"/>
      <c r="T52" s="252"/>
      <c r="U52" s="253"/>
      <c r="V52" s="252"/>
    </row>
    <row r="53" spans="1:22" ht="17.5" thickTop="1" x14ac:dyDescent="0.45">
      <c r="A53" s="286"/>
      <c r="B53" s="250"/>
      <c r="C53" s="250"/>
      <c r="D53" s="250"/>
      <c r="E53" s="250"/>
      <c r="F53" s="286"/>
      <c r="H53" s="112"/>
      <c r="I53" s="112"/>
      <c r="J53" s="112"/>
      <c r="K53" s="112"/>
      <c r="L53" s="112"/>
      <c r="M53" s="112"/>
      <c r="N53" s="112"/>
      <c r="O53" s="112"/>
      <c r="P53" s="112"/>
      <c r="Q53" s="112"/>
      <c r="R53" s="112"/>
      <c r="S53" s="112"/>
      <c r="T53" s="112"/>
      <c r="U53" s="112"/>
    </row>
    <row r="54" spans="1:22" x14ac:dyDescent="0.45">
      <c r="A54" s="286"/>
      <c r="B54" s="250"/>
      <c r="C54" s="250"/>
      <c r="D54" s="250"/>
      <c r="E54" s="250"/>
      <c r="F54" s="286"/>
    </row>
    <row r="55" spans="1:22" ht="17.5" thickBot="1" x14ac:dyDescent="0.5">
      <c r="A55" s="286"/>
      <c r="B55" s="250"/>
      <c r="C55" s="250"/>
      <c r="D55" s="250"/>
      <c r="E55" s="250"/>
      <c r="F55" s="286"/>
    </row>
    <row r="56" spans="1:22" ht="27" thickTop="1" thickBot="1" x14ac:dyDescent="0.5">
      <c r="A56" s="289"/>
      <c r="B56" s="250"/>
      <c r="C56" s="250"/>
      <c r="D56" s="250"/>
      <c r="E56" s="250"/>
      <c r="F56" s="290"/>
      <c r="H56" s="611" t="s">
        <v>258</v>
      </c>
      <c r="I56" s="612"/>
      <c r="J56" s="613"/>
      <c r="K56" s="185"/>
      <c r="L56" s="186"/>
      <c r="M56" s="186"/>
      <c r="N56" s="186"/>
      <c r="O56" s="186"/>
      <c r="P56" s="186"/>
      <c r="Q56" s="186"/>
      <c r="R56" s="186"/>
      <c r="S56" s="186"/>
      <c r="T56" s="186"/>
      <c r="U56" s="186"/>
      <c r="V56" s="186"/>
    </row>
    <row r="57" spans="1:22" ht="26.5" thickTop="1" thickBot="1" x14ac:dyDescent="0.5">
      <c r="A57" s="250"/>
      <c r="B57" s="250"/>
      <c r="C57" s="250"/>
      <c r="D57" s="250"/>
      <c r="E57" s="250"/>
      <c r="F57" s="250"/>
      <c r="H57" s="189"/>
      <c r="I57" s="624">
        <v>15</v>
      </c>
      <c r="J57" s="625"/>
      <c r="K57" s="624">
        <v>16</v>
      </c>
      <c r="L57" s="625"/>
      <c r="M57" s="624">
        <v>17</v>
      </c>
      <c r="N57" s="625"/>
      <c r="O57" s="624">
        <v>18</v>
      </c>
      <c r="P57" s="625"/>
      <c r="Q57" s="624">
        <v>19</v>
      </c>
      <c r="R57" s="625"/>
      <c r="S57" s="624">
        <v>20</v>
      </c>
      <c r="T57" s="625"/>
      <c r="U57" s="624">
        <v>21</v>
      </c>
      <c r="V57" s="625"/>
    </row>
    <row r="58" spans="1:22" ht="22" thickTop="1" thickBot="1" x14ac:dyDescent="0.5">
      <c r="A58" s="250"/>
      <c r="B58" s="250"/>
      <c r="C58" s="250"/>
      <c r="D58" s="250"/>
      <c r="E58" s="250"/>
      <c r="F58" s="250"/>
      <c r="H58" s="190"/>
      <c r="I58" s="626" t="s">
        <v>224</v>
      </c>
      <c r="J58" s="627"/>
      <c r="K58" s="626" t="s">
        <v>225</v>
      </c>
      <c r="L58" s="627"/>
      <c r="M58" s="626" t="s">
        <v>226</v>
      </c>
      <c r="N58" s="627"/>
      <c r="O58" s="626" t="s">
        <v>227</v>
      </c>
      <c r="P58" s="627"/>
      <c r="Q58" s="626" t="s">
        <v>228</v>
      </c>
      <c r="R58" s="627"/>
      <c r="S58" s="626" t="s">
        <v>229</v>
      </c>
      <c r="T58" s="627"/>
      <c r="U58" s="626" t="s">
        <v>230</v>
      </c>
      <c r="V58" s="627"/>
    </row>
    <row r="59" spans="1:22" ht="17.5" thickTop="1" x14ac:dyDescent="0.45">
      <c r="A59" s="250"/>
      <c r="B59" s="250"/>
      <c r="C59" s="250"/>
      <c r="D59" s="250"/>
      <c r="E59" s="250"/>
      <c r="F59" s="250"/>
      <c r="H59" s="614">
        <v>10</v>
      </c>
      <c r="I59" s="204"/>
      <c r="J59" s="203"/>
      <c r="K59" s="202"/>
      <c r="L59" s="203"/>
      <c r="M59" s="202"/>
      <c r="N59" s="203"/>
      <c r="O59" s="251"/>
      <c r="P59" s="203"/>
      <c r="Q59" s="202"/>
      <c r="R59" s="203"/>
      <c r="S59" s="202"/>
      <c r="T59" s="205"/>
      <c r="U59" s="202"/>
      <c r="V59" s="203"/>
    </row>
    <row r="60" spans="1:22" ht="17.5" thickBot="1" x14ac:dyDescent="0.5">
      <c r="A60" s="250"/>
      <c r="B60" s="250"/>
      <c r="C60" s="250"/>
      <c r="D60" s="250"/>
      <c r="E60" s="250"/>
      <c r="F60" s="250"/>
      <c r="H60" s="610"/>
      <c r="I60" s="207"/>
      <c r="J60" s="208"/>
      <c r="K60" s="207"/>
      <c r="L60" s="208"/>
      <c r="M60" s="207"/>
      <c r="N60" s="208"/>
      <c r="O60" s="207"/>
      <c r="P60" s="208"/>
      <c r="Q60" s="207"/>
      <c r="R60" s="208"/>
      <c r="S60" s="207"/>
      <c r="T60" s="208"/>
      <c r="U60" s="207"/>
      <c r="V60" s="208"/>
    </row>
    <row r="61" spans="1:22" ht="17.5" thickTop="1" x14ac:dyDescent="0.45">
      <c r="A61" s="250"/>
      <c r="B61" s="250"/>
      <c r="C61" s="250"/>
      <c r="D61" s="250"/>
      <c r="E61" s="250"/>
      <c r="F61" s="250"/>
      <c r="H61" s="609">
        <v>11</v>
      </c>
      <c r="I61" s="211"/>
      <c r="J61" s="205"/>
      <c r="K61" s="204"/>
      <c r="L61" s="205"/>
      <c r="M61" s="249"/>
      <c r="N61" s="205"/>
      <c r="O61" s="204"/>
      <c r="P61" s="205"/>
      <c r="Q61" s="204"/>
      <c r="R61" s="205"/>
      <c r="S61" s="204"/>
      <c r="T61" s="205"/>
      <c r="U61" s="204"/>
      <c r="V61" s="205"/>
    </row>
    <row r="62" spans="1:22" ht="17.5" thickBot="1" x14ac:dyDescent="0.5">
      <c r="A62" s="250"/>
      <c r="B62" s="250"/>
      <c r="C62" s="250"/>
      <c r="D62" s="250"/>
      <c r="E62" s="250"/>
      <c r="F62" s="250"/>
      <c r="H62" s="610"/>
      <c r="I62" s="207"/>
      <c r="J62" s="208"/>
      <c r="K62" s="207"/>
      <c r="L62" s="208"/>
      <c r="M62" s="207"/>
      <c r="N62" s="208"/>
      <c r="O62" s="207"/>
      <c r="P62" s="208"/>
      <c r="Q62" s="207"/>
      <c r="R62" s="208"/>
      <c r="S62" s="207"/>
      <c r="T62" s="208"/>
      <c r="U62" s="207"/>
      <c r="V62" s="208"/>
    </row>
    <row r="63" spans="1:22" ht="17.5" thickTop="1" x14ac:dyDescent="0.45">
      <c r="A63" s="250"/>
      <c r="B63" s="250"/>
      <c r="C63" s="250"/>
      <c r="D63" s="250"/>
      <c r="E63" s="250"/>
      <c r="F63" s="250"/>
      <c r="H63" s="609">
        <v>12</v>
      </c>
      <c r="I63" s="204"/>
      <c r="J63" s="205"/>
      <c r="K63" s="204"/>
      <c r="L63" s="205"/>
      <c r="M63" s="204"/>
      <c r="N63" s="205"/>
      <c r="O63" s="204"/>
      <c r="P63" s="205"/>
      <c r="Q63" s="204"/>
      <c r="R63" s="205"/>
      <c r="S63" s="204"/>
      <c r="T63" s="205"/>
      <c r="U63" s="204"/>
      <c r="V63" s="205"/>
    </row>
    <row r="64" spans="1:22" ht="17.5" thickBot="1" x14ac:dyDescent="0.5">
      <c r="A64" s="250"/>
      <c r="B64" s="250"/>
      <c r="C64" s="286"/>
      <c r="D64" s="286"/>
      <c r="E64" s="250"/>
      <c r="F64" s="250"/>
      <c r="H64" s="610"/>
      <c r="I64" s="207"/>
      <c r="J64" s="208"/>
      <c r="K64" s="207"/>
      <c r="L64" s="208"/>
      <c r="M64" s="207"/>
      <c r="N64" s="208"/>
      <c r="O64" s="207"/>
      <c r="P64" s="208"/>
      <c r="Q64" s="207"/>
      <c r="R64" s="208"/>
      <c r="S64" s="207"/>
      <c r="T64" s="208"/>
      <c r="U64" s="207"/>
      <c r="V64" s="208"/>
    </row>
    <row r="65" spans="1:22" ht="17.5" thickTop="1" x14ac:dyDescent="0.45">
      <c r="A65" s="250"/>
      <c r="B65" s="250"/>
      <c r="C65" s="286"/>
      <c r="D65" s="286"/>
      <c r="E65" s="250"/>
      <c r="F65" s="250"/>
      <c r="H65" s="609">
        <v>1</v>
      </c>
      <c r="I65" s="204"/>
      <c r="J65" s="205"/>
      <c r="K65" s="204"/>
      <c r="L65" s="205"/>
      <c r="M65" s="204"/>
      <c r="N65" s="205"/>
      <c r="O65" s="249"/>
      <c r="P65" s="205"/>
      <c r="Q65" s="204"/>
      <c r="R65" s="205"/>
      <c r="S65" s="204"/>
      <c r="T65" s="205"/>
      <c r="U65" s="204"/>
      <c r="V65" s="205"/>
    </row>
    <row r="66" spans="1:22" ht="17.5" thickBot="1" x14ac:dyDescent="0.5">
      <c r="A66" s="250"/>
      <c r="B66" s="250"/>
      <c r="C66" s="286"/>
      <c r="D66" s="286"/>
      <c r="E66" s="250"/>
      <c r="F66" s="250"/>
      <c r="H66" s="610"/>
      <c r="I66" s="207"/>
      <c r="J66" s="208"/>
      <c r="K66" s="207"/>
      <c r="L66" s="208"/>
      <c r="M66" s="207"/>
      <c r="N66" s="208"/>
      <c r="O66" s="207"/>
      <c r="P66" s="208"/>
      <c r="Q66" s="207"/>
      <c r="R66" s="208"/>
      <c r="S66" s="207"/>
      <c r="T66" s="208"/>
      <c r="U66" s="207"/>
      <c r="V66" s="208"/>
    </row>
    <row r="67" spans="1:22" ht="17.5" thickTop="1" x14ac:dyDescent="0.45">
      <c r="A67" s="250"/>
      <c r="B67" s="250"/>
      <c r="C67" s="286"/>
      <c r="D67" s="286"/>
      <c r="E67" s="250"/>
      <c r="F67" s="250"/>
      <c r="H67" s="609">
        <v>2</v>
      </c>
      <c r="I67" s="204"/>
      <c r="J67" s="205"/>
      <c r="K67" s="204"/>
      <c r="L67" s="205"/>
      <c r="M67" s="204"/>
      <c r="N67" s="205"/>
      <c r="O67" s="204"/>
      <c r="P67" s="205"/>
      <c r="Q67" s="204"/>
      <c r="R67" s="205"/>
      <c r="S67" s="204"/>
      <c r="T67" s="205"/>
      <c r="U67" s="204"/>
      <c r="V67" s="205"/>
    </row>
    <row r="68" spans="1:22" ht="17.5" thickBot="1" x14ac:dyDescent="0.5">
      <c r="A68" s="250"/>
      <c r="B68" s="250"/>
      <c r="C68" s="250"/>
      <c r="D68" s="250"/>
      <c r="E68" s="250"/>
      <c r="F68" s="250"/>
      <c r="H68" s="610"/>
      <c r="I68" s="207"/>
      <c r="J68" s="208"/>
      <c r="K68" s="207"/>
      <c r="L68" s="208"/>
      <c r="M68" s="207"/>
      <c r="N68" s="208"/>
      <c r="O68" s="207"/>
      <c r="P68" s="208"/>
      <c r="Q68" s="207"/>
      <c r="R68" s="208"/>
      <c r="S68" s="207"/>
      <c r="T68" s="208"/>
      <c r="U68" s="207"/>
      <c r="V68" s="208"/>
    </row>
    <row r="69" spans="1:22" ht="17.5" thickTop="1" x14ac:dyDescent="0.45">
      <c r="A69" s="250"/>
      <c r="B69" s="250"/>
      <c r="C69" s="250"/>
      <c r="D69" s="250"/>
      <c r="E69" s="250"/>
      <c r="F69" s="250"/>
      <c r="H69" s="609">
        <v>3</v>
      </c>
      <c r="I69" s="204"/>
      <c r="J69" s="205"/>
      <c r="K69" s="249"/>
      <c r="L69" s="205"/>
      <c r="M69" s="249"/>
      <c r="N69" s="254"/>
      <c r="O69" s="249"/>
      <c r="P69" s="205"/>
      <c r="Q69" s="204"/>
      <c r="R69" s="205"/>
      <c r="S69" s="204"/>
      <c r="T69" s="205"/>
      <c r="U69" s="204"/>
      <c r="V69" s="205"/>
    </row>
    <row r="70" spans="1:22" ht="17.5" thickBot="1" x14ac:dyDescent="0.5">
      <c r="A70" s="250"/>
      <c r="B70" s="250"/>
      <c r="C70" s="250"/>
      <c r="D70" s="250"/>
      <c r="E70" s="250"/>
      <c r="F70" s="250"/>
      <c r="H70" s="610"/>
      <c r="I70" s="207"/>
      <c r="J70" s="208"/>
      <c r="K70" s="207"/>
      <c r="L70" s="208"/>
      <c r="M70" s="253"/>
      <c r="N70" s="252"/>
      <c r="O70" s="207"/>
      <c r="P70" s="208"/>
      <c r="Q70" s="207"/>
      <c r="R70" s="208"/>
      <c r="S70" s="207"/>
      <c r="T70" s="208"/>
      <c r="U70" s="207"/>
      <c r="V70" s="208"/>
    </row>
    <row r="71" spans="1:22" ht="17.5" thickTop="1" x14ac:dyDescent="0.45">
      <c r="A71" s="250"/>
      <c r="B71" s="250"/>
      <c r="C71" s="250"/>
      <c r="D71" s="250"/>
      <c r="E71" s="250"/>
      <c r="F71" s="250"/>
      <c r="H71" s="609">
        <v>4</v>
      </c>
      <c r="I71" s="204"/>
      <c r="J71" s="205"/>
      <c r="K71" s="249"/>
      <c r="L71" s="205"/>
      <c r="M71" s="249"/>
      <c r="N71" s="254"/>
      <c r="O71" s="204"/>
      <c r="P71" s="205"/>
      <c r="Q71" s="204"/>
      <c r="R71" s="205"/>
      <c r="S71" s="204"/>
      <c r="T71" s="205"/>
      <c r="U71" s="204"/>
      <c r="V71" s="205"/>
    </row>
    <row r="72" spans="1:22" ht="17.5" thickBot="1" x14ac:dyDescent="0.5">
      <c r="A72" s="250"/>
      <c r="B72" s="250"/>
      <c r="C72" s="250"/>
      <c r="D72" s="250"/>
      <c r="E72" s="250"/>
      <c r="F72" s="250"/>
      <c r="H72" s="610"/>
      <c r="I72" s="207"/>
      <c r="J72" s="208"/>
      <c r="K72" s="207"/>
      <c r="L72" s="208"/>
      <c r="M72" s="207"/>
      <c r="N72" s="208"/>
      <c r="O72" s="207"/>
      <c r="P72" s="208"/>
      <c r="Q72" s="207"/>
      <c r="R72" s="208"/>
      <c r="S72" s="207"/>
      <c r="T72" s="208"/>
      <c r="U72" s="207"/>
      <c r="V72" s="208"/>
    </row>
    <row r="73" spans="1:22" ht="17.5" thickTop="1" x14ac:dyDescent="0.45">
      <c r="A73" s="250"/>
      <c r="B73" s="286"/>
      <c r="C73" s="250"/>
      <c r="D73" s="250"/>
      <c r="E73" s="250"/>
      <c r="F73" s="250"/>
      <c r="H73" s="609">
        <v>5</v>
      </c>
      <c r="I73" s="204"/>
      <c r="J73" s="205"/>
      <c r="K73" s="204"/>
      <c r="L73" s="206"/>
      <c r="M73" s="204"/>
      <c r="N73" s="205"/>
      <c r="O73" s="204"/>
      <c r="P73" s="205"/>
      <c r="Q73" s="204"/>
      <c r="R73" s="205"/>
      <c r="S73" s="204"/>
      <c r="T73" s="205"/>
      <c r="U73" s="204"/>
      <c r="V73" s="205"/>
    </row>
    <row r="74" spans="1:22" ht="17.5" thickBot="1" x14ac:dyDescent="0.5">
      <c r="A74" s="250"/>
      <c r="B74" s="250"/>
      <c r="C74" s="250"/>
      <c r="D74" s="250"/>
      <c r="E74" s="250"/>
      <c r="F74" s="250"/>
      <c r="H74" s="610"/>
      <c r="I74" s="207"/>
      <c r="J74" s="208"/>
      <c r="K74" s="215"/>
      <c r="L74" s="216"/>
      <c r="M74" s="207"/>
      <c r="N74" s="208"/>
      <c r="O74" s="207"/>
      <c r="P74" s="208"/>
      <c r="Q74" s="207"/>
      <c r="R74" s="208"/>
      <c r="S74" s="207"/>
      <c r="T74" s="208"/>
      <c r="U74" s="207"/>
      <c r="V74" s="208"/>
    </row>
    <row r="75" spans="1:22" ht="17.5" thickTop="1" x14ac:dyDescent="0.45">
      <c r="A75" s="250"/>
      <c r="B75" s="250"/>
      <c r="C75" s="286"/>
      <c r="D75" s="286"/>
      <c r="E75" s="286"/>
      <c r="F75" s="250"/>
      <c r="H75" s="609">
        <v>6</v>
      </c>
      <c r="I75" s="204"/>
      <c r="J75" s="205"/>
      <c r="K75" s="249"/>
      <c r="L75" s="254"/>
      <c r="M75" s="204"/>
      <c r="N75" s="205"/>
      <c r="O75" s="204"/>
      <c r="P75" s="205"/>
      <c r="Q75" s="204"/>
      <c r="R75" s="205"/>
      <c r="S75" s="204"/>
      <c r="T75" s="205"/>
      <c r="U75" s="204"/>
      <c r="V75" s="205"/>
    </row>
    <row r="76" spans="1:22" x14ac:dyDescent="0.45">
      <c r="A76" s="250"/>
      <c r="B76" s="286"/>
      <c r="C76" s="286"/>
      <c r="D76" s="286"/>
      <c r="E76" s="286"/>
      <c r="F76" s="250"/>
      <c r="H76" s="609"/>
      <c r="I76" s="204"/>
      <c r="J76" s="205"/>
      <c r="K76" s="249"/>
      <c r="L76" s="254"/>
      <c r="M76" s="204"/>
      <c r="N76" s="205"/>
      <c r="O76" s="204"/>
      <c r="P76" s="205"/>
      <c r="Q76" s="204"/>
      <c r="R76" s="205"/>
      <c r="S76" s="204"/>
      <c r="T76" s="205"/>
      <c r="U76" s="204"/>
      <c r="V76" s="205"/>
    </row>
    <row r="77" spans="1:22" x14ac:dyDescent="0.45">
      <c r="A77" s="286"/>
      <c r="B77" s="286"/>
      <c r="C77" s="286"/>
      <c r="D77" s="286"/>
      <c r="E77" s="286"/>
      <c r="F77" s="250"/>
      <c r="H77" s="609"/>
      <c r="I77" s="204"/>
      <c r="J77" s="205"/>
      <c r="K77" s="283"/>
      <c r="L77" s="254"/>
      <c r="M77" s="204"/>
      <c r="N77" s="205"/>
      <c r="O77" s="204"/>
      <c r="P77" s="205"/>
      <c r="Q77" s="204"/>
      <c r="R77" s="205"/>
      <c r="S77" s="204"/>
      <c r="T77" s="205"/>
      <c r="U77" s="204"/>
      <c r="V77" s="205"/>
    </row>
    <row r="78" spans="1:22" ht="17.5" thickBot="1" x14ac:dyDescent="0.5">
      <c r="A78" s="286"/>
      <c r="B78" s="286"/>
      <c r="C78" s="286"/>
      <c r="D78" s="286"/>
      <c r="E78" s="286"/>
      <c r="F78" s="250"/>
      <c r="H78" s="610"/>
      <c r="I78" s="207"/>
      <c r="J78" s="208"/>
      <c r="K78" s="207"/>
      <c r="L78" s="208"/>
      <c r="M78" s="207"/>
      <c r="N78" s="208"/>
      <c r="O78" s="207"/>
      <c r="P78" s="208"/>
      <c r="Q78" s="207"/>
      <c r="R78" s="208"/>
      <c r="S78" s="207"/>
      <c r="T78" s="208"/>
      <c r="U78" s="207"/>
      <c r="V78" s="208"/>
    </row>
    <row r="79" spans="1:22" ht="21.5" thickTop="1" x14ac:dyDescent="0.45">
      <c r="A79" s="250"/>
      <c r="B79" s="250"/>
      <c r="C79" s="289"/>
      <c r="D79" s="290"/>
      <c r="E79" s="289"/>
      <c r="F79" s="250"/>
      <c r="H79" s="609">
        <v>7</v>
      </c>
      <c r="I79" s="204"/>
      <c r="J79" s="205"/>
      <c r="K79" s="204"/>
      <c r="L79" s="205"/>
      <c r="M79" s="204"/>
      <c r="N79" s="205"/>
      <c r="O79" s="204"/>
      <c r="P79" s="205"/>
      <c r="Q79" s="204"/>
      <c r="R79" s="205"/>
      <c r="S79" s="204"/>
      <c r="T79" s="205"/>
      <c r="U79" s="204"/>
      <c r="V79" s="205"/>
    </row>
    <row r="80" spans="1:22" ht="17.5" thickBot="1" x14ac:dyDescent="0.5">
      <c r="A80" s="250"/>
      <c r="B80" s="250"/>
      <c r="C80" s="250"/>
      <c r="D80" s="250"/>
      <c r="E80" s="250"/>
      <c r="F80" s="286"/>
      <c r="H80" s="610"/>
      <c r="I80" s="207"/>
      <c r="J80" s="208"/>
      <c r="K80" s="207"/>
      <c r="L80" s="208"/>
      <c r="M80" s="207"/>
      <c r="N80" s="208"/>
      <c r="O80" s="207"/>
      <c r="P80" s="208"/>
      <c r="Q80" s="207"/>
      <c r="R80" s="208"/>
      <c r="S80" s="207"/>
      <c r="T80" s="208"/>
      <c r="U80" s="207"/>
      <c r="V80" s="208"/>
    </row>
    <row r="81" spans="1:22" ht="17.5" thickTop="1" x14ac:dyDescent="0.45">
      <c r="A81" s="286"/>
      <c r="B81" s="250"/>
      <c r="C81" s="250"/>
      <c r="D81" s="250"/>
      <c r="E81" s="250"/>
      <c r="F81" s="286"/>
      <c r="H81" s="112"/>
      <c r="I81" s="112"/>
      <c r="J81" s="112"/>
      <c r="K81" s="112"/>
      <c r="L81" s="112"/>
      <c r="M81" s="112"/>
      <c r="N81" s="112"/>
      <c r="O81" s="112"/>
      <c r="P81" s="112"/>
      <c r="Q81" s="112"/>
      <c r="R81" s="112"/>
      <c r="S81" s="112"/>
      <c r="T81" s="112"/>
      <c r="U81" s="112"/>
    </row>
    <row r="82" spans="1:22" x14ac:dyDescent="0.45">
      <c r="A82" s="286"/>
      <c r="B82" s="250"/>
      <c r="C82" s="250"/>
      <c r="D82" s="250"/>
      <c r="E82" s="250"/>
      <c r="F82" s="286"/>
      <c r="H82" s="112"/>
      <c r="I82" s="112"/>
      <c r="J82" s="112"/>
      <c r="K82" s="112"/>
      <c r="L82" s="112"/>
      <c r="M82" s="112"/>
      <c r="N82" s="112"/>
      <c r="O82" s="112"/>
      <c r="P82" s="112"/>
      <c r="Q82" s="112"/>
      <c r="R82" s="112"/>
      <c r="S82" s="112"/>
      <c r="T82" s="112"/>
      <c r="U82" s="112"/>
    </row>
    <row r="83" spans="1:22" ht="17.5" thickBot="1" x14ac:dyDescent="0.5">
      <c r="A83" s="286"/>
      <c r="B83" s="250"/>
      <c r="C83" s="250"/>
      <c r="D83" s="250"/>
      <c r="E83" s="250"/>
      <c r="F83" s="286"/>
    </row>
    <row r="84" spans="1:22" ht="27" thickTop="1" thickBot="1" x14ac:dyDescent="0.5">
      <c r="A84" s="289"/>
      <c r="B84" s="250"/>
      <c r="C84" s="250"/>
      <c r="D84" s="250"/>
      <c r="E84" s="250"/>
      <c r="F84" s="290"/>
      <c r="H84" s="611" t="s">
        <v>261</v>
      </c>
      <c r="I84" s="612"/>
      <c r="J84" s="613"/>
      <c r="K84" s="185"/>
      <c r="L84" s="186"/>
      <c r="M84" s="186"/>
      <c r="N84" s="186"/>
      <c r="O84" s="186"/>
      <c r="P84" s="186"/>
    </row>
    <row r="85" spans="1:22" ht="26.5" thickTop="1" thickBot="1" x14ac:dyDescent="0.5">
      <c r="A85" s="250"/>
      <c r="B85" s="250"/>
      <c r="C85" s="250"/>
      <c r="D85" s="250"/>
      <c r="E85" s="250"/>
      <c r="F85" s="250"/>
      <c r="H85" s="189"/>
      <c r="I85" s="624">
        <v>22</v>
      </c>
      <c r="J85" s="625"/>
      <c r="K85" s="624">
        <v>23</v>
      </c>
      <c r="L85" s="625"/>
      <c r="M85" s="624">
        <v>24</v>
      </c>
      <c r="N85" s="625"/>
      <c r="O85" s="624">
        <v>25</v>
      </c>
      <c r="P85" s="625"/>
      <c r="Q85" s="624">
        <v>26</v>
      </c>
      <c r="R85" s="625"/>
      <c r="S85" s="624">
        <v>27</v>
      </c>
      <c r="T85" s="625"/>
      <c r="U85" s="624">
        <v>28</v>
      </c>
      <c r="V85" s="625"/>
    </row>
    <row r="86" spans="1:22" ht="22" thickTop="1" thickBot="1" x14ac:dyDescent="0.5">
      <c r="A86" s="250"/>
      <c r="B86" s="250"/>
      <c r="C86" s="250"/>
      <c r="D86" s="250"/>
      <c r="E86" s="250"/>
      <c r="F86" s="250"/>
      <c r="H86" s="190"/>
      <c r="I86" s="628" t="s">
        <v>224</v>
      </c>
      <c r="J86" s="629"/>
      <c r="K86" s="628" t="s">
        <v>225</v>
      </c>
      <c r="L86" s="629"/>
      <c r="M86" s="628" t="s">
        <v>226</v>
      </c>
      <c r="N86" s="629"/>
      <c r="O86" s="628" t="s">
        <v>227</v>
      </c>
      <c r="P86" s="629"/>
      <c r="Q86" s="628" t="s">
        <v>202</v>
      </c>
      <c r="R86" s="629"/>
      <c r="S86" s="628" t="s">
        <v>200</v>
      </c>
      <c r="T86" s="629"/>
      <c r="U86" s="628" t="s">
        <v>201</v>
      </c>
      <c r="V86" s="629"/>
    </row>
    <row r="87" spans="1:22" ht="17.5" thickTop="1" x14ac:dyDescent="0.45">
      <c r="A87" s="250"/>
      <c r="B87" s="250"/>
      <c r="C87" s="250"/>
      <c r="D87" s="250"/>
      <c r="E87" s="250"/>
      <c r="F87" s="250"/>
      <c r="H87" s="614">
        <v>10</v>
      </c>
      <c r="I87" s="37"/>
      <c r="J87" s="203"/>
      <c r="K87" s="37"/>
      <c r="L87" s="203"/>
      <c r="M87" s="202"/>
      <c r="N87" s="203"/>
      <c r="O87" s="202"/>
      <c r="P87" s="203"/>
      <c r="Q87" s="202"/>
      <c r="R87" s="203"/>
      <c r="S87" s="202"/>
      <c r="T87" s="203"/>
      <c r="U87" s="202"/>
      <c r="V87" s="203"/>
    </row>
    <row r="88" spans="1:22" ht="17.5" thickBot="1" x14ac:dyDescent="0.5">
      <c r="A88" s="250"/>
      <c r="B88" s="250"/>
      <c r="C88" s="250"/>
      <c r="D88" s="250"/>
      <c r="E88" s="250"/>
      <c r="F88" s="250"/>
      <c r="H88" s="610"/>
      <c r="I88" s="207"/>
      <c r="J88" s="208"/>
      <c r="K88" s="207"/>
      <c r="L88" s="208"/>
      <c r="M88" s="207"/>
      <c r="N88" s="208"/>
      <c r="O88" s="207"/>
      <c r="P88" s="208"/>
      <c r="Q88" s="207"/>
      <c r="R88" s="208"/>
      <c r="S88" s="207"/>
      <c r="T88" s="208"/>
      <c r="U88" s="207"/>
      <c r="V88" s="208"/>
    </row>
    <row r="89" spans="1:22" ht="17.5" thickTop="1" x14ac:dyDescent="0.45">
      <c r="A89" s="250"/>
      <c r="B89" s="250"/>
      <c r="C89" s="250"/>
      <c r="D89" s="250"/>
      <c r="E89" s="250"/>
      <c r="F89" s="250"/>
      <c r="H89" s="609">
        <v>11</v>
      </c>
      <c r="I89" s="204"/>
      <c r="J89" s="205"/>
      <c r="K89" s="204"/>
      <c r="L89" s="205"/>
      <c r="M89" s="204"/>
      <c r="N89" s="205"/>
      <c r="O89" s="204"/>
      <c r="P89" s="205"/>
      <c r="Q89" s="204"/>
      <c r="R89" s="205"/>
      <c r="S89" s="204"/>
      <c r="T89" s="205"/>
      <c r="U89" s="204"/>
      <c r="V89" s="205"/>
    </row>
    <row r="90" spans="1:22" ht="17.5" thickBot="1" x14ac:dyDescent="0.5">
      <c r="A90" s="250"/>
      <c r="B90" s="250"/>
      <c r="C90" s="250"/>
      <c r="D90" s="250"/>
      <c r="E90" s="250"/>
      <c r="F90" s="250"/>
      <c r="H90" s="610"/>
      <c r="I90" s="207"/>
      <c r="J90" s="208"/>
      <c r="K90" s="207"/>
      <c r="L90" s="208"/>
      <c r="M90" s="207"/>
      <c r="N90" s="208"/>
      <c r="O90" s="207"/>
      <c r="P90" s="208"/>
      <c r="Q90" s="207"/>
      <c r="R90" s="208"/>
      <c r="S90" s="207"/>
      <c r="T90" s="208"/>
      <c r="U90" s="207"/>
      <c r="V90" s="208"/>
    </row>
    <row r="91" spans="1:22" ht="17.25" customHeight="1" thickTop="1" x14ac:dyDescent="0.45">
      <c r="A91" s="250"/>
      <c r="B91" s="250"/>
      <c r="C91" s="250"/>
      <c r="D91" s="250"/>
      <c r="E91" s="250"/>
      <c r="F91" s="250"/>
      <c r="H91" s="609">
        <v>12</v>
      </c>
      <c r="I91" s="204"/>
      <c r="J91" s="205"/>
      <c r="K91" s="204"/>
      <c r="L91" s="205"/>
      <c r="M91" s="204"/>
      <c r="N91" s="205"/>
      <c r="O91" s="204"/>
      <c r="P91" s="205"/>
      <c r="Q91" s="204"/>
      <c r="R91" s="205"/>
      <c r="S91" s="204"/>
      <c r="T91" s="205"/>
      <c r="U91" s="204"/>
      <c r="V91" s="205"/>
    </row>
    <row r="92" spans="1:22" ht="17.25" customHeight="1" thickBot="1" x14ac:dyDescent="0.5">
      <c r="A92" s="250"/>
      <c r="B92" s="250"/>
      <c r="C92" s="286"/>
      <c r="D92" s="286"/>
      <c r="E92" s="250"/>
      <c r="F92" s="250"/>
      <c r="H92" s="610"/>
      <c r="I92" s="207"/>
      <c r="J92" s="208"/>
      <c r="K92" s="207"/>
      <c r="L92" s="208"/>
      <c r="M92" s="207"/>
      <c r="N92" s="208"/>
      <c r="O92" s="207"/>
      <c r="P92" s="208"/>
      <c r="Q92" s="207"/>
      <c r="R92" s="208"/>
      <c r="S92" s="207"/>
      <c r="T92" s="208"/>
      <c r="U92" s="207"/>
      <c r="V92" s="208"/>
    </row>
    <row r="93" spans="1:22" ht="17.25" customHeight="1" thickTop="1" x14ac:dyDescent="0.45">
      <c r="A93" s="250"/>
      <c r="B93" s="250"/>
      <c r="C93" s="286"/>
      <c r="D93" s="286"/>
      <c r="E93" s="250"/>
      <c r="F93" s="250"/>
      <c r="H93" s="609">
        <v>1</v>
      </c>
      <c r="I93" s="204"/>
      <c r="J93" s="205"/>
      <c r="K93" s="204"/>
      <c r="L93" s="205"/>
      <c r="N93" s="205"/>
      <c r="O93" s="249"/>
      <c r="P93" s="205"/>
      <c r="Q93" s="204"/>
      <c r="R93" s="205"/>
      <c r="S93" s="249"/>
      <c r="T93" s="205"/>
      <c r="U93" s="204"/>
      <c r="V93" s="205"/>
    </row>
    <row r="94" spans="1:22" ht="17.25" customHeight="1" thickBot="1" x14ac:dyDescent="0.5">
      <c r="A94" s="250"/>
      <c r="B94" s="250"/>
      <c r="C94" s="286"/>
      <c r="D94" s="286"/>
      <c r="E94" s="250"/>
      <c r="F94" s="250"/>
      <c r="H94" s="610"/>
      <c r="I94" s="207"/>
      <c r="J94" s="208"/>
      <c r="K94" s="207"/>
      <c r="L94" s="208"/>
      <c r="M94" s="207"/>
      <c r="N94" s="208"/>
      <c r="O94" s="207"/>
      <c r="P94" s="208"/>
      <c r="Q94" s="207"/>
      <c r="R94" s="208"/>
      <c r="S94" s="207"/>
      <c r="T94" s="208"/>
      <c r="U94" s="207"/>
      <c r="V94" s="208"/>
    </row>
    <row r="95" spans="1:22" ht="17.25" customHeight="1" thickTop="1" x14ac:dyDescent="0.45">
      <c r="A95" s="250"/>
      <c r="B95" s="250"/>
      <c r="C95" s="286"/>
      <c r="D95" s="286"/>
      <c r="E95" s="250"/>
      <c r="F95" s="250"/>
      <c r="H95" s="609">
        <v>2</v>
      </c>
      <c r="I95" s="204"/>
      <c r="J95" s="205"/>
      <c r="K95" s="204"/>
      <c r="L95" s="205"/>
      <c r="M95" s="204"/>
      <c r="N95" s="205"/>
      <c r="O95" s="204"/>
      <c r="P95" s="205"/>
      <c r="Q95" s="204"/>
      <c r="R95" s="205"/>
      <c r="S95" s="204"/>
      <c r="T95" s="205"/>
      <c r="U95" s="204"/>
      <c r="V95" s="205"/>
    </row>
    <row r="96" spans="1:22" ht="17.25" customHeight="1" thickBot="1" x14ac:dyDescent="0.5">
      <c r="A96" s="250"/>
      <c r="B96" s="250"/>
      <c r="C96" s="250"/>
      <c r="D96" s="250"/>
      <c r="E96" s="250"/>
      <c r="F96" s="250"/>
      <c r="H96" s="610"/>
      <c r="I96" s="207"/>
      <c r="J96" s="208"/>
      <c r="K96" s="207"/>
      <c r="L96" s="208"/>
      <c r="M96" s="207"/>
      <c r="N96" s="208"/>
      <c r="O96" s="207"/>
      <c r="P96" s="208"/>
      <c r="Q96" s="207"/>
      <c r="R96" s="208"/>
      <c r="S96" s="207"/>
      <c r="T96" s="208"/>
      <c r="U96" s="207"/>
      <c r="V96" s="208"/>
    </row>
    <row r="97" spans="1:22" ht="17.25" customHeight="1" thickTop="1" x14ac:dyDescent="0.45">
      <c r="A97" s="250"/>
      <c r="B97" s="250"/>
      <c r="C97" s="250"/>
      <c r="D97" s="250"/>
      <c r="E97" s="250"/>
      <c r="F97" s="250"/>
      <c r="H97" s="609">
        <v>3</v>
      </c>
      <c r="I97" s="204"/>
      <c r="J97" s="205"/>
      <c r="K97" s="249"/>
      <c r="L97" s="205"/>
      <c r="M97" s="249"/>
      <c r="N97" s="254"/>
      <c r="O97" s="204"/>
      <c r="P97" s="205"/>
      <c r="Q97" s="204"/>
      <c r="R97" s="205"/>
      <c r="S97" s="204"/>
      <c r="T97" s="205"/>
      <c r="U97" s="204"/>
      <c r="V97" s="205"/>
    </row>
    <row r="98" spans="1:22" ht="17.25" customHeight="1" thickBot="1" x14ac:dyDescent="0.5">
      <c r="A98" s="250"/>
      <c r="B98" s="250"/>
      <c r="C98" s="250"/>
      <c r="D98" s="250"/>
      <c r="E98" s="250"/>
      <c r="F98" s="250"/>
      <c r="H98" s="610"/>
      <c r="I98" s="207"/>
      <c r="J98" s="208"/>
      <c r="K98" s="207"/>
      <c r="L98" s="208"/>
      <c r="M98" s="253"/>
      <c r="N98" s="252"/>
      <c r="O98" s="207"/>
      <c r="P98" s="208"/>
      <c r="Q98" s="207"/>
      <c r="R98" s="208"/>
      <c r="S98" s="207"/>
      <c r="T98" s="208"/>
      <c r="U98" s="207"/>
      <c r="V98" s="208"/>
    </row>
    <row r="99" spans="1:22" ht="17.5" thickTop="1" x14ac:dyDescent="0.45">
      <c r="A99" s="250"/>
      <c r="B99" s="250"/>
      <c r="C99" s="250"/>
      <c r="D99" s="250"/>
      <c r="E99" s="250"/>
      <c r="F99" s="250"/>
      <c r="H99" s="609">
        <v>4</v>
      </c>
      <c r="I99" s="204"/>
      <c r="J99" s="205"/>
      <c r="K99" s="249"/>
      <c r="L99" s="205"/>
      <c r="M99" s="204"/>
      <c r="N99" s="205"/>
      <c r="O99" s="204"/>
      <c r="P99" s="205"/>
      <c r="Q99" s="249"/>
      <c r="R99" s="205"/>
      <c r="S99" s="204"/>
      <c r="T99" s="205"/>
      <c r="U99" s="249"/>
      <c r="V99" s="205"/>
    </row>
    <row r="100" spans="1:22" ht="17.5" thickBot="1" x14ac:dyDescent="0.5">
      <c r="A100" s="250"/>
      <c r="B100" s="250"/>
      <c r="C100" s="250"/>
      <c r="D100" s="250"/>
      <c r="E100" s="250"/>
      <c r="F100" s="250"/>
      <c r="H100" s="610"/>
      <c r="I100" s="207"/>
      <c r="J100" s="208"/>
      <c r="K100" s="207"/>
      <c r="L100" s="208"/>
      <c r="M100" s="207"/>
      <c r="N100" s="208"/>
      <c r="O100" s="207"/>
      <c r="P100" s="208"/>
      <c r="Q100" s="207"/>
      <c r="R100" s="208"/>
      <c r="S100" s="207"/>
      <c r="T100" s="208"/>
      <c r="U100" s="207"/>
      <c r="V100" s="208"/>
    </row>
    <row r="101" spans="1:22" ht="17.5" thickTop="1" x14ac:dyDescent="0.45">
      <c r="A101" s="250"/>
      <c r="B101" s="286"/>
      <c r="C101" s="250"/>
      <c r="D101" s="250"/>
      <c r="E101" s="250"/>
      <c r="F101" s="250"/>
      <c r="H101" s="609">
        <v>5</v>
      </c>
      <c r="I101" s="204"/>
      <c r="J101" s="205"/>
      <c r="K101" s="204"/>
      <c r="L101" s="206"/>
      <c r="M101" s="204"/>
      <c r="N101" s="205"/>
      <c r="O101" s="204"/>
      <c r="P101" s="205"/>
      <c r="Q101" s="204"/>
      <c r="R101" s="205"/>
      <c r="S101" s="204"/>
      <c r="T101" s="205"/>
      <c r="U101" s="204"/>
      <c r="V101" s="205"/>
    </row>
    <row r="102" spans="1:22" ht="17.5" thickBot="1" x14ac:dyDescent="0.5">
      <c r="A102" s="250"/>
      <c r="B102" s="250"/>
      <c r="C102" s="250"/>
      <c r="D102" s="250"/>
      <c r="E102" s="250"/>
      <c r="F102" s="250"/>
      <c r="H102" s="610"/>
      <c r="I102" s="207"/>
      <c r="J102" s="208"/>
      <c r="K102" s="215"/>
      <c r="L102" s="216"/>
      <c r="M102" s="207"/>
      <c r="N102" s="208"/>
      <c r="O102" s="207"/>
      <c r="P102" s="208"/>
      <c r="Q102" s="207"/>
      <c r="R102" s="208"/>
      <c r="S102" s="207"/>
      <c r="T102" s="208"/>
      <c r="U102" s="207"/>
      <c r="V102" s="208"/>
    </row>
    <row r="103" spans="1:22" ht="17.5" thickTop="1" x14ac:dyDescent="0.45">
      <c r="A103" s="250"/>
      <c r="B103" s="250"/>
      <c r="C103" s="286"/>
      <c r="D103" s="286"/>
      <c r="E103" s="286"/>
      <c r="F103" s="250"/>
      <c r="H103" s="609">
        <v>6</v>
      </c>
      <c r="I103" s="204"/>
      <c r="J103" s="205"/>
      <c r="K103" s="249"/>
      <c r="L103" s="254"/>
      <c r="M103" s="249"/>
      <c r="N103" s="254"/>
      <c r="O103" s="204"/>
      <c r="P103" s="205"/>
      <c r="Q103" s="204"/>
      <c r="R103" s="205"/>
      <c r="S103" s="204"/>
      <c r="T103" s="205"/>
      <c r="U103" s="204"/>
      <c r="V103" s="205"/>
    </row>
    <row r="104" spans="1:22" x14ac:dyDescent="0.45">
      <c r="A104" s="250"/>
      <c r="B104" s="286"/>
      <c r="C104" s="286"/>
      <c r="D104" s="286"/>
      <c r="E104" s="286"/>
      <c r="F104" s="250"/>
      <c r="H104" s="609"/>
      <c r="I104" s="204"/>
      <c r="J104" s="205"/>
      <c r="K104" s="249"/>
      <c r="L104" s="254"/>
      <c r="M104" s="204"/>
      <c r="N104" s="205"/>
      <c r="O104" s="204"/>
      <c r="P104" s="205"/>
      <c r="Q104" s="204"/>
      <c r="R104" s="205"/>
      <c r="S104" s="204"/>
      <c r="T104" s="205"/>
      <c r="U104" s="204"/>
      <c r="V104" s="205"/>
    </row>
    <row r="105" spans="1:22" x14ac:dyDescent="0.45">
      <c r="A105" s="286"/>
      <c r="B105" s="286"/>
      <c r="C105" s="286"/>
      <c r="D105" s="286"/>
      <c r="E105" s="286"/>
      <c r="F105" s="250"/>
      <c r="H105" s="609"/>
      <c r="I105" s="204"/>
      <c r="J105" s="205"/>
      <c r="K105" s="283"/>
      <c r="L105" s="254"/>
      <c r="M105" s="204"/>
      <c r="N105" s="205"/>
      <c r="O105" s="204"/>
      <c r="P105" s="205"/>
      <c r="Q105" s="204"/>
      <c r="R105" s="205"/>
      <c r="S105" s="204"/>
      <c r="T105" s="205"/>
      <c r="U105" s="204"/>
      <c r="V105" s="205"/>
    </row>
    <row r="106" spans="1:22" ht="21.5" thickBot="1" x14ac:dyDescent="0.5">
      <c r="A106" s="286"/>
      <c r="B106" s="250"/>
      <c r="C106" s="289"/>
      <c r="D106" s="290"/>
      <c r="E106" s="289"/>
      <c r="F106" s="250"/>
      <c r="H106" s="610"/>
      <c r="I106" s="207"/>
      <c r="J106" s="208"/>
      <c r="K106" s="207"/>
      <c r="L106" s="208"/>
      <c r="M106" s="207"/>
      <c r="N106" s="208"/>
      <c r="O106" s="207"/>
      <c r="P106" s="208"/>
      <c r="Q106" s="207"/>
      <c r="R106" s="208"/>
      <c r="S106" s="207"/>
      <c r="T106" s="208"/>
      <c r="U106" s="207"/>
      <c r="V106" s="208"/>
    </row>
    <row r="107" spans="1:22" ht="17.5" thickTop="1" x14ac:dyDescent="0.45">
      <c r="A107" s="250"/>
      <c r="B107" s="250"/>
      <c r="C107" s="250"/>
      <c r="D107" s="250"/>
      <c r="E107" s="250"/>
      <c r="F107" s="250"/>
      <c r="H107" s="609">
        <v>7</v>
      </c>
      <c r="I107" s="204"/>
      <c r="J107" s="205"/>
      <c r="K107" s="204"/>
      <c r="L107" s="205"/>
      <c r="M107" s="204"/>
      <c r="N107" s="205"/>
      <c r="O107" s="204"/>
      <c r="P107" s="205"/>
      <c r="Q107" s="204"/>
      <c r="R107" s="205"/>
      <c r="S107" s="204"/>
      <c r="T107" s="205"/>
      <c r="U107" s="204"/>
      <c r="V107" s="205"/>
    </row>
    <row r="108" spans="1:22" ht="17.5" thickBot="1" x14ac:dyDescent="0.5">
      <c r="A108" s="250"/>
      <c r="B108" s="250"/>
      <c r="C108" s="250"/>
      <c r="D108" s="250"/>
      <c r="E108" s="250"/>
      <c r="F108" s="286"/>
      <c r="H108" s="610"/>
      <c r="I108" s="207"/>
      <c r="J108" s="208"/>
      <c r="K108" s="207"/>
      <c r="L108" s="208"/>
      <c r="M108" s="207"/>
      <c r="N108" s="208"/>
      <c r="O108" s="207"/>
      <c r="P108" s="208"/>
      <c r="Q108" s="207"/>
      <c r="R108" s="208"/>
      <c r="S108" s="207"/>
      <c r="T108" s="208"/>
      <c r="U108" s="207"/>
      <c r="V108" s="208"/>
    </row>
    <row r="109" spans="1:22" ht="17.5" thickTop="1" x14ac:dyDescent="0.45">
      <c r="A109" s="286"/>
      <c r="B109" s="250"/>
      <c r="C109" s="250"/>
      <c r="D109" s="250"/>
      <c r="E109" s="250"/>
      <c r="F109" s="286"/>
    </row>
    <row r="110" spans="1:22" ht="17.5" thickBot="1" x14ac:dyDescent="0.5">
      <c r="A110" s="286"/>
      <c r="B110" s="250"/>
      <c r="C110" s="250"/>
      <c r="D110" s="250"/>
      <c r="E110" s="250"/>
      <c r="F110" s="286"/>
    </row>
    <row r="111" spans="1:22" ht="27" thickTop="1" thickBot="1" x14ac:dyDescent="0.5">
      <c r="A111" s="286"/>
      <c r="F111" s="286"/>
      <c r="H111" s="611" t="s">
        <v>264</v>
      </c>
      <c r="I111" s="612"/>
      <c r="J111" s="613"/>
      <c r="K111" s="185"/>
      <c r="L111" s="186"/>
      <c r="M111" s="186"/>
      <c r="N111" s="186"/>
    </row>
    <row r="112" spans="1:22" ht="26.5" thickTop="1" thickBot="1" x14ac:dyDescent="0.5">
      <c r="H112" s="189"/>
      <c r="I112" s="630">
        <v>29</v>
      </c>
      <c r="J112" s="631"/>
      <c r="K112" s="630">
        <v>30</v>
      </c>
      <c r="L112" s="631"/>
      <c r="M112" s="630">
        <v>31</v>
      </c>
      <c r="N112" s="631"/>
    </row>
    <row r="113" spans="8:14" ht="22" thickTop="1" thickBot="1" x14ac:dyDescent="0.5">
      <c r="H113" s="190"/>
      <c r="I113" s="632" t="s">
        <v>224</v>
      </c>
      <c r="J113" s="633"/>
      <c r="K113" s="632" t="s">
        <v>225</v>
      </c>
      <c r="L113" s="633"/>
      <c r="M113" s="632" t="s">
        <v>226</v>
      </c>
      <c r="N113" s="633"/>
    </row>
    <row r="114" spans="8:14" ht="17.5" thickTop="1" x14ac:dyDescent="0.45">
      <c r="H114" s="614">
        <v>10</v>
      </c>
      <c r="I114" s="224"/>
      <c r="J114" s="256"/>
      <c r="K114" s="224"/>
      <c r="L114" s="256"/>
      <c r="M114" s="255"/>
      <c r="N114" s="256"/>
    </row>
    <row r="115" spans="8:14" ht="17.5" thickBot="1" x14ac:dyDescent="0.5">
      <c r="H115" s="610"/>
      <c r="I115" s="257"/>
      <c r="J115" s="258"/>
      <c r="K115" s="257"/>
      <c r="L115" s="258"/>
      <c r="M115" s="257"/>
      <c r="N115" s="258"/>
    </row>
    <row r="116" spans="8:14" ht="17.5" thickTop="1" x14ac:dyDescent="0.45">
      <c r="H116" s="609">
        <v>11</v>
      </c>
      <c r="I116" s="259"/>
      <c r="J116" s="260"/>
      <c r="K116" s="259"/>
      <c r="L116" s="260"/>
      <c r="M116" s="259"/>
      <c r="N116" s="260"/>
    </row>
    <row r="117" spans="8:14" ht="17.5" thickBot="1" x14ac:dyDescent="0.5">
      <c r="H117" s="610"/>
      <c r="I117" s="257"/>
      <c r="J117" s="258"/>
      <c r="K117" s="257"/>
      <c r="L117" s="258"/>
      <c r="M117" s="257"/>
      <c r="N117" s="258"/>
    </row>
    <row r="118" spans="8:14" ht="17.5" thickTop="1" x14ac:dyDescent="0.45">
      <c r="H118" s="609">
        <v>12</v>
      </c>
      <c r="I118" s="259"/>
      <c r="J118" s="260"/>
      <c r="K118" s="259"/>
      <c r="L118" s="260"/>
      <c r="M118" s="259"/>
      <c r="N118" s="260"/>
    </row>
    <row r="119" spans="8:14" ht="17.5" thickBot="1" x14ac:dyDescent="0.5">
      <c r="H119" s="610"/>
      <c r="I119" s="257"/>
      <c r="J119" s="258"/>
      <c r="K119" s="257"/>
      <c r="L119" s="258"/>
      <c r="M119" s="257"/>
      <c r="N119" s="258"/>
    </row>
    <row r="120" spans="8:14" ht="17.5" thickTop="1" x14ac:dyDescent="0.45">
      <c r="H120" s="609">
        <v>1</v>
      </c>
      <c r="I120" s="259"/>
      <c r="J120" s="260"/>
      <c r="K120" s="259"/>
      <c r="L120" s="260"/>
      <c r="M120" s="351"/>
      <c r="N120" s="260"/>
    </row>
    <row r="121" spans="8:14" ht="17.5" thickBot="1" x14ac:dyDescent="0.5">
      <c r="H121" s="610"/>
      <c r="I121" s="257"/>
      <c r="J121" s="258"/>
      <c r="K121" s="257"/>
      <c r="L121" s="258"/>
      <c r="M121" s="257"/>
      <c r="N121" s="258"/>
    </row>
    <row r="122" spans="8:14" ht="17.5" thickTop="1" x14ac:dyDescent="0.45">
      <c r="H122" s="609">
        <v>2</v>
      </c>
      <c r="I122" s="259"/>
      <c r="J122" s="260"/>
      <c r="K122" s="259"/>
      <c r="L122" s="260"/>
      <c r="M122" s="259"/>
      <c r="N122" s="260"/>
    </row>
    <row r="123" spans="8:14" ht="17.5" thickBot="1" x14ac:dyDescent="0.5">
      <c r="H123" s="610"/>
      <c r="I123" s="257"/>
      <c r="J123" s="258"/>
      <c r="K123" s="257"/>
      <c r="L123" s="258"/>
      <c r="M123" s="257"/>
      <c r="N123" s="258"/>
    </row>
    <row r="124" spans="8:14" ht="17.5" thickTop="1" x14ac:dyDescent="0.45">
      <c r="H124" s="609">
        <v>3</v>
      </c>
      <c r="I124" s="259"/>
      <c r="J124" s="260"/>
      <c r="K124" s="259"/>
      <c r="L124" s="260"/>
      <c r="M124" s="259"/>
      <c r="N124" s="260"/>
    </row>
    <row r="125" spans="8:14" ht="17.5" thickBot="1" x14ac:dyDescent="0.5">
      <c r="H125" s="610"/>
      <c r="I125" s="257"/>
      <c r="J125" s="258"/>
      <c r="K125" s="257"/>
      <c r="L125" s="258"/>
      <c r="M125" s="257"/>
      <c r="N125" s="258"/>
    </row>
    <row r="126" spans="8:14" ht="17.5" thickTop="1" x14ac:dyDescent="0.45">
      <c r="H126" s="609">
        <v>4</v>
      </c>
      <c r="I126" s="259"/>
      <c r="J126" s="260"/>
      <c r="K126" s="259"/>
      <c r="L126" s="260"/>
      <c r="M126" s="259"/>
      <c r="N126" s="260"/>
    </row>
    <row r="127" spans="8:14" ht="17.5" thickBot="1" x14ac:dyDescent="0.5">
      <c r="H127" s="610"/>
      <c r="I127" s="257"/>
      <c r="J127" s="258"/>
      <c r="K127" s="257"/>
      <c r="L127" s="258"/>
      <c r="M127" s="257"/>
      <c r="N127" s="258"/>
    </row>
    <row r="128" spans="8:14" ht="17.5" thickTop="1" x14ac:dyDescent="0.45">
      <c r="H128" s="609">
        <v>5</v>
      </c>
      <c r="I128" s="259"/>
      <c r="J128" s="260"/>
      <c r="K128" s="259"/>
      <c r="L128" s="352"/>
      <c r="M128" s="259"/>
      <c r="N128" s="260"/>
    </row>
    <row r="129" spans="8:14" ht="17.5" thickBot="1" x14ac:dyDescent="0.5">
      <c r="H129" s="610"/>
      <c r="I129" s="257"/>
      <c r="J129" s="258"/>
      <c r="K129" s="353"/>
      <c r="L129" s="354"/>
      <c r="M129" s="257"/>
      <c r="N129" s="258"/>
    </row>
    <row r="130" spans="8:14" ht="17.5" thickTop="1" x14ac:dyDescent="0.45">
      <c r="H130" s="609">
        <v>6</v>
      </c>
      <c r="I130" s="259"/>
      <c r="J130" s="260"/>
      <c r="K130" s="259"/>
      <c r="L130" s="260"/>
      <c r="M130" s="259"/>
      <c r="N130" s="260"/>
    </row>
    <row r="131" spans="8:14" x14ac:dyDescent="0.45">
      <c r="H131" s="609"/>
      <c r="I131" s="259"/>
      <c r="J131" s="260"/>
      <c r="K131" s="259"/>
      <c r="L131" s="260"/>
      <c r="M131" s="259"/>
      <c r="N131" s="260"/>
    </row>
    <row r="132" spans="8:14" x14ac:dyDescent="0.45">
      <c r="H132" s="609"/>
      <c r="I132" s="259"/>
      <c r="J132" s="260"/>
      <c r="K132" s="355"/>
      <c r="L132" s="260"/>
      <c r="M132" s="259"/>
      <c r="N132" s="260"/>
    </row>
    <row r="133" spans="8:14" ht="17.5" thickBot="1" x14ac:dyDescent="0.5">
      <c r="H133" s="610"/>
      <c r="I133" s="257"/>
      <c r="J133" s="258"/>
      <c r="K133" s="257"/>
      <c r="L133" s="258"/>
      <c r="M133" s="257"/>
      <c r="N133" s="258"/>
    </row>
    <row r="134" spans="8:14" ht="17.5" thickTop="1" x14ac:dyDescent="0.45">
      <c r="H134" s="609">
        <v>7</v>
      </c>
      <c r="I134" s="259"/>
      <c r="J134" s="260"/>
      <c r="K134" s="259"/>
      <c r="L134" s="260"/>
      <c r="M134" s="259"/>
      <c r="N134" s="260"/>
    </row>
    <row r="135" spans="8:14" ht="17.5" thickBot="1" x14ac:dyDescent="0.5">
      <c r="H135" s="610"/>
      <c r="I135" s="257"/>
      <c r="J135" s="258"/>
      <c r="K135" s="257"/>
      <c r="L135" s="258"/>
      <c r="M135" s="257"/>
      <c r="N135" s="258"/>
    </row>
    <row r="136" spans="8:14" ht="17.5" thickTop="1" x14ac:dyDescent="0.45"/>
  </sheetData>
  <mergeCells count="117">
    <mergeCell ref="H1:J1"/>
    <mergeCell ref="I2:J2"/>
    <mergeCell ref="K2:L2"/>
    <mergeCell ref="M2:N2"/>
    <mergeCell ref="O2:P2"/>
    <mergeCell ref="Q2:R2"/>
    <mergeCell ref="U3:V3"/>
    <mergeCell ref="H4:H5"/>
    <mergeCell ref="H6:H7"/>
    <mergeCell ref="H8:H9"/>
    <mergeCell ref="S2:T2"/>
    <mergeCell ref="U2:V2"/>
    <mergeCell ref="I3:J3"/>
    <mergeCell ref="K3:L3"/>
    <mergeCell ref="M3:N3"/>
    <mergeCell ref="O3:P3"/>
    <mergeCell ref="Q3:R3"/>
    <mergeCell ref="S3:T3"/>
    <mergeCell ref="H24:H25"/>
    <mergeCell ref="H28:J28"/>
    <mergeCell ref="I29:J29"/>
    <mergeCell ref="K29:L29"/>
    <mergeCell ref="M29:N29"/>
    <mergeCell ref="O29:P29"/>
    <mergeCell ref="H10:H11"/>
    <mergeCell ref="H12:H13"/>
    <mergeCell ref="H14:H15"/>
    <mergeCell ref="H16:H17"/>
    <mergeCell ref="H18:H19"/>
    <mergeCell ref="H20:H23"/>
    <mergeCell ref="H31:H32"/>
    <mergeCell ref="H33:H34"/>
    <mergeCell ref="H35:H36"/>
    <mergeCell ref="H37:H38"/>
    <mergeCell ref="H39:H40"/>
    <mergeCell ref="H41:H42"/>
    <mergeCell ref="Q29:R29"/>
    <mergeCell ref="S29:T29"/>
    <mergeCell ref="U29:V29"/>
    <mergeCell ref="I30:J30"/>
    <mergeCell ref="K30:L30"/>
    <mergeCell ref="M30:N30"/>
    <mergeCell ref="O30:P30"/>
    <mergeCell ref="Q30:R30"/>
    <mergeCell ref="S30:T30"/>
    <mergeCell ref="U30:V30"/>
    <mergeCell ref="K57:L57"/>
    <mergeCell ref="M57:N57"/>
    <mergeCell ref="O57:P57"/>
    <mergeCell ref="Q57:R57"/>
    <mergeCell ref="S57:T57"/>
    <mergeCell ref="U57:V57"/>
    <mergeCell ref="H43:H44"/>
    <mergeCell ref="H45:H46"/>
    <mergeCell ref="H47:H50"/>
    <mergeCell ref="H51:H52"/>
    <mergeCell ref="H56:J56"/>
    <mergeCell ref="I57:J57"/>
    <mergeCell ref="H69:H70"/>
    <mergeCell ref="H71:H72"/>
    <mergeCell ref="H73:H74"/>
    <mergeCell ref="H75:H78"/>
    <mergeCell ref="H79:H80"/>
    <mergeCell ref="H84:J84"/>
    <mergeCell ref="U58:V58"/>
    <mergeCell ref="H59:H60"/>
    <mergeCell ref="H61:H62"/>
    <mergeCell ref="H63:H64"/>
    <mergeCell ref="H65:H66"/>
    <mergeCell ref="H67:H68"/>
    <mergeCell ref="I58:J58"/>
    <mergeCell ref="K58:L58"/>
    <mergeCell ref="M58:N58"/>
    <mergeCell ref="O58:P58"/>
    <mergeCell ref="Q58:R58"/>
    <mergeCell ref="S58:T58"/>
    <mergeCell ref="H87:H88"/>
    <mergeCell ref="H89:H90"/>
    <mergeCell ref="H91:H92"/>
    <mergeCell ref="H93:H94"/>
    <mergeCell ref="H95:H96"/>
    <mergeCell ref="H97:H98"/>
    <mergeCell ref="U85:V85"/>
    <mergeCell ref="I86:J86"/>
    <mergeCell ref="K86:L86"/>
    <mergeCell ref="M86:N86"/>
    <mergeCell ref="O86:P86"/>
    <mergeCell ref="Q86:R86"/>
    <mergeCell ref="S86:T86"/>
    <mergeCell ref="U86:V86"/>
    <mergeCell ref="I85:J85"/>
    <mergeCell ref="K85:L85"/>
    <mergeCell ref="M85:N85"/>
    <mergeCell ref="O85:P85"/>
    <mergeCell ref="Q85:R85"/>
    <mergeCell ref="S85:T85"/>
    <mergeCell ref="K112:L112"/>
    <mergeCell ref="M112:N112"/>
    <mergeCell ref="I113:J113"/>
    <mergeCell ref="K113:L113"/>
    <mergeCell ref="M113:N113"/>
    <mergeCell ref="H114:H115"/>
    <mergeCell ref="H99:H100"/>
    <mergeCell ref="H101:H102"/>
    <mergeCell ref="H103:H106"/>
    <mergeCell ref="H107:H108"/>
    <mergeCell ref="H111:J111"/>
    <mergeCell ref="I112:J112"/>
    <mergeCell ref="H128:H129"/>
    <mergeCell ref="H130:H133"/>
    <mergeCell ref="H134:H135"/>
    <mergeCell ref="H116:H117"/>
    <mergeCell ref="H118:H119"/>
    <mergeCell ref="H120:H121"/>
    <mergeCell ref="H122:H123"/>
    <mergeCell ref="H124:H125"/>
    <mergeCell ref="H126:H127"/>
  </mergeCells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F3B100-4C2F-429E-8D11-FB6B7613EAEF}">
  <sheetPr>
    <tabColor theme="5" tint="0.79998168889431442"/>
  </sheetPr>
  <dimension ref="A1:AF26"/>
  <sheetViews>
    <sheetView showGridLines="0" zoomScaleNormal="100" workbookViewId="0">
      <pane ySplit="3" topLeftCell="A4" activePane="bottomLeft" state="frozen"/>
      <selection pane="bottomLeft" sqref="A1:AC1048576"/>
    </sheetView>
  </sheetViews>
  <sheetFormatPr defaultColWidth="9" defaultRowHeight="17" x14ac:dyDescent="0.45"/>
  <cols>
    <col min="1" max="1" width="15.75" style="1" customWidth="1"/>
    <col min="2" max="2" width="14.25" style="1" customWidth="1"/>
    <col min="3" max="3" width="18.5" style="1" customWidth="1"/>
    <col min="4" max="4" width="14" style="1" customWidth="1"/>
    <col min="5" max="5" width="9.25" style="1" customWidth="1"/>
    <col min="6" max="6" width="7.58203125" style="1" customWidth="1"/>
    <col min="7" max="7" width="6.5" style="29" customWidth="1"/>
    <col min="8" max="8" width="7.58203125" style="1" customWidth="1"/>
    <col min="9" max="9" width="6.5" style="29" customWidth="1"/>
    <col min="10" max="10" width="7.58203125" style="1" customWidth="1"/>
    <col min="11" max="11" width="6.5" style="29" customWidth="1"/>
    <col min="12" max="12" width="7.58203125" style="1" customWidth="1"/>
    <col min="13" max="13" width="6.5" style="29" customWidth="1"/>
    <col min="14" max="14" width="7.58203125" style="1" customWidth="1"/>
    <col min="15" max="15" width="6.5" style="29" customWidth="1"/>
    <col min="16" max="16" width="7.58203125" style="1" customWidth="1"/>
    <col min="17" max="17" width="6.5" style="29" customWidth="1"/>
    <col min="18" max="18" width="7.58203125" style="1" customWidth="1"/>
    <col min="19" max="19" width="6.5" style="29" customWidth="1"/>
    <col min="20" max="20" width="7.58203125" style="1" customWidth="1"/>
    <col min="21" max="21" width="6.5" style="29" customWidth="1"/>
    <col min="22" max="22" width="7.58203125" style="1" customWidth="1"/>
    <col min="23" max="23" width="6.5" style="29" customWidth="1"/>
    <col min="24" max="24" width="7.58203125" style="1" customWidth="1"/>
    <col min="25" max="25" width="6.5" style="29" customWidth="1"/>
    <col min="26" max="26" width="7.58203125" style="1" customWidth="1"/>
    <col min="27" max="27" width="6.5" style="29" customWidth="1"/>
    <col min="28" max="28" width="7.58203125" style="1" customWidth="1"/>
    <col min="29" max="29" width="6.5" style="29" customWidth="1"/>
    <col min="30" max="16384" width="9" style="1"/>
  </cols>
  <sheetData>
    <row r="1" spans="1:32" ht="28.5" customHeight="1" thickBot="1" x14ac:dyDescent="0.5">
      <c r="A1" s="78" t="s">
        <v>146</v>
      </c>
      <c r="B1" s="79">
        <f>SUM(G3,I3,K3,M3,O3,Q3,S3,U3,W3,Y3,AA3,AC3)</f>
        <v>3</v>
      </c>
      <c r="C1" s="27"/>
      <c r="D1" s="60"/>
      <c r="V1" s="98"/>
    </row>
    <row r="2" spans="1:32" s="27" customFormat="1" ht="20.149999999999999" customHeight="1" thickBot="1" x14ac:dyDescent="0.5">
      <c r="A2" s="32" t="s">
        <v>38</v>
      </c>
      <c r="B2" s="32" t="s">
        <v>0</v>
      </c>
      <c r="C2" s="32" t="s">
        <v>4</v>
      </c>
      <c r="D2" s="46" t="s">
        <v>77</v>
      </c>
      <c r="E2" s="61" t="s">
        <v>78</v>
      </c>
      <c r="F2" s="106" t="s">
        <v>113</v>
      </c>
      <c r="G2" s="53" t="s">
        <v>85</v>
      </c>
      <c r="H2" s="106" t="s">
        <v>114</v>
      </c>
      <c r="I2" s="53" t="s">
        <v>85</v>
      </c>
      <c r="J2" s="106" t="s">
        <v>115</v>
      </c>
      <c r="K2" s="53" t="s">
        <v>85</v>
      </c>
      <c r="L2" s="106" t="s">
        <v>116</v>
      </c>
      <c r="M2" s="53" t="s">
        <v>85</v>
      </c>
      <c r="N2" s="106" t="s">
        <v>117</v>
      </c>
      <c r="O2" s="53" t="s">
        <v>85</v>
      </c>
      <c r="P2" s="106" t="s">
        <v>118</v>
      </c>
      <c r="Q2" s="53" t="s">
        <v>85</v>
      </c>
      <c r="R2" s="106" t="s">
        <v>119</v>
      </c>
      <c r="S2" s="53" t="s">
        <v>85</v>
      </c>
      <c r="T2" s="106" t="s">
        <v>120</v>
      </c>
      <c r="U2" s="53" t="s">
        <v>85</v>
      </c>
      <c r="V2" s="105" t="s">
        <v>121</v>
      </c>
      <c r="W2" s="53" t="s">
        <v>85</v>
      </c>
      <c r="X2" s="106" t="s">
        <v>122</v>
      </c>
      <c r="Y2" s="53" t="s">
        <v>85</v>
      </c>
      <c r="Z2" s="106" t="s">
        <v>123</v>
      </c>
      <c r="AA2" s="53" t="s">
        <v>85</v>
      </c>
      <c r="AB2" s="106" t="s">
        <v>124</v>
      </c>
      <c r="AC2" s="53" t="s">
        <v>85</v>
      </c>
    </row>
    <row r="3" spans="1:32" s="36" customFormat="1" ht="20.149999999999999" customHeight="1" thickBot="1" x14ac:dyDescent="0.5">
      <c r="A3" s="37">
        <v>1</v>
      </c>
      <c r="B3" s="40" t="s">
        <v>213</v>
      </c>
      <c r="C3" s="40" t="s">
        <v>214</v>
      </c>
      <c r="D3" s="37" t="s">
        <v>46</v>
      </c>
      <c r="E3" s="62">
        <f>SUM(E5:E45)</f>
        <v>3</v>
      </c>
      <c r="F3"/>
      <c r="G3" s="144">
        <f>SUM(G5:G25)</f>
        <v>0</v>
      </c>
      <c r="H3"/>
      <c r="I3" s="144">
        <f>SUM(I5:I25)</f>
        <v>0</v>
      </c>
      <c r="J3"/>
      <c r="K3" s="144">
        <f>SUM(K5:K25)</f>
        <v>0</v>
      </c>
      <c r="L3"/>
      <c r="M3" s="144">
        <f>SUM(M5:M25)</f>
        <v>0</v>
      </c>
      <c r="N3"/>
      <c r="O3" s="144">
        <f>SUM(O5:O25)</f>
        <v>3</v>
      </c>
      <c r="P3"/>
      <c r="Q3" s="144">
        <f>SUM(Q5:Q25)</f>
        <v>0</v>
      </c>
      <c r="R3"/>
      <c r="S3" s="144">
        <f>SUM(S5:S25)</f>
        <v>0</v>
      </c>
      <c r="T3"/>
      <c r="U3" s="144">
        <f>SUM(U5:U25)</f>
        <v>0</v>
      </c>
      <c r="V3"/>
      <c r="W3" s="144">
        <f>SUM(W5:W25)</f>
        <v>0</v>
      </c>
      <c r="X3"/>
      <c r="Y3" s="144">
        <f>SUM(Y5:Y25)</f>
        <v>0</v>
      </c>
      <c r="Z3"/>
      <c r="AA3" s="144">
        <f>SUM(AA5:AA25)</f>
        <v>0</v>
      </c>
      <c r="AB3"/>
      <c r="AC3" s="144">
        <f>SUM(AC4:AC25)</f>
        <v>0</v>
      </c>
    </row>
    <row r="4" spans="1:32" s="43" customFormat="1" ht="26.5" thickTop="1" thickBot="1" x14ac:dyDescent="0.5">
      <c r="A4" s="34" t="s">
        <v>42</v>
      </c>
      <c r="B4" s="149"/>
      <c r="C4" s="150"/>
      <c r="E4" s="37"/>
      <c r="F4" s="45"/>
      <c r="G4" s="37"/>
      <c r="H4" s="37"/>
      <c r="I4" s="37"/>
    </row>
    <row r="5" spans="1:32" s="28" customFormat="1" ht="18" thickTop="1" x14ac:dyDescent="0.45">
      <c r="A5" s="174">
        <v>1</v>
      </c>
      <c r="B5" s="48"/>
      <c r="D5" s="146"/>
      <c r="E5" s="73"/>
      <c r="F5" s="93"/>
      <c r="G5" s="147"/>
      <c r="H5" s="102"/>
      <c r="I5" s="147"/>
      <c r="J5" s="95"/>
      <c r="K5" s="85"/>
      <c r="L5" s="95"/>
      <c r="M5" s="85"/>
      <c r="N5" s="95"/>
      <c r="O5" s="85"/>
      <c r="P5" s="95"/>
      <c r="Q5" s="85"/>
      <c r="R5" s="95"/>
      <c r="S5" s="85"/>
      <c r="T5" s="95"/>
      <c r="U5" s="85"/>
      <c r="V5" s="95"/>
      <c r="W5" s="85"/>
      <c r="X5" s="95"/>
      <c r="Y5" s="85"/>
      <c r="Z5" s="95"/>
      <c r="AA5" s="85"/>
      <c r="AB5" s="95"/>
      <c r="AC5" s="85"/>
      <c r="AD5" s="1"/>
      <c r="AE5" s="1"/>
      <c r="AF5" s="1"/>
    </row>
    <row r="6" spans="1:32" ht="17.5" x14ac:dyDescent="0.45">
      <c r="A6" s="28">
        <v>2</v>
      </c>
      <c r="D6" s="30"/>
      <c r="E6" s="74"/>
      <c r="F6" s="91"/>
      <c r="G6" s="85"/>
      <c r="H6" s="91"/>
      <c r="I6" s="114"/>
      <c r="J6" s="91"/>
      <c r="K6" s="85"/>
      <c r="L6" s="92"/>
      <c r="M6" s="85"/>
      <c r="N6" s="92"/>
      <c r="O6" s="85"/>
      <c r="P6" s="92"/>
      <c r="Q6" s="85"/>
      <c r="R6" s="92"/>
      <c r="S6" s="85"/>
      <c r="T6" s="92"/>
      <c r="U6" s="85"/>
      <c r="V6" s="92"/>
      <c r="W6" s="85"/>
      <c r="X6" s="92"/>
      <c r="Y6" s="85"/>
      <c r="Z6" s="92"/>
      <c r="AA6" s="85"/>
      <c r="AB6" s="92"/>
      <c r="AC6" s="85"/>
    </row>
    <row r="7" spans="1:32" ht="17.5" x14ac:dyDescent="0.45">
      <c r="A7" s="28">
        <v>3</v>
      </c>
      <c r="D7" s="30"/>
      <c r="E7" s="74"/>
      <c r="F7" s="90"/>
      <c r="G7" s="85"/>
      <c r="H7" s="91"/>
      <c r="I7" s="85"/>
      <c r="J7" s="91"/>
      <c r="K7" s="85"/>
      <c r="L7" s="92"/>
      <c r="M7" s="85"/>
      <c r="N7" s="92"/>
      <c r="O7" s="85"/>
      <c r="P7" s="92"/>
      <c r="Q7" s="85"/>
      <c r="R7" s="92"/>
      <c r="S7" s="85"/>
      <c r="T7" s="92"/>
      <c r="U7" s="85"/>
      <c r="V7" s="92"/>
      <c r="W7" s="85"/>
      <c r="X7" s="92"/>
      <c r="Y7" s="85"/>
      <c r="Z7" s="92"/>
      <c r="AA7" s="85"/>
      <c r="AB7" s="92"/>
      <c r="AC7" s="85"/>
    </row>
    <row r="8" spans="1:32" ht="18" thickBot="1" x14ac:dyDescent="0.5">
      <c r="A8" s="1">
        <v>4</v>
      </c>
      <c r="D8" s="30"/>
      <c r="E8" s="76"/>
      <c r="F8" s="91"/>
      <c r="G8" s="85"/>
      <c r="H8" s="91"/>
      <c r="I8" s="85"/>
      <c r="J8" s="91"/>
      <c r="K8" s="85"/>
      <c r="L8" s="92"/>
      <c r="M8" s="85"/>
      <c r="N8" s="92"/>
      <c r="O8" s="85"/>
      <c r="P8" s="92"/>
      <c r="Q8" s="85"/>
      <c r="R8" s="92"/>
      <c r="S8" s="85"/>
      <c r="T8" s="92"/>
      <c r="U8" s="85"/>
      <c r="V8" s="92"/>
      <c r="W8" s="85"/>
      <c r="X8" s="92"/>
      <c r="Y8" s="85"/>
      <c r="Z8" s="92"/>
      <c r="AA8" s="85"/>
      <c r="AB8" s="92"/>
      <c r="AC8" s="85"/>
    </row>
    <row r="9" spans="1:32" ht="21.5" thickTop="1" x14ac:dyDescent="0.45">
      <c r="A9" s="49" t="s">
        <v>141</v>
      </c>
      <c r="B9" s="49" t="s">
        <v>189</v>
      </c>
      <c r="E9" s="28"/>
      <c r="F9" s="91"/>
      <c r="G9" s="86"/>
      <c r="H9" s="91"/>
      <c r="I9" s="86"/>
      <c r="J9" s="91"/>
      <c r="K9" s="86"/>
      <c r="L9" s="92"/>
      <c r="M9" s="86"/>
      <c r="N9" s="92"/>
      <c r="O9" s="86"/>
      <c r="P9" s="92"/>
      <c r="Q9" s="86"/>
      <c r="R9" s="92"/>
      <c r="S9" s="86"/>
      <c r="T9" s="92"/>
      <c r="U9" s="86"/>
      <c r="V9" s="92"/>
      <c r="W9" s="86"/>
      <c r="X9" s="92"/>
      <c r="Y9" s="86"/>
      <c r="Z9" s="92"/>
      <c r="AA9" s="86"/>
      <c r="AB9" s="92"/>
      <c r="AC9" s="86"/>
    </row>
    <row r="10" spans="1:32" s="40" customFormat="1" ht="17.5" thickBot="1" x14ac:dyDescent="0.5">
      <c r="E10" s="37"/>
      <c r="G10" s="42"/>
      <c r="I10" s="42"/>
      <c r="K10" s="42"/>
      <c r="M10" s="42"/>
      <c r="O10" s="42"/>
      <c r="Q10" s="42"/>
      <c r="S10" s="42"/>
      <c r="U10" s="42"/>
      <c r="W10" s="42"/>
      <c r="Y10" s="42"/>
      <c r="AA10" s="42"/>
      <c r="AC10" s="42"/>
    </row>
    <row r="11" spans="1:32" s="43" customFormat="1" ht="26.5" thickTop="1" thickBot="1" x14ac:dyDescent="0.5">
      <c r="A11" s="34" t="s">
        <v>51</v>
      </c>
      <c r="B11" s="149"/>
      <c r="C11" s="150"/>
      <c r="E11" s="37"/>
      <c r="F11" s="45"/>
      <c r="G11" s="37"/>
      <c r="H11" s="37"/>
      <c r="I11" s="37"/>
    </row>
    <row r="12" spans="1:32" s="28" customFormat="1" ht="17.25" customHeight="1" thickTop="1" x14ac:dyDescent="0.45">
      <c r="A12" s="174">
        <v>1</v>
      </c>
      <c r="B12" s="48" t="s">
        <v>315</v>
      </c>
      <c r="C12" s="292" t="s">
        <v>316</v>
      </c>
      <c r="D12" s="64" t="s">
        <v>46</v>
      </c>
      <c r="E12" s="73">
        <v>3</v>
      </c>
      <c r="F12" s="93"/>
      <c r="G12" s="147"/>
      <c r="H12" s="102"/>
      <c r="I12" s="147"/>
      <c r="J12" s="93"/>
      <c r="K12" s="83"/>
      <c r="L12" s="95"/>
      <c r="M12" s="85"/>
      <c r="N12" s="95">
        <v>2</v>
      </c>
      <c r="O12" s="85">
        <v>3</v>
      </c>
      <c r="P12" s="95"/>
      <c r="Q12" s="85"/>
      <c r="R12" s="95"/>
      <c r="S12" s="85"/>
      <c r="T12" s="95"/>
      <c r="U12" s="85"/>
      <c r="V12" s="95"/>
      <c r="W12" s="85"/>
      <c r="X12" s="95"/>
      <c r="Y12" s="85"/>
      <c r="Z12" s="95"/>
      <c r="AA12" s="85"/>
      <c r="AB12" s="95"/>
      <c r="AC12" s="85"/>
      <c r="AD12" s="1"/>
      <c r="AE12" s="1"/>
      <c r="AF12" s="1"/>
    </row>
    <row r="13" spans="1:32" ht="17.5" x14ac:dyDescent="0.45">
      <c r="A13" s="28">
        <v>2</v>
      </c>
      <c r="D13" s="119"/>
      <c r="E13" s="74"/>
      <c r="F13" s="90"/>
      <c r="G13" s="109"/>
      <c r="H13" s="126"/>
      <c r="I13" s="148"/>
      <c r="J13" s="91"/>
      <c r="K13" s="85"/>
      <c r="L13" s="92"/>
      <c r="M13" s="85"/>
      <c r="N13" s="92"/>
      <c r="O13" s="85"/>
      <c r="P13" s="92"/>
      <c r="Q13" s="85"/>
      <c r="R13" s="92"/>
      <c r="S13" s="85"/>
      <c r="T13" s="92"/>
      <c r="U13" s="85"/>
      <c r="V13" s="92"/>
      <c r="W13" s="85"/>
      <c r="X13" s="92"/>
      <c r="Y13" s="85"/>
      <c r="Z13" s="92"/>
      <c r="AA13" s="85"/>
      <c r="AB13" s="92"/>
      <c r="AC13" s="85"/>
    </row>
    <row r="14" spans="1:32" ht="17.5" x14ac:dyDescent="0.45">
      <c r="A14" s="28">
        <v>3</v>
      </c>
      <c r="D14" s="30"/>
      <c r="E14" s="74"/>
      <c r="G14" s="85"/>
      <c r="H14" s="91"/>
      <c r="I14" s="85"/>
      <c r="J14" s="91"/>
      <c r="K14" s="85"/>
      <c r="L14" s="92"/>
      <c r="M14" s="85"/>
      <c r="N14" s="92"/>
      <c r="O14" s="85"/>
      <c r="P14" s="92"/>
      <c r="Q14" s="85"/>
      <c r="R14" s="92"/>
      <c r="S14" s="85"/>
      <c r="T14" s="92"/>
      <c r="U14" s="85"/>
      <c r="V14" s="92"/>
      <c r="W14" s="85"/>
      <c r="X14" s="92"/>
      <c r="Y14" s="85"/>
      <c r="Z14" s="92"/>
      <c r="AA14" s="85"/>
      <c r="AB14" s="92"/>
      <c r="AC14" s="85"/>
    </row>
    <row r="15" spans="1:32" ht="17.5" x14ac:dyDescent="0.45">
      <c r="A15" s="28">
        <v>4</v>
      </c>
      <c r="D15" s="30"/>
      <c r="E15" s="74"/>
      <c r="F15" s="90"/>
      <c r="G15" s="85"/>
      <c r="H15" s="91"/>
      <c r="I15" s="85"/>
      <c r="J15" s="91"/>
      <c r="K15" s="85"/>
      <c r="L15" s="92"/>
      <c r="M15" s="85"/>
      <c r="N15" s="92"/>
      <c r="O15" s="85"/>
      <c r="P15" s="92"/>
      <c r="Q15" s="85"/>
      <c r="R15" s="92"/>
      <c r="S15" s="85"/>
      <c r="T15" s="92"/>
      <c r="U15" s="85"/>
      <c r="V15" s="92"/>
      <c r="W15" s="85"/>
      <c r="X15" s="92"/>
      <c r="Y15" s="85"/>
      <c r="Z15" s="92"/>
      <c r="AA15" s="85"/>
      <c r="AB15" s="92"/>
      <c r="AC15" s="85"/>
    </row>
    <row r="16" spans="1:32" ht="18" thickBot="1" x14ac:dyDescent="0.5">
      <c r="A16" s="1">
        <v>5</v>
      </c>
      <c r="D16" s="30"/>
      <c r="E16" s="75"/>
      <c r="F16" s="91"/>
      <c r="G16" s="85"/>
      <c r="H16" s="91"/>
      <c r="I16" s="85"/>
      <c r="J16" s="91"/>
      <c r="K16" s="85"/>
      <c r="L16" s="92"/>
      <c r="M16" s="85"/>
      <c r="N16" s="92"/>
      <c r="O16" s="85"/>
      <c r="P16" s="92"/>
      <c r="Q16" s="85"/>
      <c r="R16" s="92"/>
      <c r="S16" s="85"/>
      <c r="T16" s="92"/>
      <c r="U16" s="85"/>
      <c r="V16" s="92"/>
      <c r="W16" s="85"/>
      <c r="X16" s="92"/>
      <c r="Y16" s="85"/>
      <c r="Z16" s="92"/>
      <c r="AA16" s="85"/>
      <c r="AB16" s="92"/>
      <c r="AC16" s="85"/>
    </row>
    <row r="17" spans="1:32" ht="21.5" thickTop="1" x14ac:dyDescent="0.45">
      <c r="A17" s="49" t="s">
        <v>141</v>
      </c>
      <c r="B17" s="49" t="s">
        <v>189</v>
      </c>
      <c r="D17" s="30"/>
      <c r="E17" s="50"/>
      <c r="F17" s="91"/>
      <c r="G17" s="86"/>
      <c r="H17" s="91"/>
      <c r="I17" s="86"/>
      <c r="J17" s="91"/>
      <c r="K17" s="86"/>
      <c r="L17" s="92"/>
      <c r="M17" s="86"/>
      <c r="N17" s="92"/>
      <c r="O17" s="86"/>
      <c r="P17" s="92"/>
      <c r="Q17" s="86"/>
      <c r="R17" s="92"/>
      <c r="S17" s="86"/>
      <c r="T17" s="92"/>
      <c r="U17" s="86"/>
      <c r="V17" s="92"/>
      <c r="W17" s="86"/>
      <c r="X17" s="92"/>
      <c r="Y17" s="86"/>
      <c r="Z17" s="92"/>
      <c r="AA17" s="86"/>
      <c r="AB17" s="92"/>
      <c r="AC17" s="86"/>
    </row>
    <row r="18" spans="1:32" s="37" customFormat="1" ht="17.5" thickBot="1" x14ac:dyDescent="0.5">
      <c r="F18" s="51"/>
      <c r="G18" s="52"/>
      <c r="H18" s="51"/>
      <c r="I18" s="52"/>
      <c r="J18" s="51"/>
      <c r="K18" s="52"/>
      <c r="M18" s="39"/>
      <c r="O18" s="39"/>
      <c r="Q18" s="39"/>
      <c r="S18" s="39"/>
      <c r="U18" s="39"/>
      <c r="W18" s="39"/>
      <c r="Y18" s="39"/>
      <c r="AA18" s="39"/>
      <c r="AC18" s="39"/>
    </row>
    <row r="19" spans="1:32" s="43" customFormat="1" ht="26.5" thickTop="1" thickBot="1" x14ac:dyDescent="0.5">
      <c r="A19" s="34" t="s">
        <v>190</v>
      </c>
      <c r="B19" s="149"/>
      <c r="C19" s="150"/>
      <c r="E19" s="37"/>
      <c r="F19" s="45"/>
      <c r="G19" s="37"/>
      <c r="H19" s="37"/>
      <c r="I19" s="37"/>
    </row>
    <row r="20" spans="1:32" s="28" customFormat="1" ht="18" customHeight="1" thickTop="1" x14ac:dyDescent="0.45">
      <c r="A20" s="174">
        <v>1</v>
      </c>
      <c r="B20" s="48"/>
      <c r="D20" s="30"/>
      <c r="E20" s="73"/>
      <c r="F20" s="93"/>
      <c r="G20" s="147"/>
      <c r="H20" s="102"/>
      <c r="I20" s="147"/>
      <c r="J20" s="93"/>
      <c r="K20" s="85"/>
      <c r="L20" s="93"/>
      <c r="M20" s="85"/>
      <c r="N20" s="93"/>
      <c r="O20" s="85"/>
      <c r="P20" s="95"/>
      <c r="Q20" s="85"/>
      <c r="R20" s="95"/>
      <c r="S20" s="85"/>
      <c r="T20" s="95"/>
      <c r="U20" s="85"/>
      <c r="V20" s="95"/>
      <c r="W20" s="85"/>
      <c r="X20" s="95"/>
      <c r="Y20" s="85"/>
      <c r="Z20" s="95"/>
      <c r="AA20" s="85"/>
      <c r="AB20" s="95"/>
      <c r="AC20" s="85"/>
      <c r="AD20" s="1"/>
      <c r="AE20" s="1"/>
      <c r="AF20" s="1"/>
    </row>
    <row r="21" spans="1:32" ht="18" customHeight="1" x14ac:dyDescent="0.45">
      <c r="A21" s="28">
        <v>2</v>
      </c>
      <c r="D21" s="30"/>
      <c r="E21" s="74"/>
      <c r="F21" s="125"/>
      <c r="G21" s="114"/>
      <c r="H21" s="94"/>
      <c r="I21" s="85"/>
      <c r="J21" s="91"/>
      <c r="K21" s="85"/>
      <c r="L21" s="92"/>
      <c r="M21" s="85"/>
      <c r="N21" s="92"/>
      <c r="O21" s="85"/>
      <c r="P21" s="92"/>
      <c r="Q21" s="85"/>
      <c r="R21" s="92"/>
      <c r="S21" s="85"/>
      <c r="T21" s="92"/>
      <c r="U21" s="85"/>
      <c r="V21" s="92"/>
      <c r="W21" s="85"/>
      <c r="X21" s="92"/>
      <c r="Y21" s="85"/>
      <c r="Z21" s="92"/>
      <c r="AA21" s="85"/>
      <c r="AB21" s="92"/>
      <c r="AC21" s="85"/>
    </row>
    <row r="22" spans="1:32" ht="17.5" x14ac:dyDescent="0.45">
      <c r="A22" s="28">
        <v>3</v>
      </c>
      <c r="D22" s="30"/>
      <c r="E22" s="74"/>
      <c r="F22" s="91"/>
      <c r="G22" s="85"/>
      <c r="H22" s="94"/>
      <c r="I22" s="85"/>
      <c r="J22" s="91"/>
      <c r="K22" s="85"/>
      <c r="L22" s="92"/>
      <c r="M22" s="85"/>
      <c r="N22" s="92"/>
      <c r="O22" s="85"/>
      <c r="P22" s="92"/>
      <c r="Q22" s="85"/>
      <c r="R22" s="92"/>
      <c r="S22" s="85"/>
      <c r="T22" s="92"/>
      <c r="U22" s="85"/>
      <c r="V22" s="92"/>
      <c r="W22" s="85"/>
      <c r="X22" s="92"/>
      <c r="Y22" s="85"/>
      <c r="Z22" s="92"/>
      <c r="AA22" s="85"/>
      <c r="AB22" s="92"/>
      <c r="AC22" s="85"/>
    </row>
    <row r="23" spans="1:32" ht="18" thickBot="1" x14ac:dyDescent="0.5">
      <c r="A23" s="1">
        <v>4</v>
      </c>
      <c r="B23" s="7"/>
      <c r="C23" s="7"/>
      <c r="D23" s="30"/>
      <c r="E23" s="75"/>
      <c r="F23" s="91"/>
      <c r="G23" s="85"/>
      <c r="H23" s="91"/>
      <c r="I23" s="85"/>
      <c r="J23" s="91"/>
      <c r="K23" s="85"/>
      <c r="L23" s="92"/>
      <c r="M23" s="85"/>
      <c r="N23" s="92"/>
      <c r="O23" s="85"/>
      <c r="P23" s="91"/>
      <c r="Q23" s="85"/>
      <c r="R23" s="91"/>
      <c r="S23" s="85"/>
      <c r="T23" s="92"/>
      <c r="U23" s="85"/>
      <c r="V23" s="92"/>
      <c r="W23" s="85"/>
      <c r="X23" s="92"/>
      <c r="Y23" s="85"/>
      <c r="Z23" s="92"/>
      <c r="AA23" s="85"/>
      <c r="AB23" s="92"/>
      <c r="AC23" s="85"/>
    </row>
    <row r="24" spans="1:32" ht="21.5" thickTop="1" x14ac:dyDescent="0.45">
      <c r="A24" s="49" t="s">
        <v>141</v>
      </c>
      <c r="B24" s="49" t="s">
        <v>189</v>
      </c>
      <c r="D24" s="30"/>
      <c r="E24" s="50"/>
      <c r="F24" s="91"/>
      <c r="G24" s="99"/>
      <c r="H24" s="91"/>
      <c r="I24" s="99"/>
      <c r="J24" s="91"/>
      <c r="K24" s="86"/>
      <c r="L24" s="92"/>
      <c r="M24" s="85"/>
      <c r="N24" s="92"/>
      <c r="O24" s="85"/>
      <c r="P24" s="92"/>
      <c r="Q24" s="85"/>
      <c r="R24" s="92"/>
      <c r="S24" s="85"/>
      <c r="T24" s="92"/>
      <c r="U24" s="85"/>
      <c r="V24" s="92"/>
      <c r="W24" s="85"/>
      <c r="X24" s="92"/>
      <c r="Y24" s="85"/>
      <c r="Z24" s="92"/>
      <c r="AA24" s="85"/>
      <c r="AB24" s="92"/>
      <c r="AC24" s="85"/>
    </row>
    <row r="25" spans="1:32" customFormat="1" x14ac:dyDescent="0.45">
      <c r="L25" s="54"/>
      <c r="T25" s="104"/>
    </row>
    <row r="26" spans="1:32" s="151" customFormat="1" x14ac:dyDescent="0.45">
      <c r="G26" s="152"/>
      <c r="I26" s="152"/>
      <c r="K26" s="152"/>
      <c r="M26" s="152"/>
      <c r="O26" s="152"/>
      <c r="Q26" s="152"/>
      <c r="S26" s="152"/>
      <c r="U26" s="152"/>
      <c r="W26" s="152"/>
      <c r="Y26" s="152"/>
      <c r="AA26" s="152"/>
      <c r="AC26" s="152"/>
    </row>
  </sheetData>
  <phoneticPr fontId="1" type="noConversion"/>
  <pageMargins left="0.7" right="0.7" top="0.75" bottom="0.75" header="0.3" footer="0.3"/>
  <pageSetup paperSize="9" orientation="portrait" horizontalDpi="30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934D0-B6A8-48BC-B226-BDA8DA1ABB6D}">
  <dimension ref="A1:R22"/>
  <sheetViews>
    <sheetView workbookViewId="0">
      <selection activeCell="C19" sqref="C19"/>
    </sheetView>
  </sheetViews>
  <sheetFormatPr defaultRowHeight="17" x14ac:dyDescent="0.45"/>
  <cols>
    <col min="3" max="3" width="20.25" customWidth="1"/>
    <col min="7" max="8" width="9.83203125" bestFit="1" customWidth="1"/>
  </cols>
  <sheetData>
    <row r="1" spans="1:18" x14ac:dyDescent="0.45">
      <c r="A1" s="3" t="s">
        <v>38</v>
      </c>
      <c r="B1" s="3" t="s">
        <v>0</v>
      </c>
      <c r="C1" s="3" t="s">
        <v>4</v>
      </c>
      <c r="D1" s="3" t="s">
        <v>2</v>
      </c>
      <c r="E1" s="3" t="s">
        <v>77</v>
      </c>
      <c r="F1" s="3" t="s">
        <v>78</v>
      </c>
      <c r="G1" s="3" t="s">
        <v>13</v>
      </c>
      <c r="H1" s="3" t="s">
        <v>14</v>
      </c>
      <c r="I1" s="3" t="s">
        <v>15</v>
      </c>
      <c r="J1" s="3" t="s">
        <v>16</v>
      </c>
      <c r="K1" s="3" t="s">
        <v>17</v>
      </c>
      <c r="L1" s="3" t="s">
        <v>18</v>
      </c>
      <c r="M1" s="3" t="s">
        <v>79</v>
      </c>
      <c r="N1" s="3" t="s">
        <v>80</v>
      </c>
      <c r="O1" s="3" t="s">
        <v>81</v>
      </c>
      <c r="P1" s="3" t="s">
        <v>82</v>
      </c>
      <c r="Q1" s="3" t="s">
        <v>83</v>
      </c>
      <c r="R1" s="3" t="s">
        <v>84</v>
      </c>
    </row>
    <row r="2" spans="1:18" x14ac:dyDescent="0.45">
      <c r="A2" s="1"/>
      <c r="B2" s="1"/>
      <c r="C2" s="4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x14ac:dyDescent="0.45">
      <c r="A3" s="1">
        <v>1</v>
      </c>
      <c r="B3" s="1" t="s">
        <v>111</v>
      </c>
      <c r="C3" s="1" t="s">
        <v>47</v>
      </c>
      <c r="D3" s="1" t="s">
        <v>42</v>
      </c>
      <c r="E3" s="1" t="s">
        <v>67</v>
      </c>
      <c r="F3" s="1">
        <v>16</v>
      </c>
      <c r="G3" s="6">
        <v>45121</v>
      </c>
      <c r="H3" s="2">
        <v>45152</v>
      </c>
      <c r="I3" s="5"/>
      <c r="J3" s="5"/>
      <c r="K3" s="7"/>
      <c r="L3" s="5"/>
      <c r="M3" s="5"/>
      <c r="N3" s="7"/>
      <c r="O3" s="5"/>
      <c r="P3" s="5"/>
      <c r="Q3" s="1"/>
      <c r="R3" s="2"/>
    </row>
    <row r="4" spans="1:18" x14ac:dyDescent="0.45">
      <c r="A4" s="1">
        <v>2</v>
      </c>
      <c r="B4" s="1" t="s">
        <v>63</v>
      </c>
      <c r="C4" s="1" t="s">
        <v>88</v>
      </c>
      <c r="D4" s="1" t="s">
        <v>51</v>
      </c>
      <c r="E4" s="1" t="s">
        <v>46</v>
      </c>
      <c r="F4" s="1">
        <v>13</v>
      </c>
      <c r="G4" s="9">
        <v>45135</v>
      </c>
      <c r="H4" s="5">
        <v>45166</v>
      </c>
      <c r="I4" s="5"/>
      <c r="J4" s="10"/>
      <c r="K4" s="5"/>
      <c r="L4" s="5"/>
      <c r="M4" s="10"/>
      <c r="N4" s="5"/>
      <c r="O4" s="5"/>
      <c r="P4" s="10"/>
      <c r="Q4" s="5"/>
      <c r="R4" s="5"/>
    </row>
    <row r="5" spans="1:18" x14ac:dyDescent="0.45">
      <c r="A5" s="1">
        <v>3</v>
      </c>
      <c r="B5" s="1"/>
      <c r="C5" s="1"/>
      <c r="D5" s="1"/>
      <c r="E5" s="1"/>
      <c r="F5" s="1"/>
      <c r="G5" s="10"/>
      <c r="H5" s="5"/>
      <c r="I5" s="5"/>
      <c r="J5" s="10"/>
      <c r="K5" s="5"/>
      <c r="L5" s="5"/>
      <c r="M5" s="10"/>
      <c r="N5" s="5"/>
      <c r="O5" s="5"/>
      <c r="P5" s="10"/>
      <c r="Q5" s="5"/>
      <c r="R5" s="5"/>
    </row>
    <row r="6" spans="1:18" x14ac:dyDescent="0.45">
      <c r="A6" s="1">
        <v>4</v>
      </c>
      <c r="B6" s="1"/>
      <c r="C6" s="1"/>
      <c r="D6" s="1"/>
      <c r="E6" s="1"/>
      <c r="F6" s="1"/>
      <c r="G6" s="10"/>
      <c r="H6" s="5"/>
      <c r="I6" s="5"/>
      <c r="J6" s="10"/>
      <c r="K6" s="5"/>
      <c r="L6" s="5"/>
      <c r="M6" s="10"/>
      <c r="N6" s="5"/>
      <c r="O6" s="5"/>
      <c r="P6" s="10"/>
      <c r="Q6" s="5"/>
      <c r="R6" s="5"/>
    </row>
    <row r="7" spans="1:18" x14ac:dyDescent="0.45">
      <c r="A7" s="1">
        <v>5</v>
      </c>
      <c r="B7" s="1"/>
      <c r="C7" s="1"/>
      <c r="D7" s="1"/>
      <c r="E7" s="1"/>
      <c r="F7" s="1"/>
      <c r="G7" s="10"/>
      <c r="H7" s="5"/>
      <c r="I7" s="5"/>
      <c r="J7" s="10"/>
      <c r="K7" s="5"/>
      <c r="L7" s="5"/>
      <c r="M7" s="10"/>
      <c r="N7" s="5"/>
      <c r="O7" s="5"/>
      <c r="P7" s="10"/>
      <c r="Q7" s="5"/>
      <c r="R7" s="5"/>
    </row>
    <row r="8" spans="1:18" x14ac:dyDescent="0.45">
      <c r="A8" s="1">
        <v>6</v>
      </c>
      <c r="B8" s="1"/>
      <c r="C8" s="1"/>
      <c r="D8" s="1"/>
      <c r="E8" s="1"/>
      <c r="F8" s="1"/>
      <c r="G8" s="11"/>
      <c r="H8" s="12"/>
      <c r="I8" s="11"/>
      <c r="J8" s="11"/>
      <c r="K8" s="12"/>
      <c r="L8" s="11"/>
      <c r="M8" s="11"/>
      <c r="N8" s="12"/>
      <c r="O8" s="11"/>
      <c r="P8" s="11"/>
      <c r="Q8" s="12"/>
      <c r="R8" s="11"/>
    </row>
    <row r="9" spans="1:18" x14ac:dyDescent="0.45">
      <c r="A9" s="1">
        <v>7</v>
      </c>
      <c r="B9" s="1"/>
      <c r="C9" s="1"/>
      <c r="D9" s="1"/>
      <c r="E9" s="1"/>
      <c r="F9" s="1"/>
      <c r="G9" s="10"/>
      <c r="H9" s="5"/>
      <c r="I9" s="10"/>
      <c r="J9" s="10"/>
      <c r="K9" s="5"/>
      <c r="L9" s="10"/>
      <c r="M9" s="10"/>
      <c r="N9" s="5"/>
      <c r="O9" s="10"/>
      <c r="P9" s="10"/>
      <c r="Q9" s="5"/>
      <c r="R9" s="10"/>
    </row>
    <row r="10" spans="1:18" x14ac:dyDescent="0.45">
      <c r="A10" s="1">
        <v>8</v>
      </c>
      <c r="B10" s="1"/>
      <c r="C10" s="1"/>
      <c r="D10" s="1"/>
      <c r="E10" s="1"/>
      <c r="F10" s="1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</row>
    <row r="11" spans="1:18" x14ac:dyDescent="0.45">
      <c r="A11" s="1">
        <v>9</v>
      </c>
      <c r="B11" s="1"/>
      <c r="C11" s="1"/>
      <c r="D11" s="1"/>
      <c r="E11" s="1"/>
      <c r="F11" s="1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</row>
    <row r="12" spans="1:18" x14ac:dyDescent="0.45">
      <c r="A12" s="1">
        <v>10</v>
      </c>
      <c r="B12" s="1"/>
      <c r="C12" s="1"/>
      <c r="D12" s="1"/>
      <c r="E12" s="1"/>
      <c r="F12" s="1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</row>
    <row r="13" spans="1:18" x14ac:dyDescent="0.45">
      <c r="A13" s="1">
        <v>11</v>
      </c>
      <c r="B13" s="7"/>
      <c r="C13" s="7"/>
      <c r="D13" s="7"/>
      <c r="E13" s="1"/>
      <c r="F13" s="1"/>
      <c r="G13" s="5"/>
      <c r="H13" s="15"/>
      <c r="I13" s="5"/>
      <c r="J13" s="5"/>
      <c r="K13" s="15"/>
      <c r="L13" s="5"/>
      <c r="M13" s="5"/>
      <c r="N13" s="15"/>
      <c r="O13" s="5"/>
      <c r="P13" s="5"/>
      <c r="Q13" s="15"/>
      <c r="R13" s="5"/>
    </row>
    <row r="14" spans="1:18" x14ac:dyDescent="0.45">
      <c r="A14" s="1">
        <v>12</v>
      </c>
      <c r="B14" s="7"/>
      <c r="C14" s="7"/>
      <c r="D14" s="7"/>
      <c r="E14" s="1"/>
      <c r="F14" s="2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</row>
    <row r="15" spans="1:18" x14ac:dyDescent="0.45">
      <c r="A15" s="1">
        <v>13</v>
      </c>
      <c r="B15" s="7"/>
      <c r="C15" s="7"/>
      <c r="D15" s="7"/>
      <c r="E15" s="1"/>
      <c r="F15" s="1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</row>
    <row r="16" spans="1:18" x14ac:dyDescent="0.45">
      <c r="A16" s="1">
        <v>14</v>
      </c>
      <c r="B16" s="7"/>
      <c r="C16" s="7"/>
      <c r="D16" s="7"/>
      <c r="E16" s="1"/>
      <c r="F16" s="1"/>
      <c r="G16" s="5"/>
      <c r="H16" s="7"/>
      <c r="I16" s="7"/>
      <c r="J16" s="5"/>
      <c r="K16" s="7"/>
      <c r="L16" s="7"/>
      <c r="M16" s="5"/>
      <c r="N16" s="7"/>
      <c r="O16" s="7"/>
      <c r="P16" s="5"/>
      <c r="Q16" s="7"/>
      <c r="R16" s="7"/>
    </row>
    <row r="17" spans="1:18" x14ac:dyDescent="0.45">
      <c r="A17" s="1">
        <v>15</v>
      </c>
      <c r="B17" s="7"/>
      <c r="C17" s="7"/>
      <c r="D17" s="7"/>
      <c r="E17" s="1"/>
      <c r="F17" s="1"/>
      <c r="G17" s="5"/>
      <c r="H17" s="7"/>
      <c r="I17" s="7"/>
      <c r="J17" s="5"/>
      <c r="K17" s="7"/>
      <c r="L17" s="7"/>
      <c r="M17" s="5"/>
      <c r="N17" s="7"/>
      <c r="O17" s="7"/>
      <c r="P17" s="5"/>
      <c r="Q17" s="7"/>
      <c r="R17" s="7"/>
    </row>
    <row r="18" spans="1:18" x14ac:dyDescent="0.45">
      <c r="A18" s="1">
        <v>16</v>
      </c>
      <c r="B18" s="7"/>
      <c r="C18" s="7"/>
      <c r="D18" s="7"/>
      <c r="E18" s="1"/>
      <c r="F18" s="1"/>
      <c r="G18" s="5"/>
      <c r="H18" s="7"/>
      <c r="I18" s="7"/>
      <c r="J18" s="5"/>
      <c r="K18" s="7"/>
      <c r="L18" s="7"/>
      <c r="M18" s="5"/>
      <c r="N18" s="7"/>
      <c r="O18" s="7"/>
      <c r="P18" s="5"/>
      <c r="Q18" s="7"/>
      <c r="R18" s="7"/>
    </row>
    <row r="19" spans="1:18" x14ac:dyDescent="0.45">
      <c r="A19" s="1">
        <v>17</v>
      </c>
      <c r="B19" s="1"/>
      <c r="C19" s="1"/>
      <c r="D19" s="1"/>
      <c r="E19" s="1"/>
      <c r="F19" s="1"/>
      <c r="G19" s="5"/>
      <c r="H19" s="16"/>
      <c r="I19" s="5"/>
      <c r="J19" s="5"/>
      <c r="K19" s="16"/>
      <c r="L19" s="5"/>
      <c r="M19" s="5"/>
      <c r="N19" s="16"/>
      <c r="O19" s="5"/>
      <c r="P19" s="5"/>
      <c r="Q19" s="16"/>
      <c r="R19" s="5"/>
    </row>
    <row r="20" spans="1:18" x14ac:dyDescent="0.45">
      <c r="A20" s="1">
        <v>18</v>
      </c>
      <c r="B20" s="1"/>
      <c r="C20" s="1"/>
      <c r="D20" s="1"/>
      <c r="E20" s="1"/>
      <c r="F20" s="1"/>
      <c r="G20" s="5"/>
      <c r="H20" s="7"/>
      <c r="I20" s="7"/>
      <c r="J20" s="5"/>
      <c r="K20" s="7"/>
      <c r="L20" s="7"/>
      <c r="M20" s="5"/>
      <c r="N20" s="7"/>
      <c r="O20" s="7"/>
      <c r="P20" s="5"/>
      <c r="Q20" s="7"/>
      <c r="R20" s="7"/>
    </row>
    <row r="21" spans="1:18" x14ac:dyDescent="0.45">
      <c r="A21" s="1">
        <v>19</v>
      </c>
      <c r="B21" s="4"/>
      <c r="C21" s="4"/>
      <c r="D21" s="4"/>
      <c r="E21" s="4"/>
      <c r="F21" s="4"/>
      <c r="G21" s="4"/>
      <c r="H21" s="4"/>
      <c r="I21" s="1"/>
      <c r="J21" s="4"/>
      <c r="K21" s="4"/>
      <c r="L21" s="1"/>
      <c r="M21" s="4"/>
      <c r="N21" s="4"/>
      <c r="O21" s="1"/>
      <c r="P21" s="4"/>
      <c r="Q21" s="4"/>
      <c r="R21" s="1"/>
    </row>
    <row r="22" spans="1:18" x14ac:dyDescent="0.45">
      <c r="A22" s="1">
        <v>20</v>
      </c>
      <c r="B22" s="4"/>
      <c r="C22" s="4"/>
      <c r="D22" s="4"/>
      <c r="E22" s="4"/>
      <c r="F22" s="4"/>
      <c r="G22" s="4"/>
      <c r="H22" s="4"/>
      <c r="I22" s="1"/>
      <c r="J22" s="4"/>
      <c r="K22" s="4"/>
      <c r="L22" s="1"/>
      <c r="M22" s="4"/>
      <c r="N22" s="4"/>
      <c r="O22" s="1"/>
      <c r="P22" s="4"/>
      <c r="Q22" s="4"/>
      <c r="R22" s="1"/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749AE-1EC6-4561-81E4-C29B4716B51C}">
  <sheetPr>
    <tabColor theme="5" tint="0.79998168889431442"/>
  </sheetPr>
  <dimension ref="A1:P31"/>
  <sheetViews>
    <sheetView showGridLines="0" showZeros="0" workbookViewId="0">
      <selection activeCell="M6" sqref="M6"/>
    </sheetView>
  </sheetViews>
  <sheetFormatPr defaultRowHeight="17" x14ac:dyDescent="0.45"/>
  <cols>
    <col min="2" max="2" width="20.33203125" customWidth="1"/>
    <col min="4" max="15" width="10.58203125" customWidth="1"/>
  </cols>
  <sheetData>
    <row r="1" spans="1:16" ht="36" customHeight="1" x14ac:dyDescent="0.45">
      <c r="B1" s="113" t="s">
        <v>164</v>
      </c>
    </row>
    <row r="2" spans="1:16" ht="17.5" thickBot="1" x14ac:dyDescent="0.5"/>
    <row r="3" spans="1:16" ht="36" customHeight="1" thickBot="1" x14ac:dyDescent="0.5">
      <c r="A3" s="112" t="s">
        <v>193</v>
      </c>
      <c r="B3" s="231">
        <f>SUM(D10:O10)</f>
        <v>140.69999999999999</v>
      </c>
      <c r="C3" s="163" t="s">
        <v>94</v>
      </c>
      <c r="D3" s="164">
        <v>4</v>
      </c>
      <c r="E3" s="164">
        <v>8</v>
      </c>
      <c r="F3" s="164">
        <v>16</v>
      </c>
      <c r="G3" s="164">
        <v>7</v>
      </c>
      <c r="H3" s="164">
        <v>3</v>
      </c>
      <c r="I3" s="164">
        <v>2</v>
      </c>
      <c r="J3" s="164"/>
      <c r="K3" s="164">
        <v>2</v>
      </c>
      <c r="L3" s="164"/>
      <c r="M3" s="164"/>
      <c r="N3" s="164"/>
      <c r="O3" s="164"/>
      <c r="P3" s="165">
        <f>SUM(D3:O3)</f>
        <v>42</v>
      </c>
    </row>
    <row r="4" spans="1:16" ht="20.149999999999999" customHeight="1" x14ac:dyDescent="0.45">
      <c r="C4" s="166" t="s">
        <v>191</v>
      </c>
      <c r="D4" s="232">
        <v>1</v>
      </c>
      <c r="E4" s="232">
        <v>2</v>
      </c>
      <c r="F4" s="232">
        <v>3</v>
      </c>
      <c r="G4" s="232">
        <v>4</v>
      </c>
      <c r="H4" s="232">
        <v>5</v>
      </c>
      <c r="I4" s="232">
        <v>6</v>
      </c>
      <c r="J4" s="232">
        <v>7</v>
      </c>
      <c r="K4" s="232">
        <v>8</v>
      </c>
      <c r="L4" s="232">
        <v>9</v>
      </c>
      <c r="M4" s="232">
        <v>10</v>
      </c>
      <c r="N4" s="232">
        <v>11</v>
      </c>
      <c r="O4" s="233">
        <v>12</v>
      </c>
      <c r="P4" s="167"/>
    </row>
    <row r="5" spans="1:16" ht="25" customHeight="1" x14ac:dyDescent="0.45">
      <c r="C5" s="240">
        <v>1</v>
      </c>
      <c r="D5" s="238"/>
      <c r="E5" s="235">
        <v>0.8</v>
      </c>
      <c r="F5" s="235">
        <v>17.600000000000001</v>
      </c>
      <c r="G5" s="235">
        <v>6</v>
      </c>
      <c r="H5" s="235">
        <v>15.4</v>
      </c>
      <c r="I5" s="235">
        <v>13.6</v>
      </c>
      <c r="J5" s="235">
        <v>11.6</v>
      </c>
      <c r="K5" s="235">
        <v>7.7</v>
      </c>
      <c r="L5" s="235">
        <v>11.6</v>
      </c>
      <c r="M5" s="235">
        <v>11.6</v>
      </c>
      <c r="N5" s="235"/>
      <c r="O5" s="235"/>
      <c r="P5" s="167"/>
    </row>
    <row r="6" spans="1:16" ht="25" customHeight="1" x14ac:dyDescent="0.45">
      <c r="C6" s="241">
        <v>2</v>
      </c>
      <c r="D6" s="238"/>
      <c r="E6" s="235"/>
      <c r="F6" s="235">
        <v>6</v>
      </c>
      <c r="G6" s="235">
        <v>17</v>
      </c>
      <c r="H6" s="235"/>
      <c r="I6" s="235"/>
      <c r="J6" s="235"/>
      <c r="K6" s="235">
        <v>2</v>
      </c>
      <c r="L6" s="235"/>
      <c r="M6" s="235"/>
      <c r="N6" s="235"/>
      <c r="O6" s="235"/>
      <c r="P6" s="167"/>
    </row>
    <row r="7" spans="1:16" ht="25" customHeight="1" x14ac:dyDescent="0.45">
      <c r="C7" s="241">
        <v>3</v>
      </c>
      <c r="D7" s="238"/>
      <c r="E7" s="235">
        <v>3.2</v>
      </c>
      <c r="F7" s="235">
        <v>4</v>
      </c>
      <c r="G7" s="235"/>
      <c r="H7" s="235">
        <v>1</v>
      </c>
      <c r="I7" s="235"/>
      <c r="J7" s="235"/>
      <c r="K7" s="235"/>
      <c r="L7" s="235"/>
      <c r="M7" s="235"/>
      <c r="N7" s="235"/>
      <c r="O7" s="235"/>
      <c r="P7" s="167"/>
    </row>
    <row r="8" spans="1:16" ht="25" customHeight="1" x14ac:dyDescent="0.45">
      <c r="C8" s="241">
        <v>4</v>
      </c>
      <c r="D8" s="238"/>
      <c r="E8" s="235">
        <v>2.4</v>
      </c>
      <c r="F8" s="235">
        <v>4</v>
      </c>
      <c r="G8" s="235"/>
      <c r="H8" s="235">
        <v>2</v>
      </c>
      <c r="I8" s="235"/>
      <c r="J8" s="235"/>
      <c r="K8" s="235"/>
      <c r="L8" s="235"/>
      <c r="M8" s="235"/>
      <c r="N8" s="235"/>
      <c r="O8" s="235"/>
      <c r="P8" s="167"/>
    </row>
    <row r="9" spans="1:16" ht="25" customHeight="1" thickBot="1" x14ac:dyDescent="0.5">
      <c r="C9" s="242">
        <v>5</v>
      </c>
      <c r="D9" s="238">
        <v>3.2</v>
      </c>
      <c r="E9" s="235"/>
      <c r="F9" s="235"/>
      <c r="G9" s="235"/>
      <c r="H9" s="235"/>
      <c r="I9" s="235"/>
      <c r="J9" s="235"/>
      <c r="K9" s="235"/>
      <c r="L9" s="235"/>
      <c r="M9" s="235"/>
      <c r="N9" s="235"/>
      <c r="O9" s="235"/>
      <c r="P9" s="167"/>
    </row>
    <row r="10" spans="1:16" ht="30" customHeight="1" thickBot="1" x14ac:dyDescent="0.5">
      <c r="C10" s="237"/>
      <c r="D10" s="234">
        <f>SUM(D5:D9)</f>
        <v>3.2</v>
      </c>
      <c r="E10" s="234">
        <f>SUM(E5:E9)</f>
        <v>6.4</v>
      </c>
      <c r="F10" s="234">
        <f t="shared" ref="F10:O10" si="0">SUM(F5:F9)</f>
        <v>31.6</v>
      </c>
      <c r="G10" s="234">
        <f t="shared" si="0"/>
        <v>23</v>
      </c>
      <c r="H10" s="234">
        <f t="shared" si="0"/>
        <v>18.399999999999999</v>
      </c>
      <c r="I10" s="234">
        <f t="shared" si="0"/>
        <v>13.6</v>
      </c>
      <c r="J10" s="234">
        <f t="shared" si="0"/>
        <v>11.6</v>
      </c>
      <c r="K10" s="234">
        <f t="shared" si="0"/>
        <v>9.6999999999999993</v>
      </c>
      <c r="L10" s="234">
        <f t="shared" si="0"/>
        <v>11.6</v>
      </c>
      <c r="M10" s="234">
        <f t="shared" si="0"/>
        <v>11.6</v>
      </c>
      <c r="N10" s="234">
        <f t="shared" si="0"/>
        <v>0</v>
      </c>
      <c r="O10" s="243">
        <f t="shared" si="0"/>
        <v>0</v>
      </c>
      <c r="P10" s="168"/>
    </row>
    <row r="11" spans="1:16" ht="21.5" thickBot="1" x14ac:dyDescent="0.5">
      <c r="C11" s="111"/>
      <c r="D11" s="111"/>
      <c r="E11" s="111"/>
      <c r="F11" s="111"/>
      <c r="G11" s="111"/>
      <c r="H11" s="111"/>
      <c r="I11" s="111"/>
      <c r="J11" s="111"/>
      <c r="K11" s="111"/>
      <c r="L11" s="111"/>
      <c r="M11" s="111"/>
      <c r="N11" s="111"/>
      <c r="O11" s="111"/>
    </row>
    <row r="12" spans="1:16" ht="40" thickBot="1" x14ac:dyDescent="0.5">
      <c r="A12" s="112" t="s">
        <v>194</v>
      </c>
      <c r="B12" s="231">
        <f>SUM(D19:O19)</f>
        <v>0</v>
      </c>
      <c r="C12" s="163" t="s">
        <v>94</v>
      </c>
      <c r="D12" s="164"/>
      <c r="E12" s="164"/>
      <c r="F12" s="164"/>
      <c r="G12" s="164"/>
      <c r="H12" s="164"/>
      <c r="I12" s="164"/>
      <c r="J12" s="164"/>
      <c r="K12" s="164"/>
      <c r="L12" s="164"/>
      <c r="M12" s="164"/>
      <c r="N12" s="164"/>
      <c r="O12" s="164"/>
      <c r="P12" s="165">
        <f>SUM(D12:O12)</f>
        <v>0</v>
      </c>
    </row>
    <row r="13" spans="1:16" ht="20.149999999999999" customHeight="1" x14ac:dyDescent="0.45">
      <c r="C13" s="166" t="s">
        <v>192</v>
      </c>
      <c r="D13" s="232">
        <v>1</v>
      </c>
      <c r="E13" s="232">
        <v>2</v>
      </c>
      <c r="F13" s="232">
        <v>3</v>
      </c>
      <c r="G13" s="232">
        <v>4</v>
      </c>
      <c r="H13" s="232">
        <v>5</v>
      </c>
      <c r="I13" s="232">
        <v>6</v>
      </c>
      <c r="J13" s="232">
        <v>7</v>
      </c>
      <c r="K13" s="232">
        <v>8</v>
      </c>
      <c r="L13" s="232">
        <v>9</v>
      </c>
      <c r="M13" s="232">
        <v>10</v>
      </c>
      <c r="N13" s="232">
        <v>11</v>
      </c>
      <c r="O13" s="233">
        <v>12</v>
      </c>
      <c r="P13" s="167"/>
    </row>
    <row r="14" spans="1:16" ht="25" customHeight="1" x14ac:dyDescent="0.45">
      <c r="C14" s="240">
        <v>1</v>
      </c>
      <c r="D14" s="239"/>
      <c r="E14" s="236"/>
      <c r="F14" s="236"/>
      <c r="G14" s="236"/>
      <c r="H14" s="236"/>
      <c r="I14" s="236"/>
      <c r="J14" s="236"/>
      <c r="K14" s="236"/>
      <c r="L14" s="236"/>
      <c r="M14" s="236"/>
      <c r="N14" s="236"/>
      <c r="O14" s="236"/>
      <c r="P14" s="167"/>
    </row>
    <row r="15" spans="1:16" ht="25" customHeight="1" x14ac:dyDescent="0.45">
      <c r="C15" s="241">
        <v>2</v>
      </c>
      <c r="D15" s="239"/>
      <c r="E15" s="236"/>
      <c r="F15" s="236"/>
      <c r="G15" s="236"/>
      <c r="H15" s="236"/>
      <c r="I15" s="236"/>
      <c r="J15" s="236"/>
      <c r="K15" s="236"/>
      <c r="L15" s="236"/>
      <c r="M15" s="236"/>
      <c r="N15" s="236"/>
      <c r="O15" s="236"/>
      <c r="P15" s="167"/>
    </row>
    <row r="16" spans="1:16" ht="25" customHeight="1" x14ac:dyDescent="0.45">
      <c r="C16" s="241">
        <v>3</v>
      </c>
      <c r="D16" s="239"/>
      <c r="E16" s="236"/>
      <c r="F16" s="236"/>
      <c r="G16" s="236"/>
      <c r="H16" s="236"/>
      <c r="I16" s="236"/>
      <c r="J16" s="236"/>
      <c r="K16" s="236"/>
      <c r="L16" s="236"/>
      <c r="M16" s="236"/>
      <c r="N16" s="236"/>
      <c r="O16" s="236"/>
      <c r="P16" s="167"/>
    </row>
    <row r="17" spans="1:16" ht="25" customHeight="1" x14ac:dyDescent="0.45">
      <c r="C17" s="241">
        <v>4</v>
      </c>
      <c r="D17" s="239"/>
      <c r="E17" s="236"/>
      <c r="F17" s="236"/>
      <c r="G17" s="236"/>
      <c r="H17" s="236"/>
      <c r="I17" s="236"/>
      <c r="J17" s="236"/>
      <c r="K17" s="236"/>
      <c r="L17" s="236"/>
      <c r="M17" s="236"/>
      <c r="N17" s="236"/>
      <c r="O17" s="236"/>
      <c r="P17" s="167"/>
    </row>
    <row r="18" spans="1:16" ht="25" customHeight="1" thickBot="1" x14ac:dyDescent="0.5">
      <c r="C18" s="242">
        <v>5</v>
      </c>
      <c r="D18" s="239"/>
      <c r="E18" s="236"/>
      <c r="F18" s="236"/>
      <c r="G18" s="236"/>
      <c r="H18" s="236"/>
      <c r="I18" s="236"/>
      <c r="J18" s="236"/>
      <c r="K18" s="236"/>
      <c r="L18" s="236"/>
      <c r="M18" s="236"/>
      <c r="N18" s="236"/>
      <c r="O18" s="236"/>
      <c r="P18" s="167"/>
    </row>
    <row r="19" spans="1:16" ht="30" customHeight="1" thickBot="1" x14ac:dyDescent="0.5">
      <c r="C19" s="237"/>
      <c r="D19" s="234">
        <f>SUM(D14:D18)</f>
        <v>0</v>
      </c>
      <c r="E19" s="234">
        <f>SUM(E14:E18)</f>
        <v>0</v>
      </c>
      <c r="F19" s="234">
        <f t="shared" ref="F19:O19" si="1">SUM(F14:F18)</f>
        <v>0</v>
      </c>
      <c r="G19" s="234">
        <f t="shared" si="1"/>
        <v>0</v>
      </c>
      <c r="H19" s="234">
        <f t="shared" si="1"/>
        <v>0</v>
      </c>
      <c r="I19" s="234">
        <f t="shared" si="1"/>
        <v>0</v>
      </c>
      <c r="J19" s="234">
        <f t="shared" si="1"/>
        <v>0</v>
      </c>
      <c r="K19" s="234">
        <f t="shared" si="1"/>
        <v>0</v>
      </c>
      <c r="L19" s="234">
        <f t="shared" si="1"/>
        <v>0</v>
      </c>
      <c r="M19" s="234">
        <f t="shared" si="1"/>
        <v>0</v>
      </c>
      <c r="N19" s="234">
        <f t="shared" si="1"/>
        <v>0</v>
      </c>
      <c r="O19" s="243">
        <f t="shared" si="1"/>
        <v>0</v>
      </c>
      <c r="P19" s="168"/>
    </row>
    <row r="20" spans="1:16" ht="21.5" thickBot="1" x14ac:dyDescent="0.5">
      <c r="C20" s="111"/>
      <c r="D20" s="111"/>
      <c r="E20" s="111"/>
      <c r="F20" s="111"/>
      <c r="G20" s="111"/>
      <c r="H20" s="111"/>
      <c r="I20" s="111"/>
      <c r="J20" s="111"/>
      <c r="K20" s="111"/>
      <c r="L20" s="111"/>
      <c r="M20" s="111"/>
      <c r="N20" s="111"/>
      <c r="O20" s="111"/>
    </row>
    <row r="21" spans="1:16" ht="40" thickBot="1" x14ac:dyDescent="0.5">
      <c r="A21" s="112" t="s">
        <v>195</v>
      </c>
      <c r="B21" s="231">
        <f>SUM(D28:O28)</f>
        <v>0</v>
      </c>
      <c r="C21" s="163" t="s">
        <v>94</v>
      </c>
      <c r="D21" s="164"/>
      <c r="E21" s="164"/>
      <c r="F21" s="164"/>
      <c r="G21" s="164"/>
      <c r="H21" s="164"/>
      <c r="I21" s="164"/>
      <c r="J21" s="164"/>
      <c r="K21" s="164"/>
      <c r="L21" s="164"/>
      <c r="M21" s="164"/>
      <c r="N21" s="164"/>
      <c r="O21" s="164"/>
      <c r="P21" s="165">
        <f>SUM(D21:O21)</f>
        <v>0</v>
      </c>
    </row>
    <row r="22" spans="1:16" ht="20.149999999999999" customHeight="1" x14ac:dyDescent="0.45">
      <c r="C22" s="166" t="s">
        <v>192</v>
      </c>
      <c r="D22" s="232">
        <v>1</v>
      </c>
      <c r="E22" s="232">
        <v>2</v>
      </c>
      <c r="F22" s="232">
        <v>3</v>
      </c>
      <c r="G22" s="232">
        <v>4</v>
      </c>
      <c r="H22" s="232">
        <v>5</v>
      </c>
      <c r="I22" s="232">
        <v>6</v>
      </c>
      <c r="J22" s="232">
        <v>7</v>
      </c>
      <c r="K22" s="232">
        <v>8</v>
      </c>
      <c r="L22" s="232">
        <v>9</v>
      </c>
      <c r="M22" s="232">
        <v>10</v>
      </c>
      <c r="N22" s="232">
        <v>11</v>
      </c>
      <c r="O22" s="233">
        <v>12</v>
      </c>
      <c r="P22" s="167"/>
    </row>
    <row r="23" spans="1:16" ht="25" customHeight="1" x14ac:dyDescent="0.45">
      <c r="C23" s="240">
        <v>1</v>
      </c>
      <c r="D23" s="239"/>
      <c r="E23" s="236"/>
      <c r="F23" s="236"/>
      <c r="G23" s="236"/>
      <c r="H23" s="236"/>
      <c r="I23" s="236"/>
      <c r="J23" s="236"/>
      <c r="K23" s="236"/>
      <c r="L23" s="236"/>
      <c r="M23" s="236"/>
      <c r="N23" s="236"/>
      <c r="O23" s="236"/>
      <c r="P23" s="167"/>
    </row>
    <row r="24" spans="1:16" ht="25" customHeight="1" x14ac:dyDescent="0.45">
      <c r="C24" s="241">
        <v>2</v>
      </c>
      <c r="D24" s="239"/>
      <c r="E24" s="236"/>
      <c r="F24" s="236"/>
      <c r="G24" s="236"/>
      <c r="H24" s="236"/>
      <c r="I24" s="236"/>
      <c r="J24" s="236"/>
      <c r="K24" s="236"/>
      <c r="L24" s="236"/>
      <c r="M24" s="236"/>
      <c r="N24" s="236"/>
      <c r="O24" s="236"/>
      <c r="P24" s="167"/>
    </row>
    <row r="25" spans="1:16" ht="25" customHeight="1" x14ac:dyDescent="0.45">
      <c r="C25" s="241">
        <v>3</v>
      </c>
      <c r="D25" s="239"/>
      <c r="E25" s="236"/>
      <c r="F25" s="236"/>
      <c r="G25" s="236"/>
      <c r="H25" s="236"/>
      <c r="I25" s="236"/>
      <c r="J25" s="236"/>
      <c r="K25" s="236"/>
      <c r="L25" s="236"/>
      <c r="M25" s="236"/>
      <c r="N25" s="236"/>
      <c r="O25" s="236"/>
      <c r="P25" s="167"/>
    </row>
    <row r="26" spans="1:16" ht="25" customHeight="1" x14ac:dyDescent="0.45">
      <c r="C26" s="241">
        <v>4</v>
      </c>
      <c r="D26" s="239"/>
      <c r="E26" s="236"/>
      <c r="F26" s="236"/>
      <c r="G26" s="236"/>
      <c r="H26" s="236"/>
      <c r="I26" s="236"/>
      <c r="J26" s="236"/>
      <c r="K26" s="236"/>
      <c r="L26" s="236"/>
      <c r="M26" s="236"/>
      <c r="N26" s="236"/>
      <c r="O26" s="236"/>
      <c r="P26" s="167"/>
    </row>
    <row r="27" spans="1:16" ht="25" customHeight="1" thickBot="1" x14ac:dyDescent="0.5">
      <c r="C27" s="242">
        <v>5</v>
      </c>
      <c r="D27" s="239"/>
      <c r="E27" s="236"/>
      <c r="F27" s="236"/>
      <c r="G27" s="236"/>
      <c r="H27" s="236"/>
      <c r="I27" s="236"/>
      <c r="J27" s="236"/>
      <c r="K27" s="236"/>
      <c r="L27" s="236"/>
      <c r="M27" s="236"/>
      <c r="N27" s="236"/>
      <c r="O27" s="236"/>
      <c r="P27" s="167"/>
    </row>
    <row r="28" spans="1:16" ht="30" customHeight="1" thickBot="1" x14ac:dyDescent="0.5">
      <c r="C28" s="237"/>
      <c r="D28" s="234">
        <f>SUM(D23:D27)</f>
        <v>0</v>
      </c>
      <c r="E28" s="234">
        <f>SUM(E23:E27)</f>
        <v>0</v>
      </c>
      <c r="F28" s="234">
        <f t="shared" ref="F28:O28" si="2">SUM(F23:F27)</f>
        <v>0</v>
      </c>
      <c r="G28" s="234">
        <f t="shared" si="2"/>
        <v>0</v>
      </c>
      <c r="H28" s="234">
        <f t="shared" si="2"/>
        <v>0</v>
      </c>
      <c r="I28" s="234">
        <f t="shared" si="2"/>
        <v>0</v>
      </c>
      <c r="J28" s="234">
        <f t="shared" si="2"/>
        <v>0</v>
      </c>
      <c r="K28" s="234">
        <f t="shared" si="2"/>
        <v>0</v>
      </c>
      <c r="L28" s="234">
        <f t="shared" si="2"/>
        <v>0</v>
      </c>
      <c r="M28" s="234">
        <f t="shared" si="2"/>
        <v>0</v>
      </c>
      <c r="N28" s="234">
        <f t="shared" si="2"/>
        <v>0</v>
      </c>
      <c r="O28" s="243">
        <f t="shared" si="2"/>
        <v>0</v>
      </c>
      <c r="P28" s="168"/>
    </row>
    <row r="29" spans="1:16" ht="21" x14ac:dyDescent="0.45">
      <c r="C29" s="111"/>
      <c r="D29" s="111"/>
      <c r="E29" s="111"/>
      <c r="F29" s="111"/>
      <c r="G29" s="111"/>
      <c r="H29" s="111"/>
      <c r="I29" s="111"/>
      <c r="J29" s="111"/>
      <c r="K29" s="111"/>
      <c r="L29" s="111"/>
      <c r="M29" s="111"/>
      <c r="N29" s="111"/>
      <c r="O29" s="111"/>
    </row>
    <row r="30" spans="1:16" ht="21" x14ac:dyDescent="0.45">
      <c r="C30" s="111"/>
      <c r="D30" s="111"/>
      <c r="E30" s="111"/>
      <c r="F30" s="111"/>
      <c r="G30" s="111"/>
      <c r="H30" s="111"/>
      <c r="I30" s="111"/>
      <c r="J30" s="111"/>
      <c r="K30" s="111"/>
      <c r="L30" s="111"/>
      <c r="M30" s="111"/>
      <c r="N30" s="111"/>
      <c r="O30" s="111"/>
    </row>
    <row r="31" spans="1:16" ht="21" x14ac:dyDescent="0.45">
      <c r="C31" s="111"/>
      <c r="D31" s="111"/>
      <c r="E31" s="111"/>
      <c r="F31" s="111"/>
      <c r="G31" s="111"/>
      <c r="H31" s="111"/>
      <c r="I31" s="111"/>
      <c r="J31" s="111"/>
      <c r="K31" s="111"/>
      <c r="L31" s="111"/>
      <c r="M31" s="111"/>
      <c r="N31" s="111"/>
      <c r="O31" s="111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87EE3-2BE6-4D1B-AE20-D80C0866F738}">
  <dimension ref="A2:AG60"/>
  <sheetViews>
    <sheetView workbookViewId="0">
      <selection activeCell="C10" sqref="C10"/>
    </sheetView>
  </sheetViews>
  <sheetFormatPr defaultColWidth="9" defaultRowHeight="17" x14ac:dyDescent="0.45"/>
  <cols>
    <col min="1" max="1" width="9" style="1"/>
    <col min="2" max="2" width="17.25" style="1" customWidth="1"/>
    <col min="3" max="3" width="18.5" style="1" customWidth="1"/>
    <col min="4" max="4" width="9.58203125" style="1" customWidth="1"/>
    <col min="5" max="5" width="12.75" style="1" customWidth="1"/>
    <col min="6" max="6" width="20.25" style="1" customWidth="1"/>
    <col min="7" max="7" width="9" style="1"/>
    <col min="8" max="8" width="9.83203125" style="1" bestFit="1" customWidth="1"/>
    <col min="9" max="9" width="9.83203125" style="1" customWidth="1"/>
    <col min="10" max="10" width="16.08203125" style="1" customWidth="1"/>
    <col min="11" max="11" width="9" style="1"/>
    <col min="12" max="12" width="17.5" style="1" customWidth="1"/>
    <col min="13" max="13" width="9" style="1"/>
    <col min="14" max="14" width="17.5" style="1" customWidth="1"/>
    <col min="15" max="15" width="9" style="1"/>
    <col min="16" max="16" width="17.5" style="1" customWidth="1"/>
    <col min="17" max="17" width="9" style="1"/>
    <col min="18" max="18" width="17.5" style="1" customWidth="1"/>
    <col min="19" max="19" width="9" style="1"/>
    <col min="20" max="20" width="17.5" style="1" customWidth="1"/>
    <col min="21" max="21" width="9" style="1"/>
    <col min="22" max="22" width="17.5" style="1" customWidth="1"/>
    <col min="23" max="23" width="9" style="1"/>
    <col min="24" max="24" width="17.5" style="1" customWidth="1"/>
    <col min="25" max="25" width="9" style="1"/>
    <col min="26" max="26" width="17.5" style="1" customWidth="1"/>
    <col min="27" max="27" width="9" style="1"/>
    <col min="28" max="28" width="17.5" style="1" customWidth="1"/>
    <col min="29" max="29" width="9" style="1"/>
    <col min="30" max="30" width="17.5" style="1" customWidth="1"/>
    <col min="31" max="31" width="9" style="1"/>
    <col min="32" max="32" width="17.5" style="1" customWidth="1"/>
    <col min="33" max="16384" width="9" style="1"/>
  </cols>
  <sheetData>
    <row r="2" spans="1:33" x14ac:dyDescent="0.45">
      <c r="A2" s="3" t="s">
        <v>38</v>
      </c>
      <c r="B2" s="3" t="s">
        <v>0</v>
      </c>
      <c r="C2" s="3" t="s">
        <v>4</v>
      </c>
      <c r="D2" s="3" t="s">
        <v>2</v>
      </c>
      <c r="E2" s="3" t="s">
        <v>6</v>
      </c>
      <c r="F2" s="3" t="s">
        <v>39</v>
      </c>
      <c r="G2" s="3"/>
      <c r="H2" s="3" t="s">
        <v>5</v>
      </c>
      <c r="I2" s="3"/>
      <c r="J2" s="3" t="s">
        <v>13</v>
      </c>
      <c r="K2" s="3" t="s">
        <v>85</v>
      </c>
      <c r="L2" s="3" t="s">
        <v>14</v>
      </c>
      <c r="M2" s="3" t="s">
        <v>85</v>
      </c>
      <c r="N2" s="3" t="s">
        <v>15</v>
      </c>
      <c r="O2" s="3" t="s">
        <v>85</v>
      </c>
      <c r="P2" s="3" t="s">
        <v>16</v>
      </c>
      <c r="Q2" s="3" t="s">
        <v>85</v>
      </c>
      <c r="R2" s="3" t="s">
        <v>17</v>
      </c>
      <c r="S2" s="3" t="s">
        <v>85</v>
      </c>
      <c r="T2" s="3" t="s">
        <v>18</v>
      </c>
      <c r="U2" s="3" t="s">
        <v>85</v>
      </c>
      <c r="V2" s="3" t="s">
        <v>19</v>
      </c>
      <c r="W2" s="3" t="s">
        <v>85</v>
      </c>
      <c r="X2" s="3" t="s">
        <v>21</v>
      </c>
      <c r="Y2" s="3" t="s">
        <v>85</v>
      </c>
      <c r="Z2" s="3" t="s">
        <v>22</v>
      </c>
      <c r="AA2" s="3" t="s">
        <v>85</v>
      </c>
      <c r="AB2" s="3" t="s">
        <v>23</v>
      </c>
      <c r="AC2" s="3" t="s">
        <v>85</v>
      </c>
      <c r="AD2" s="3" t="s">
        <v>24</v>
      </c>
      <c r="AE2" s="3" t="s">
        <v>85</v>
      </c>
      <c r="AF2" s="3" t="s">
        <v>25</v>
      </c>
      <c r="AG2" s="3" t="s">
        <v>85</v>
      </c>
    </row>
    <row r="4" spans="1:33" x14ac:dyDescent="0.45">
      <c r="A4" s="1">
        <v>1</v>
      </c>
      <c r="B4" s="1" t="s">
        <v>68</v>
      </c>
      <c r="C4" s="1" t="s">
        <v>99</v>
      </c>
      <c r="D4" s="1" t="s">
        <v>42</v>
      </c>
      <c r="E4" s="1" t="s">
        <v>9</v>
      </c>
      <c r="F4" s="1" t="s">
        <v>87</v>
      </c>
      <c r="G4" s="1" t="s">
        <v>27</v>
      </c>
      <c r="H4" s="1">
        <v>24</v>
      </c>
      <c r="J4" s="6">
        <v>45121</v>
      </c>
      <c r="L4" s="6">
        <v>45149</v>
      </c>
      <c r="N4" s="6">
        <v>45177</v>
      </c>
      <c r="P4" s="2">
        <v>45212</v>
      </c>
      <c r="R4" s="2">
        <v>45240</v>
      </c>
      <c r="T4" s="2">
        <v>45268</v>
      </c>
      <c r="V4" s="2">
        <v>44938</v>
      </c>
      <c r="X4" s="5"/>
      <c r="Z4" s="10"/>
      <c r="AB4" s="10"/>
      <c r="AD4" s="2"/>
      <c r="AF4" s="10"/>
    </row>
    <row r="5" spans="1:33" x14ac:dyDescent="0.45">
      <c r="A5" s="1">
        <v>2</v>
      </c>
      <c r="B5" s="1" t="s">
        <v>41</v>
      </c>
      <c r="C5" s="1" t="s">
        <v>47</v>
      </c>
      <c r="D5" s="1" t="s">
        <v>42</v>
      </c>
      <c r="E5" s="1" t="s">
        <v>9</v>
      </c>
      <c r="F5" s="1" t="s">
        <v>87</v>
      </c>
      <c r="G5" s="1" t="s">
        <v>27</v>
      </c>
      <c r="H5" s="1">
        <v>24</v>
      </c>
      <c r="J5" s="6">
        <v>45107</v>
      </c>
      <c r="L5" s="6">
        <v>45135</v>
      </c>
      <c r="N5" s="6">
        <v>45163</v>
      </c>
      <c r="P5" s="5">
        <v>45191</v>
      </c>
      <c r="Q5" s="7"/>
      <c r="R5" s="5">
        <v>45226</v>
      </c>
      <c r="S5" s="7"/>
      <c r="T5" s="2">
        <v>45254</v>
      </c>
      <c r="V5" s="2">
        <v>45282</v>
      </c>
      <c r="X5" s="5"/>
      <c r="Z5" s="5"/>
      <c r="AB5" s="10"/>
      <c r="AD5" s="5"/>
      <c r="AF5" s="5"/>
    </row>
    <row r="6" spans="1:33" x14ac:dyDescent="0.45">
      <c r="A6" s="1">
        <v>3</v>
      </c>
      <c r="B6" s="7" t="s">
        <v>48</v>
      </c>
      <c r="C6" s="7" t="s">
        <v>49</v>
      </c>
      <c r="D6" s="7" t="s">
        <v>42</v>
      </c>
      <c r="E6" s="1" t="s">
        <v>9</v>
      </c>
      <c r="F6" s="1" t="s">
        <v>87</v>
      </c>
      <c r="G6" s="1" t="s">
        <v>46</v>
      </c>
      <c r="H6" s="1">
        <v>10</v>
      </c>
      <c r="J6" s="6">
        <v>45114</v>
      </c>
      <c r="K6" s="1">
        <v>7</v>
      </c>
      <c r="L6" s="15">
        <v>45142</v>
      </c>
      <c r="N6" s="2">
        <v>45170</v>
      </c>
      <c r="P6" s="2">
        <v>45198</v>
      </c>
      <c r="R6" s="2"/>
      <c r="X6" s="5"/>
      <c r="Z6" s="5"/>
      <c r="AB6" s="10"/>
      <c r="AD6" s="5"/>
      <c r="AF6" s="5"/>
    </row>
    <row r="7" spans="1:33" x14ac:dyDescent="0.45">
      <c r="A7" s="1">
        <v>4</v>
      </c>
      <c r="B7" s="1" t="s">
        <v>86</v>
      </c>
      <c r="C7" s="1" t="s">
        <v>98</v>
      </c>
      <c r="D7" s="1" t="s">
        <v>42</v>
      </c>
      <c r="E7" s="1" t="s">
        <v>9</v>
      </c>
      <c r="F7" s="1" t="s">
        <v>87</v>
      </c>
      <c r="G7" s="1" t="s">
        <v>27</v>
      </c>
      <c r="H7" s="1">
        <v>24</v>
      </c>
      <c r="J7" s="6">
        <v>45128</v>
      </c>
      <c r="L7" s="6">
        <v>45156</v>
      </c>
      <c r="N7" s="6">
        <v>45164</v>
      </c>
      <c r="U7" s="7"/>
      <c r="V7" s="7"/>
      <c r="X7" s="5"/>
      <c r="Y7" s="7"/>
      <c r="Z7" s="5"/>
      <c r="AA7" s="7"/>
      <c r="AB7" s="10"/>
      <c r="AC7" s="7"/>
      <c r="AD7" s="5"/>
      <c r="AE7" s="7"/>
      <c r="AF7" s="5"/>
    </row>
    <row r="8" spans="1:33" x14ac:dyDescent="0.45">
      <c r="A8" s="1">
        <v>5</v>
      </c>
      <c r="V8" s="2"/>
      <c r="X8" s="5"/>
      <c r="Y8" s="7"/>
      <c r="Z8" s="10"/>
      <c r="AA8" s="7"/>
      <c r="AB8" s="5"/>
      <c r="AC8" s="7"/>
      <c r="AD8" s="5"/>
      <c r="AE8" s="7"/>
      <c r="AF8" s="5"/>
    </row>
    <row r="9" spans="1:33" x14ac:dyDescent="0.45">
      <c r="A9" s="1">
        <v>6</v>
      </c>
      <c r="X9" s="12"/>
      <c r="Y9" s="7"/>
      <c r="Z9" s="11"/>
      <c r="AA9" s="7"/>
      <c r="AB9" s="12"/>
      <c r="AC9" s="7"/>
      <c r="AD9" s="11"/>
      <c r="AE9" s="7"/>
      <c r="AF9" s="12"/>
    </row>
    <row r="10" spans="1:33" x14ac:dyDescent="0.45">
      <c r="A10" s="1">
        <v>7</v>
      </c>
      <c r="X10" s="5"/>
      <c r="Y10" s="7"/>
      <c r="Z10" s="10"/>
      <c r="AA10" s="7"/>
      <c r="AB10" s="10"/>
      <c r="AC10" s="7"/>
      <c r="AD10" s="5"/>
      <c r="AE10" s="7"/>
      <c r="AF10" s="10"/>
    </row>
    <row r="11" spans="1:33" x14ac:dyDescent="0.45">
      <c r="A11" s="1">
        <v>8</v>
      </c>
      <c r="X11" s="5"/>
      <c r="Y11" s="7"/>
      <c r="Z11" s="5"/>
      <c r="AA11" s="7"/>
      <c r="AB11" s="5"/>
      <c r="AC11" s="7"/>
      <c r="AD11" s="5"/>
      <c r="AE11" s="7"/>
      <c r="AF11" s="5"/>
    </row>
    <row r="12" spans="1:33" x14ac:dyDescent="0.45">
      <c r="A12" s="1">
        <v>9</v>
      </c>
      <c r="B12" s="7" t="s">
        <v>60</v>
      </c>
      <c r="C12" s="7" t="s">
        <v>62</v>
      </c>
      <c r="D12" s="7" t="s">
        <v>61</v>
      </c>
      <c r="E12" s="1" t="s">
        <v>9</v>
      </c>
      <c r="F12" s="1" t="s">
        <v>87</v>
      </c>
      <c r="G12" s="1" t="s">
        <v>27</v>
      </c>
      <c r="H12" s="1">
        <v>24</v>
      </c>
      <c r="J12" s="6">
        <v>45114</v>
      </c>
      <c r="L12" s="14">
        <v>45142</v>
      </c>
      <c r="N12" s="6">
        <v>45170</v>
      </c>
      <c r="P12" s="2">
        <v>45198</v>
      </c>
      <c r="X12" s="7"/>
      <c r="Y12" s="7"/>
      <c r="Z12" s="7"/>
      <c r="AA12" s="7"/>
      <c r="AB12" s="7"/>
      <c r="AC12" s="7"/>
      <c r="AD12" s="7"/>
      <c r="AE12" s="7"/>
      <c r="AF12" s="7"/>
    </row>
    <row r="13" spans="1:33" x14ac:dyDescent="0.45">
      <c r="A13" s="1">
        <v>10</v>
      </c>
      <c r="AB13" s="7"/>
      <c r="AC13" s="7"/>
      <c r="AD13" s="7"/>
      <c r="AE13" s="7"/>
      <c r="AF13" s="7"/>
    </row>
    <row r="14" spans="1:33" x14ac:dyDescent="0.45">
      <c r="A14" s="1">
        <v>11</v>
      </c>
      <c r="B14" s="7"/>
      <c r="C14" s="7"/>
      <c r="D14" s="7"/>
      <c r="J14" s="5"/>
      <c r="K14" s="7"/>
      <c r="L14" s="7"/>
      <c r="M14" s="7"/>
      <c r="N14" s="7"/>
      <c r="O14" s="7"/>
      <c r="P14" s="7"/>
      <c r="Q14" s="7"/>
      <c r="R14" s="7"/>
      <c r="S14" s="7"/>
      <c r="T14" s="7"/>
    </row>
    <row r="15" spans="1:33" x14ac:dyDescent="0.45">
      <c r="A15" s="1">
        <v>12</v>
      </c>
      <c r="T15" s="7"/>
    </row>
    <row r="16" spans="1:33" x14ac:dyDescent="0.45">
      <c r="A16" s="1">
        <v>13</v>
      </c>
      <c r="T16" s="7"/>
    </row>
    <row r="17" spans="1:20" x14ac:dyDescent="0.45">
      <c r="A17" s="1">
        <v>14</v>
      </c>
      <c r="B17" s="7" t="s">
        <v>63</v>
      </c>
      <c r="C17" s="7" t="s">
        <v>50</v>
      </c>
      <c r="D17" s="7" t="s">
        <v>51</v>
      </c>
      <c r="E17" s="1" t="s">
        <v>9</v>
      </c>
      <c r="F17" s="1" t="s">
        <v>52</v>
      </c>
      <c r="G17" s="1" t="s">
        <v>27</v>
      </c>
      <c r="H17" s="1">
        <v>24</v>
      </c>
      <c r="I17" s="2"/>
      <c r="J17" s="6">
        <v>45111</v>
      </c>
      <c r="L17" s="6">
        <v>45139</v>
      </c>
      <c r="N17" s="6">
        <v>45167</v>
      </c>
      <c r="P17" s="2">
        <v>45195</v>
      </c>
      <c r="Q17" s="7"/>
      <c r="R17" s="7"/>
      <c r="S17" s="7"/>
      <c r="T17" s="7"/>
    </row>
    <row r="18" spans="1:20" x14ac:dyDescent="0.45">
      <c r="A18" s="1">
        <v>15</v>
      </c>
      <c r="B18" s="7" t="s">
        <v>53</v>
      </c>
      <c r="C18" s="7" t="s">
        <v>54</v>
      </c>
      <c r="D18" s="7" t="s">
        <v>51</v>
      </c>
      <c r="E18" s="1" t="s">
        <v>9</v>
      </c>
      <c r="F18" s="1" t="s">
        <v>55</v>
      </c>
      <c r="G18" s="1" t="s">
        <v>27</v>
      </c>
      <c r="H18" s="1">
        <v>24</v>
      </c>
      <c r="J18" s="6">
        <v>45118</v>
      </c>
      <c r="L18" s="6">
        <v>45146</v>
      </c>
      <c r="N18" s="6">
        <v>45174</v>
      </c>
      <c r="P18" s="2">
        <v>45202</v>
      </c>
      <c r="Q18" s="7"/>
      <c r="R18" s="7"/>
      <c r="S18" s="7"/>
      <c r="T18" s="7"/>
    </row>
    <row r="19" spans="1:20" x14ac:dyDescent="0.45">
      <c r="A19" s="1">
        <v>16</v>
      </c>
      <c r="S19" s="7"/>
      <c r="T19" s="7"/>
    </row>
    <row r="20" spans="1:20" x14ac:dyDescent="0.45">
      <c r="A20" s="1">
        <v>17</v>
      </c>
      <c r="S20" s="7"/>
    </row>
    <row r="21" spans="1:20" x14ac:dyDescent="0.45">
      <c r="A21" s="1">
        <v>18</v>
      </c>
    </row>
    <row r="22" spans="1:20" x14ac:dyDescent="0.45">
      <c r="A22" s="1">
        <v>19</v>
      </c>
    </row>
    <row r="23" spans="1:20" x14ac:dyDescent="0.45">
      <c r="A23" s="1">
        <v>20</v>
      </c>
    </row>
    <row r="24" spans="1:20" x14ac:dyDescent="0.45">
      <c r="A24" s="1">
        <v>21</v>
      </c>
    </row>
    <row r="25" spans="1:20" x14ac:dyDescent="0.45">
      <c r="A25" s="1">
        <v>22</v>
      </c>
    </row>
    <row r="26" spans="1:20" x14ac:dyDescent="0.45">
      <c r="A26" s="1">
        <v>23</v>
      </c>
    </row>
    <row r="27" spans="1:20" x14ac:dyDescent="0.45">
      <c r="A27" s="1">
        <v>24</v>
      </c>
    </row>
    <row r="28" spans="1:20" x14ac:dyDescent="0.45">
      <c r="A28" s="1">
        <v>25</v>
      </c>
    </row>
    <row r="29" spans="1:20" x14ac:dyDescent="0.45">
      <c r="A29" s="1">
        <v>26</v>
      </c>
    </row>
    <row r="30" spans="1:20" x14ac:dyDescent="0.45">
      <c r="A30" s="1">
        <v>27</v>
      </c>
    </row>
    <row r="31" spans="1:20" x14ac:dyDescent="0.45">
      <c r="A31" s="1">
        <v>28</v>
      </c>
    </row>
    <row r="32" spans="1:20" x14ac:dyDescent="0.45">
      <c r="A32" s="1">
        <v>29</v>
      </c>
    </row>
    <row r="33" spans="1:1" x14ac:dyDescent="0.45">
      <c r="A33" s="1">
        <v>30</v>
      </c>
    </row>
    <row r="34" spans="1:1" x14ac:dyDescent="0.45">
      <c r="A34" s="1">
        <v>31</v>
      </c>
    </row>
    <row r="35" spans="1:1" x14ac:dyDescent="0.45">
      <c r="A35" s="1">
        <v>32</v>
      </c>
    </row>
    <row r="36" spans="1:1" x14ac:dyDescent="0.45">
      <c r="A36" s="1">
        <v>33</v>
      </c>
    </row>
    <row r="37" spans="1:1" x14ac:dyDescent="0.45">
      <c r="A37" s="1">
        <v>34</v>
      </c>
    </row>
    <row r="38" spans="1:1" x14ac:dyDescent="0.45">
      <c r="A38" s="1">
        <v>35</v>
      </c>
    </row>
    <row r="39" spans="1:1" x14ac:dyDescent="0.45">
      <c r="A39" s="1">
        <v>36</v>
      </c>
    </row>
    <row r="40" spans="1:1" x14ac:dyDescent="0.45">
      <c r="A40" s="1">
        <v>37</v>
      </c>
    </row>
    <row r="41" spans="1:1" x14ac:dyDescent="0.45">
      <c r="A41" s="1">
        <v>38</v>
      </c>
    </row>
    <row r="42" spans="1:1" x14ac:dyDescent="0.45">
      <c r="A42" s="1">
        <v>39</v>
      </c>
    </row>
    <row r="43" spans="1:1" x14ac:dyDescent="0.45">
      <c r="A43" s="1">
        <v>40</v>
      </c>
    </row>
    <row r="44" spans="1:1" x14ac:dyDescent="0.45">
      <c r="A44" s="1">
        <v>41</v>
      </c>
    </row>
    <row r="45" spans="1:1" x14ac:dyDescent="0.45">
      <c r="A45" s="1">
        <v>42</v>
      </c>
    </row>
    <row r="46" spans="1:1" x14ac:dyDescent="0.45">
      <c r="A46" s="1">
        <v>43</v>
      </c>
    </row>
    <row r="47" spans="1:1" x14ac:dyDescent="0.45">
      <c r="A47" s="1">
        <v>44</v>
      </c>
    </row>
    <row r="48" spans="1:1" x14ac:dyDescent="0.45">
      <c r="A48" s="1">
        <v>45</v>
      </c>
    </row>
    <row r="49" spans="1:1" x14ac:dyDescent="0.45">
      <c r="A49" s="1">
        <v>46</v>
      </c>
    </row>
    <row r="50" spans="1:1" x14ac:dyDescent="0.45">
      <c r="A50" s="1">
        <v>47</v>
      </c>
    </row>
    <row r="51" spans="1:1" x14ac:dyDescent="0.45">
      <c r="A51" s="1">
        <v>48</v>
      </c>
    </row>
    <row r="52" spans="1:1" x14ac:dyDescent="0.45">
      <c r="A52" s="1">
        <v>49</v>
      </c>
    </row>
    <row r="53" spans="1:1" x14ac:dyDescent="0.45">
      <c r="A53" s="1">
        <v>50</v>
      </c>
    </row>
    <row r="54" spans="1:1" x14ac:dyDescent="0.45">
      <c r="A54" s="1">
        <v>51</v>
      </c>
    </row>
    <row r="55" spans="1:1" x14ac:dyDescent="0.45">
      <c r="A55" s="1">
        <v>52</v>
      </c>
    </row>
    <row r="56" spans="1:1" x14ac:dyDescent="0.45">
      <c r="A56" s="1">
        <v>53</v>
      </c>
    </row>
    <row r="57" spans="1:1" x14ac:dyDescent="0.45">
      <c r="A57" s="1">
        <v>54</v>
      </c>
    </row>
    <row r="58" spans="1:1" x14ac:dyDescent="0.45">
      <c r="A58" s="1">
        <v>55</v>
      </c>
    </row>
    <row r="59" spans="1:1" x14ac:dyDescent="0.45">
      <c r="A59" s="1">
        <v>56</v>
      </c>
    </row>
    <row r="60" spans="1:1" x14ac:dyDescent="0.45">
      <c r="A60" s="1">
        <v>57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2F695-C234-4EC4-8410-1407A8CA4AE9}">
  <sheetPr>
    <tabColor theme="5" tint="0.79998168889431442"/>
  </sheetPr>
  <dimension ref="A1:AC194"/>
  <sheetViews>
    <sheetView workbookViewId="0">
      <selection activeCell="J31" sqref="J31"/>
    </sheetView>
  </sheetViews>
  <sheetFormatPr defaultRowHeight="17" x14ac:dyDescent="0.45"/>
  <cols>
    <col min="1" max="1" width="13" style="1" customWidth="1"/>
    <col min="2" max="2" width="14.25" style="1" customWidth="1"/>
    <col min="3" max="3" width="18.5" style="1" customWidth="1"/>
    <col min="4" max="4" width="14" style="1" customWidth="1"/>
    <col min="5" max="5" width="9.25" style="1" customWidth="1"/>
    <col min="6" max="6" width="7.58203125" style="1" customWidth="1"/>
    <col min="7" max="7" width="6.5" style="29" customWidth="1"/>
    <col min="8" max="8" width="7.58203125" style="1" customWidth="1"/>
    <col min="9" max="9" width="6.5" style="29" customWidth="1"/>
    <col min="10" max="10" width="7.58203125" style="1" customWidth="1"/>
    <col min="11" max="11" width="6.5" style="29" customWidth="1"/>
    <col min="12" max="12" width="7.58203125" style="1" customWidth="1"/>
    <col min="13" max="13" width="6.5" style="29" customWidth="1"/>
    <col min="14" max="14" width="7.58203125" style="1" customWidth="1"/>
    <col min="15" max="15" width="6.5" style="29" customWidth="1"/>
    <col min="16" max="16" width="7.58203125" style="1" customWidth="1"/>
    <col min="17" max="17" width="6.5" style="29" customWidth="1"/>
    <col min="18" max="18" width="7.58203125" style="1" customWidth="1"/>
    <col min="19" max="19" width="6.5" style="29" customWidth="1"/>
    <col min="20" max="20" width="7.58203125" style="1" customWidth="1"/>
    <col min="21" max="21" width="6.5" style="29" customWidth="1"/>
    <col min="22" max="22" width="7.58203125" style="1" customWidth="1"/>
    <col min="23" max="23" width="6.5" style="29" customWidth="1"/>
    <col min="24" max="24" width="7.58203125" style="1" customWidth="1"/>
    <col min="25" max="25" width="6.5" style="29" customWidth="1"/>
    <col min="26" max="26" width="7.58203125" style="1" customWidth="1"/>
    <col min="27" max="27" width="6.5" style="29" customWidth="1"/>
    <col min="28" max="28" width="7.58203125" style="1" customWidth="1"/>
    <col min="29" max="29" width="6.5" style="29" customWidth="1"/>
  </cols>
  <sheetData>
    <row r="1" spans="1:29" ht="30.5" thickBot="1" x14ac:dyDescent="0.5">
      <c r="A1" s="78" t="s">
        <v>146</v>
      </c>
      <c r="B1" s="79">
        <f>SUM(G3,I3,K3,M3,O3,Q3,S3,U3,W3,Y3,AA3,AC3)</f>
        <v>0</v>
      </c>
      <c r="C1" s="27"/>
      <c r="D1" s="60"/>
      <c r="V1" s="98"/>
    </row>
    <row r="2" spans="1:29" ht="17.5" thickBot="1" x14ac:dyDescent="0.5">
      <c r="A2" s="32" t="s">
        <v>38</v>
      </c>
      <c r="B2" s="32" t="s">
        <v>0</v>
      </c>
      <c r="C2" s="32" t="s">
        <v>4</v>
      </c>
      <c r="D2" s="46" t="s">
        <v>77</v>
      </c>
      <c r="E2" s="61" t="s">
        <v>78</v>
      </c>
      <c r="F2" s="106" t="s">
        <v>113</v>
      </c>
      <c r="G2" s="53" t="s">
        <v>85</v>
      </c>
      <c r="H2" s="106" t="s">
        <v>114</v>
      </c>
      <c r="I2" s="53" t="s">
        <v>85</v>
      </c>
      <c r="J2" s="106" t="s">
        <v>115</v>
      </c>
      <c r="K2" s="53" t="s">
        <v>85</v>
      </c>
      <c r="L2" s="106" t="s">
        <v>116</v>
      </c>
      <c r="M2" s="53" t="s">
        <v>85</v>
      </c>
      <c r="N2" s="106" t="s">
        <v>117</v>
      </c>
      <c r="O2" s="53" t="s">
        <v>85</v>
      </c>
      <c r="P2" s="106" t="s">
        <v>118</v>
      </c>
      <c r="Q2" s="53" t="s">
        <v>85</v>
      </c>
      <c r="R2" s="106" t="s">
        <v>119</v>
      </c>
      <c r="S2" s="53" t="s">
        <v>85</v>
      </c>
      <c r="T2" s="106" t="s">
        <v>120</v>
      </c>
      <c r="U2" s="53" t="s">
        <v>85</v>
      </c>
      <c r="V2" s="105" t="s">
        <v>121</v>
      </c>
      <c r="W2" s="53" t="s">
        <v>85</v>
      </c>
      <c r="X2" s="106" t="s">
        <v>122</v>
      </c>
      <c r="Y2" s="53" t="s">
        <v>85</v>
      </c>
      <c r="Z2" s="106" t="s">
        <v>123</v>
      </c>
      <c r="AA2" s="53" t="s">
        <v>85</v>
      </c>
      <c r="AB2" s="106" t="s">
        <v>124</v>
      </c>
      <c r="AC2" s="53" t="s">
        <v>85</v>
      </c>
    </row>
    <row r="3" spans="1:29" ht="17.5" thickBot="1" x14ac:dyDescent="0.5">
      <c r="A3" s="37">
        <v>1</v>
      </c>
      <c r="B3" s="40" t="s">
        <v>213</v>
      </c>
      <c r="C3" s="40" t="s">
        <v>214</v>
      </c>
      <c r="D3" s="37" t="s">
        <v>46</v>
      </c>
      <c r="E3" s="62">
        <f>SUM(E5:E45)</f>
        <v>0</v>
      </c>
      <c r="F3"/>
      <c r="G3" s="144">
        <f>SUM(G5:G25)</f>
        <v>0</v>
      </c>
      <c r="H3"/>
      <c r="I3" s="144">
        <f>SUM(I5:I25)</f>
        <v>0</v>
      </c>
      <c r="J3"/>
      <c r="K3" s="144">
        <f>SUM(K5:K25)</f>
        <v>0</v>
      </c>
      <c r="L3"/>
      <c r="M3" s="144">
        <f>SUM(M5:M25)</f>
        <v>0</v>
      </c>
      <c r="N3"/>
      <c r="O3" s="144">
        <f>SUM(O5:O25)</f>
        <v>0</v>
      </c>
      <c r="P3"/>
      <c r="Q3" s="144">
        <f>SUM(Q5:Q25)</f>
        <v>0</v>
      </c>
      <c r="R3"/>
      <c r="S3" s="144">
        <f>SUM(S5:S25)</f>
        <v>0</v>
      </c>
      <c r="T3"/>
      <c r="U3" s="144">
        <f>SUM(U5:U25)</f>
        <v>0</v>
      </c>
      <c r="V3"/>
      <c r="W3" s="144">
        <f>SUM(W5:W25)</f>
        <v>0</v>
      </c>
      <c r="X3"/>
      <c r="Y3" s="144">
        <f>SUM(Y5:Y25)</f>
        <v>0</v>
      </c>
      <c r="Z3"/>
      <c r="AA3" s="144">
        <f>SUM(AA5:AA25)</f>
        <v>0</v>
      </c>
      <c r="AB3"/>
      <c r="AC3" s="144">
        <f>SUM(AC4:AC25)</f>
        <v>0</v>
      </c>
    </row>
    <row r="4" spans="1:29" ht="26.5" thickTop="1" thickBot="1" x14ac:dyDescent="0.5">
      <c r="A4" s="34" t="s">
        <v>42</v>
      </c>
      <c r="B4" s="149"/>
      <c r="C4" s="150"/>
      <c r="D4" s="43"/>
      <c r="E4" s="37"/>
      <c r="F4" s="45"/>
      <c r="G4" s="37"/>
      <c r="H4" s="37"/>
      <c r="I4" s="37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</row>
    <row r="5" spans="1:29" ht="18" thickTop="1" x14ac:dyDescent="0.45">
      <c r="A5" s="174">
        <v>1</v>
      </c>
      <c r="B5" s="48"/>
      <c r="C5" s="28"/>
      <c r="D5" s="146"/>
      <c r="E5" s="73"/>
      <c r="F5" s="93"/>
      <c r="G5" s="147"/>
      <c r="H5" s="102"/>
      <c r="I5" s="147"/>
      <c r="J5" s="95"/>
      <c r="K5" s="85"/>
      <c r="L5" s="95"/>
      <c r="M5" s="85"/>
      <c r="N5" s="95"/>
      <c r="O5" s="85"/>
      <c r="P5" s="95"/>
      <c r="Q5" s="85"/>
      <c r="R5" s="95"/>
      <c r="S5" s="85"/>
      <c r="T5" s="95"/>
      <c r="U5" s="85"/>
      <c r="V5" s="95"/>
      <c r="W5" s="85"/>
      <c r="X5" s="95"/>
      <c r="Y5" s="85"/>
      <c r="Z5" s="95"/>
      <c r="AA5" s="85"/>
      <c r="AB5" s="95"/>
      <c r="AC5" s="85"/>
    </row>
    <row r="6" spans="1:29" ht="17.5" x14ac:dyDescent="0.45">
      <c r="A6" s="28">
        <v>2</v>
      </c>
      <c r="D6" s="30"/>
      <c r="E6" s="74"/>
      <c r="F6" s="91"/>
      <c r="G6" s="85"/>
      <c r="H6" s="91"/>
      <c r="I6" s="114"/>
      <c r="J6" s="91"/>
      <c r="K6" s="85"/>
      <c r="L6" s="92"/>
      <c r="M6" s="85"/>
      <c r="N6" s="92"/>
      <c r="O6" s="85"/>
      <c r="P6" s="92"/>
      <c r="Q6" s="85"/>
      <c r="R6" s="92"/>
      <c r="S6" s="85"/>
      <c r="T6" s="92"/>
      <c r="U6" s="85"/>
      <c r="V6" s="92"/>
      <c r="W6" s="85"/>
      <c r="X6" s="92"/>
      <c r="Y6" s="85"/>
      <c r="Z6" s="92"/>
      <c r="AA6" s="85"/>
      <c r="AB6" s="92"/>
      <c r="AC6" s="85"/>
    </row>
    <row r="7" spans="1:29" ht="17.5" x14ac:dyDescent="0.45">
      <c r="A7" s="28">
        <v>3</v>
      </c>
      <c r="D7" s="30"/>
      <c r="E7" s="74"/>
      <c r="F7" s="90"/>
      <c r="G7" s="85"/>
      <c r="H7" s="91"/>
      <c r="I7" s="85"/>
      <c r="J7" s="91"/>
      <c r="K7" s="85"/>
      <c r="L7" s="92"/>
      <c r="M7" s="85"/>
      <c r="N7" s="92"/>
      <c r="O7" s="85"/>
      <c r="P7" s="92"/>
      <c r="Q7" s="85"/>
      <c r="R7" s="92"/>
      <c r="S7" s="85"/>
      <c r="T7" s="92"/>
      <c r="U7" s="85"/>
      <c r="V7" s="92"/>
      <c r="W7" s="85"/>
      <c r="X7" s="92"/>
      <c r="Y7" s="85"/>
      <c r="Z7" s="92"/>
      <c r="AA7" s="85"/>
      <c r="AB7" s="92"/>
      <c r="AC7" s="85"/>
    </row>
    <row r="8" spans="1:29" ht="18" thickBot="1" x14ac:dyDescent="0.5">
      <c r="A8" s="1">
        <v>4</v>
      </c>
      <c r="D8" s="30"/>
      <c r="E8" s="76"/>
      <c r="F8" s="91"/>
      <c r="G8" s="85"/>
      <c r="H8" s="91"/>
      <c r="I8" s="85"/>
      <c r="J8" s="91"/>
      <c r="K8" s="85"/>
      <c r="L8" s="92"/>
      <c r="M8" s="85"/>
      <c r="N8" s="92"/>
      <c r="O8" s="85"/>
      <c r="P8" s="92"/>
      <c r="Q8" s="85"/>
      <c r="R8" s="92"/>
      <c r="S8" s="85"/>
      <c r="T8" s="92"/>
      <c r="U8" s="85"/>
      <c r="V8" s="92"/>
      <c r="W8" s="85"/>
      <c r="X8" s="92"/>
      <c r="Y8" s="85"/>
      <c r="Z8" s="92"/>
      <c r="AA8" s="85"/>
      <c r="AB8" s="92"/>
      <c r="AC8" s="85"/>
    </row>
    <row r="9" spans="1:29" ht="21.5" thickTop="1" x14ac:dyDescent="0.45">
      <c r="A9" s="49" t="s">
        <v>141</v>
      </c>
      <c r="B9" s="49" t="s">
        <v>189</v>
      </c>
      <c r="E9" s="28"/>
      <c r="F9" s="91"/>
      <c r="G9" s="86"/>
      <c r="H9" s="91"/>
      <c r="I9" s="86"/>
      <c r="J9" s="91"/>
      <c r="K9" s="86"/>
      <c r="L9" s="92"/>
      <c r="M9" s="86"/>
      <c r="N9" s="92"/>
      <c r="O9" s="86"/>
      <c r="P9" s="92"/>
      <c r="Q9" s="86"/>
      <c r="R9" s="92"/>
      <c r="S9" s="86"/>
      <c r="T9" s="92"/>
      <c r="U9" s="86"/>
      <c r="V9" s="92"/>
      <c r="W9" s="86"/>
      <c r="X9" s="92"/>
      <c r="Y9" s="86"/>
      <c r="Z9" s="92"/>
      <c r="AA9" s="86"/>
      <c r="AB9" s="92"/>
      <c r="AC9" s="86"/>
    </row>
    <row r="10" spans="1:29" ht="17.5" thickBot="1" x14ac:dyDescent="0.5">
      <c r="A10" s="40"/>
      <c r="B10" s="40"/>
      <c r="C10" s="40"/>
      <c r="D10" s="40"/>
      <c r="E10" s="37"/>
      <c r="F10" s="40"/>
      <c r="G10" s="42"/>
      <c r="H10" s="40"/>
      <c r="I10" s="42"/>
      <c r="J10" s="40"/>
      <c r="K10" s="42"/>
      <c r="L10" s="40"/>
      <c r="M10" s="42"/>
      <c r="N10" s="40"/>
      <c r="O10" s="42"/>
      <c r="P10" s="40"/>
      <c r="Q10" s="42"/>
      <c r="R10" s="40"/>
      <c r="S10" s="42"/>
      <c r="T10" s="40"/>
      <c r="U10" s="42"/>
      <c r="V10" s="40"/>
      <c r="W10" s="42"/>
      <c r="X10" s="40"/>
      <c r="Y10" s="42"/>
      <c r="Z10" s="40"/>
      <c r="AA10" s="42"/>
      <c r="AB10" s="40"/>
      <c r="AC10" s="42"/>
    </row>
    <row r="11" spans="1:29" ht="26.5" thickTop="1" thickBot="1" x14ac:dyDescent="0.5">
      <c r="A11" s="34" t="s">
        <v>51</v>
      </c>
      <c r="B11" s="149"/>
      <c r="C11" s="150"/>
      <c r="D11" s="43"/>
      <c r="E11" s="37"/>
      <c r="F11" s="45"/>
      <c r="G11" s="37"/>
      <c r="H11" s="37"/>
      <c r="I11" s="37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  <c r="AA11" s="43"/>
      <c r="AB11" s="43"/>
      <c r="AC11" s="43"/>
    </row>
    <row r="12" spans="1:29" ht="18" thickTop="1" x14ac:dyDescent="0.45">
      <c r="A12" s="174">
        <v>1</v>
      </c>
      <c r="B12" s="48"/>
      <c r="C12" s="292"/>
      <c r="D12" s="64"/>
      <c r="E12" s="73"/>
      <c r="F12" s="93"/>
      <c r="G12" s="147"/>
      <c r="H12" s="102"/>
      <c r="I12" s="147"/>
      <c r="J12" s="93"/>
      <c r="K12" s="83"/>
      <c r="L12" s="95"/>
      <c r="M12" s="85"/>
      <c r="N12" s="95"/>
      <c r="O12" s="85"/>
      <c r="P12" s="95"/>
      <c r="Q12" s="85"/>
      <c r="R12" s="95"/>
      <c r="S12" s="85"/>
      <c r="T12" s="95"/>
      <c r="U12" s="85"/>
      <c r="V12" s="95"/>
      <c r="W12" s="85"/>
      <c r="X12" s="95"/>
      <c r="Y12" s="85"/>
      <c r="Z12" s="95"/>
      <c r="AA12" s="85"/>
      <c r="AB12" s="95"/>
      <c r="AC12" s="85"/>
    </row>
    <row r="13" spans="1:29" ht="17.5" x14ac:dyDescent="0.45">
      <c r="A13" s="28">
        <v>2</v>
      </c>
      <c r="D13" s="119"/>
      <c r="E13" s="74"/>
      <c r="F13" s="90"/>
      <c r="G13" s="109"/>
      <c r="H13" s="126"/>
      <c r="I13" s="148"/>
      <c r="J13" s="91"/>
      <c r="K13" s="85"/>
      <c r="L13" s="92"/>
      <c r="M13" s="85"/>
      <c r="N13" s="92"/>
      <c r="O13" s="85"/>
      <c r="P13" s="92"/>
      <c r="Q13" s="85"/>
      <c r="R13" s="92"/>
      <c r="S13" s="85"/>
      <c r="T13" s="92"/>
      <c r="U13" s="85"/>
      <c r="V13" s="92"/>
      <c r="W13" s="85"/>
      <c r="X13" s="92"/>
      <c r="Y13" s="85"/>
      <c r="Z13" s="92"/>
      <c r="AA13" s="85"/>
      <c r="AB13" s="92"/>
      <c r="AC13" s="85"/>
    </row>
    <row r="14" spans="1:29" ht="17.5" x14ac:dyDescent="0.45">
      <c r="A14" s="28">
        <v>3</v>
      </c>
      <c r="D14" s="30"/>
      <c r="E14" s="74"/>
      <c r="G14" s="85"/>
      <c r="H14" s="91"/>
      <c r="I14" s="85"/>
      <c r="J14" s="91"/>
      <c r="K14" s="85"/>
      <c r="L14" s="92"/>
      <c r="M14" s="85"/>
      <c r="N14" s="92"/>
      <c r="O14" s="85"/>
      <c r="P14" s="92"/>
      <c r="Q14" s="85"/>
      <c r="R14" s="92"/>
      <c r="S14" s="85"/>
      <c r="T14" s="92"/>
      <c r="U14" s="85"/>
      <c r="V14" s="92"/>
      <c r="W14" s="85"/>
      <c r="X14" s="92"/>
      <c r="Y14" s="85"/>
      <c r="Z14" s="92"/>
      <c r="AA14" s="85"/>
      <c r="AB14" s="92"/>
      <c r="AC14" s="85"/>
    </row>
    <row r="15" spans="1:29" ht="17.5" x14ac:dyDescent="0.45">
      <c r="A15" s="28">
        <v>4</v>
      </c>
      <c r="D15" s="30"/>
      <c r="E15" s="74"/>
      <c r="F15" s="90"/>
      <c r="G15" s="85"/>
      <c r="H15" s="91"/>
      <c r="I15" s="85"/>
      <c r="J15" s="91"/>
      <c r="K15" s="85"/>
      <c r="L15" s="92"/>
      <c r="M15" s="85"/>
      <c r="N15" s="92"/>
      <c r="O15" s="85"/>
      <c r="P15" s="92"/>
      <c r="Q15" s="85"/>
      <c r="R15" s="92"/>
      <c r="S15" s="85"/>
      <c r="T15" s="92"/>
      <c r="U15" s="85"/>
      <c r="V15" s="92"/>
      <c r="W15" s="85"/>
      <c r="X15" s="92"/>
      <c r="Y15" s="85"/>
      <c r="Z15" s="92"/>
      <c r="AA15" s="85"/>
      <c r="AB15" s="92"/>
      <c r="AC15" s="85"/>
    </row>
    <row r="16" spans="1:29" ht="18" thickBot="1" x14ac:dyDescent="0.5">
      <c r="A16" s="1">
        <v>5</v>
      </c>
      <c r="D16" s="30"/>
      <c r="E16" s="75"/>
      <c r="F16" s="91"/>
      <c r="G16" s="85"/>
      <c r="H16" s="91"/>
      <c r="I16" s="85"/>
      <c r="J16" s="91"/>
      <c r="K16" s="85"/>
      <c r="L16" s="92"/>
      <c r="M16" s="85"/>
      <c r="N16" s="92"/>
      <c r="O16" s="85"/>
      <c r="P16" s="92"/>
      <c r="Q16" s="85"/>
      <c r="R16" s="92"/>
      <c r="S16" s="85"/>
      <c r="T16" s="92"/>
      <c r="U16" s="85"/>
      <c r="V16" s="92"/>
      <c r="W16" s="85"/>
      <c r="X16" s="92"/>
      <c r="Y16" s="85"/>
      <c r="Z16" s="92"/>
      <c r="AA16" s="85"/>
      <c r="AB16" s="92"/>
      <c r="AC16" s="85"/>
    </row>
    <row r="17" spans="1:29" ht="21.5" thickTop="1" x14ac:dyDescent="0.45">
      <c r="A17" s="49" t="s">
        <v>141</v>
      </c>
      <c r="B17" s="49" t="s">
        <v>189</v>
      </c>
      <c r="D17" s="30"/>
      <c r="E17" s="50"/>
      <c r="F17" s="91"/>
      <c r="G17" s="86"/>
      <c r="H17" s="91"/>
      <c r="I17" s="86"/>
      <c r="J17" s="91"/>
      <c r="K17" s="86"/>
      <c r="L17" s="92"/>
      <c r="M17" s="86"/>
      <c r="N17" s="92"/>
      <c r="O17" s="86"/>
      <c r="P17" s="92"/>
      <c r="Q17" s="86"/>
      <c r="R17" s="92"/>
      <c r="S17" s="86"/>
      <c r="T17" s="92"/>
      <c r="U17" s="86"/>
      <c r="V17" s="92"/>
      <c r="W17" s="86"/>
      <c r="X17" s="92"/>
      <c r="Y17" s="86"/>
      <c r="Z17" s="92"/>
      <c r="AA17" s="86"/>
      <c r="AB17" s="92"/>
      <c r="AC17" s="86"/>
    </row>
    <row r="18" spans="1:29" ht="17.5" thickBot="1" x14ac:dyDescent="0.5">
      <c r="A18" s="37"/>
      <c r="B18" s="37"/>
      <c r="C18" s="37"/>
      <c r="D18" s="37"/>
      <c r="E18" s="37"/>
      <c r="F18" s="51"/>
      <c r="G18" s="52"/>
      <c r="H18" s="51"/>
      <c r="I18" s="52"/>
      <c r="J18" s="51"/>
      <c r="K18" s="52"/>
      <c r="L18" s="37"/>
      <c r="M18" s="39"/>
      <c r="N18" s="37"/>
      <c r="O18" s="39"/>
      <c r="P18" s="37"/>
      <c r="Q18" s="39"/>
      <c r="R18" s="37"/>
      <c r="S18" s="39"/>
      <c r="T18" s="37"/>
      <c r="U18" s="39"/>
      <c r="V18" s="37"/>
      <c r="W18" s="39"/>
      <c r="X18" s="37"/>
      <c r="Y18" s="39"/>
      <c r="Z18" s="37"/>
      <c r="AA18" s="39"/>
      <c r="AB18" s="37"/>
      <c r="AC18" s="39"/>
    </row>
    <row r="19" spans="1:29" ht="26.5" thickTop="1" thickBot="1" x14ac:dyDescent="0.5">
      <c r="A19" s="34" t="s">
        <v>190</v>
      </c>
      <c r="B19" s="149"/>
      <c r="C19" s="150"/>
      <c r="D19" s="43"/>
      <c r="E19" s="37"/>
      <c r="F19" s="45"/>
      <c r="G19" s="37"/>
      <c r="H19" s="37"/>
      <c r="I19" s="37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  <c r="AA19" s="43"/>
      <c r="AB19" s="43"/>
      <c r="AC19" s="43"/>
    </row>
    <row r="20" spans="1:29" ht="18" thickTop="1" x14ac:dyDescent="0.45">
      <c r="A20" s="174">
        <v>1</v>
      </c>
      <c r="B20" s="48"/>
      <c r="C20" s="28"/>
      <c r="D20" s="30"/>
      <c r="E20" s="73"/>
      <c r="F20" s="93"/>
      <c r="G20" s="147"/>
      <c r="H20" s="102"/>
      <c r="I20" s="147"/>
      <c r="J20" s="93"/>
      <c r="K20" s="85"/>
      <c r="L20" s="93"/>
      <c r="M20" s="85"/>
      <c r="N20" s="93"/>
      <c r="O20" s="85"/>
      <c r="P20" s="95"/>
      <c r="Q20" s="85"/>
      <c r="R20" s="95"/>
      <c r="S20" s="85"/>
      <c r="T20" s="95"/>
      <c r="U20" s="85"/>
      <c r="V20" s="95"/>
      <c r="W20" s="85"/>
      <c r="X20" s="95"/>
      <c r="Y20" s="85"/>
      <c r="Z20" s="95"/>
      <c r="AA20" s="85"/>
      <c r="AB20" s="95"/>
      <c r="AC20" s="85"/>
    </row>
    <row r="21" spans="1:29" ht="17.5" x14ac:dyDescent="0.45">
      <c r="A21" s="28">
        <v>2</v>
      </c>
      <c r="D21" s="30"/>
      <c r="E21" s="74"/>
      <c r="F21" s="125"/>
      <c r="G21" s="114"/>
      <c r="H21" s="94"/>
      <c r="I21" s="85"/>
      <c r="J21" s="91"/>
      <c r="K21" s="85"/>
      <c r="L21" s="92"/>
      <c r="M21" s="85"/>
      <c r="N21" s="92"/>
      <c r="O21" s="85"/>
      <c r="P21" s="92"/>
      <c r="Q21" s="85"/>
      <c r="R21" s="92"/>
      <c r="S21" s="85"/>
      <c r="T21" s="92"/>
      <c r="U21" s="85"/>
      <c r="V21" s="92"/>
      <c r="W21" s="85"/>
      <c r="X21" s="92"/>
      <c r="Y21" s="85"/>
      <c r="Z21" s="92"/>
      <c r="AA21" s="85"/>
      <c r="AB21" s="92"/>
      <c r="AC21" s="85"/>
    </row>
    <row r="22" spans="1:29" ht="17.5" x14ac:dyDescent="0.45">
      <c r="A22" s="28">
        <v>3</v>
      </c>
      <c r="D22" s="30"/>
      <c r="E22" s="74"/>
      <c r="F22" s="91"/>
      <c r="G22" s="85"/>
      <c r="H22" s="94"/>
      <c r="I22" s="85"/>
      <c r="J22" s="91"/>
      <c r="K22" s="85"/>
      <c r="L22" s="92"/>
      <c r="M22" s="85"/>
      <c r="N22" s="92"/>
      <c r="O22" s="85"/>
      <c r="P22" s="92"/>
      <c r="Q22" s="85"/>
      <c r="R22" s="92"/>
      <c r="S22" s="85"/>
      <c r="T22" s="92"/>
      <c r="U22" s="85"/>
      <c r="V22" s="92"/>
      <c r="W22" s="85"/>
      <c r="X22" s="92"/>
      <c r="Y22" s="85"/>
      <c r="Z22" s="92"/>
      <c r="AA22" s="85"/>
      <c r="AB22" s="92"/>
      <c r="AC22" s="85"/>
    </row>
    <row r="23" spans="1:29" ht="18" thickBot="1" x14ac:dyDescent="0.5">
      <c r="A23" s="1">
        <v>4</v>
      </c>
      <c r="B23" s="7"/>
      <c r="C23" s="7"/>
      <c r="D23" s="30"/>
      <c r="E23" s="75"/>
      <c r="F23" s="91"/>
      <c r="G23" s="85"/>
      <c r="H23" s="91"/>
      <c r="I23" s="85"/>
      <c r="J23" s="91"/>
      <c r="K23" s="85"/>
      <c r="L23" s="92"/>
      <c r="M23" s="85"/>
      <c r="N23" s="92"/>
      <c r="O23" s="85"/>
      <c r="P23" s="91"/>
      <c r="Q23" s="85"/>
      <c r="R23" s="91"/>
      <c r="S23" s="85"/>
      <c r="T23" s="92"/>
      <c r="U23" s="85"/>
      <c r="V23" s="92"/>
      <c r="W23" s="85"/>
      <c r="X23" s="92"/>
      <c r="Y23" s="85"/>
      <c r="Z23" s="92"/>
      <c r="AA23" s="85"/>
      <c r="AB23" s="92"/>
      <c r="AC23" s="85"/>
    </row>
    <row r="24" spans="1:29" ht="21.5" thickTop="1" x14ac:dyDescent="0.45">
      <c r="A24" s="49" t="s">
        <v>141</v>
      </c>
      <c r="B24" s="49" t="s">
        <v>189</v>
      </c>
      <c r="D24" s="30"/>
      <c r="E24" s="50"/>
      <c r="F24" s="91"/>
      <c r="G24" s="99"/>
      <c r="H24" s="91"/>
      <c r="I24" s="99"/>
      <c r="J24" s="91"/>
      <c r="K24" s="86"/>
      <c r="L24" s="92"/>
      <c r="M24" s="85"/>
      <c r="N24" s="92"/>
      <c r="O24" s="85"/>
      <c r="P24" s="92"/>
      <c r="Q24" s="85"/>
      <c r="R24" s="92"/>
      <c r="S24" s="85"/>
      <c r="T24" s="92"/>
      <c r="U24" s="85"/>
      <c r="V24" s="92"/>
      <c r="W24" s="85"/>
      <c r="X24" s="92"/>
      <c r="Y24" s="85"/>
      <c r="Z24" s="92"/>
      <c r="AA24" s="85"/>
      <c r="AB24" s="92"/>
      <c r="AC24" s="85"/>
    </row>
    <row r="25" spans="1:29" x14ac:dyDescent="0.45">
      <c r="A25"/>
      <c r="B25"/>
      <c r="C25"/>
      <c r="D25"/>
      <c r="E25"/>
      <c r="F25"/>
      <c r="G25"/>
      <c r="H25"/>
      <c r="I25"/>
      <c r="J25"/>
      <c r="K25"/>
      <c r="L25" s="54"/>
      <c r="M25"/>
      <c r="N25"/>
      <c r="O25"/>
      <c r="P25"/>
      <c r="Q25"/>
      <c r="R25"/>
      <c r="S25"/>
      <c r="T25" s="104"/>
      <c r="U25"/>
      <c r="V25"/>
      <c r="W25"/>
      <c r="X25"/>
      <c r="Y25"/>
      <c r="Z25"/>
      <c r="AA25"/>
      <c r="AB25"/>
      <c r="AC25"/>
    </row>
    <row r="26" spans="1:29" x14ac:dyDescent="0.45">
      <c r="A26" s="37"/>
      <c r="B26" s="37"/>
      <c r="C26" s="37"/>
      <c r="D26" s="37"/>
      <c r="E26" s="37"/>
      <c r="F26" s="37"/>
      <c r="G26" s="39"/>
      <c r="H26" s="37"/>
      <c r="I26" s="39"/>
      <c r="J26" s="37"/>
      <c r="K26" s="39"/>
      <c r="L26" s="37"/>
      <c r="M26" s="39"/>
      <c r="N26" s="37"/>
      <c r="O26" s="39"/>
      <c r="P26" s="37"/>
      <c r="Q26" s="39"/>
      <c r="R26" s="37"/>
      <c r="S26" s="39"/>
      <c r="T26" s="37"/>
      <c r="U26" s="39"/>
      <c r="V26" s="37"/>
      <c r="W26" s="39"/>
      <c r="X26" s="37"/>
      <c r="Y26" s="39"/>
      <c r="Z26" s="37"/>
      <c r="AA26" s="39"/>
      <c r="AB26" s="37"/>
      <c r="AC26" s="39"/>
    </row>
    <row r="27" spans="1:29" x14ac:dyDescent="0.45">
      <c r="A27" s="37"/>
      <c r="B27" s="37"/>
      <c r="C27" s="37"/>
      <c r="D27" s="37"/>
      <c r="E27" s="37"/>
      <c r="F27" s="37"/>
      <c r="G27" s="39"/>
      <c r="H27" s="37"/>
      <c r="I27" s="39"/>
      <c r="J27" s="37"/>
      <c r="K27" s="39"/>
      <c r="L27" s="37"/>
      <c r="M27" s="39"/>
      <c r="N27" s="37"/>
      <c r="O27" s="39"/>
      <c r="P27" s="37"/>
      <c r="Q27" s="39"/>
      <c r="R27" s="37"/>
      <c r="S27" s="39"/>
      <c r="T27" s="37"/>
      <c r="U27" s="39"/>
      <c r="V27" s="37"/>
      <c r="W27" s="39"/>
      <c r="X27" s="37"/>
      <c r="Y27" s="39"/>
      <c r="Z27" s="37"/>
      <c r="AA27" s="39"/>
      <c r="AB27" s="37"/>
      <c r="AC27" s="39"/>
    </row>
    <row r="28" spans="1:29" x14ac:dyDescent="0.45">
      <c r="A28" s="37"/>
      <c r="B28" s="37"/>
      <c r="C28" s="37"/>
      <c r="D28" s="37"/>
      <c r="E28" s="37"/>
      <c r="F28" s="37"/>
      <c r="G28" s="39"/>
      <c r="H28" s="37"/>
      <c r="I28" s="39"/>
      <c r="J28" s="37"/>
      <c r="K28" s="39"/>
      <c r="L28" s="37"/>
      <c r="M28" s="39"/>
      <c r="N28" s="37"/>
      <c r="O28" s="39"/>
      <c r="P28" s="37"/>
      <c r="Q28" s="39"/>
      <c r="R28" s="37"/>
      <c r="S28" s="39"/>
      <c r="T28" s="37"/>
      <c r="U28" s="39"/>
      <c r="V28" s="37"/>
      <c r="W28" s="39"/>
      <c r="X28" s="37"/>
      <c r="Y28" s="39"/>
      <c r="Z28" s="37"/>
      <c r="AA28" s="39"/>
      <c r="AB28" s="37"/>
      <c r="AC28" s="39"/>
    </row>
    <row r="29" spans="1:29" x14ac:dyDescent="0.45">
      <c r="A29" s="37"/>
      <c r="B29" s="37"/>
      <c r="C29" s="37"/>
      <c r="D29" s="37"/>
      <c r="E29" s="37"/>
      <c r="F29" s="37"/>
      <c r="G29" s="39"/>
      <c r="H29" s="37"/>
      <c r="I29" s="39"/>
      <c r="J29" s="37"/>
      <c r="K29" s="39"/>
      <c r="L29" s="37"/>
      <c r="M29" s="39"/>
      <c r="N29" s="37"/>
      <c r="O29" s="39"/>
      <c r="P29" s="37"/>
      <c r="Q29" s="39"/>
      <c r="R29" s="37"/>
      <c r="S29" s="39"/>
      <c r="T29" s="37"/>
      <c r="U29" s="39"/>
      <c r="V29" s="37"/>
      <c r="W29" s="39"/>
      <c r="X29" s="37"/>
      <c r="Y29" s="39"/>
      <c r="Z29" s="37"/>
      <c r="AA29" s="39"/>
      <c r="AB29" s="37"/>
      <c r="AC29" s="39"/>
    </row>
    <row r="30" spans="1:29" x14ac:dyDescent="0.45">
      <c r="A30" s="37"/>
      <c r="B30" s="37"/>
      <c r="C30" s="37"/>
      <c r="D30" s="37"/>
      <c r="E30" s="37"/>
      <c r="F30" s="37"/>
      <c r="G30" s="39"/>
      <c r="H30" s="37"/>
      <c r="I30" s="39"/>
      <c r="J30" s="37"/>
      <c r="K30" s="39"/>
      <c r="L30" s="37"/>
      <c r="M30" s="39"/>
      <c r="N30" s="37"/>
      <c r="O30" s="39"/>
      <c r="P30" s="37"/>
      <c r="Q30" s="39"/>
      <c r="R30" s="37"/>
      <c r="S30" s="39"/>
      <c r="T30" s="37"/>
      <c r="U30" s="39"/>
      <c r="V30" s="37"/>
      <c r="W30" s="39"/>
      <c r="X30" s="37"/>
      <c r="Y30" s="39"/>
      <c r="Z30" s="37"/>
      <c r="AA30" s="39"/>
      <c r="AB30" s="37"/>
      <c r="AC30" s="39"/>
    </row>
    <row r="31" spans="1:29" x14ac:dyDescent="0.45">
      <c r="A31" s="37"/>
      <c r="B31" s="37"/>
      <c r="C31" s="37"/>
      <c r="D31" s="37"/>
      <c r="E31" s="37"/>
      <c r="F31" s="37"/>
      <c r="G31" s="39"/>
      <c r="H31" s="37"/>
      <c r="I31" s="39"/>
      <c r="J31" s="37"/>
      <c r="K31" s="39"/>
      <c r="L31" s="37"/>
      <c r="M31" s="39"/>
      <c r="N31" s="37"/>
      <c r="O31" s="39"/>
      <c r="P31" s="37"/>
      <c r="Q31" s="39"/>
      <c r="R31" s="37"/>
      <c r="S31" s="39"/>
      <c r="T31" s="37"/>
      <c r="U31" s="39"/>
      <c r="V31" s="37"/>
      <c r="W31" s="39"/>
      <c r="X31" s="37"/>
      <c r="Y31" s="39"/>
      <c r="Z31" s="37"/>
      <c r="AA31" s="39"/>
      <c r="AB31" s="37"/>
      <c r="AC31" s="39"/>
    </row>
    <row r="32" spans="1:29" x14ac:dyDescent="0.45">
      <c r="A32" s="37"/>
      <c r="B32" s="37"/>
      <c r="C32" s="37"/>
      <c r="D32" s="37"/>
      <c r="E32" s="37"/>
      <c r="F32" s="37"/>
      <c r="G32" s="39"/>
      <c r="H32" s="37"/>
      <c r="I32" s="39"/>
      <c r="J32" s="37"/>
      <c r="K32" s="39"/>
      <c r="L32" s="37"/>
      <c r="M32" s="39"/>
      <c r="N32" s="37"/>
      <c r="O32" s="39"/>
      <c r="P32" s="37"/>
      <c r="Q32" s="39"/>
      <c r="R32" s="37"/>
      <c r="S32" s="39"/>
      <c r="T32" s="37"/>
      <c r="U32" s="39"/>
      <c r="V32" s="37"/>
      <c r="W32" s="39"/>
      <c r="X32" s="37"/>
      <c r="Y32" s="39"/>
      <c r="Z32" s="37"/>
      <c r="AA32" s="39"/>
      <c r="AB32" s="37"/>
      <c r="AC32" s="39"/>
    </row>
    <row r="33" spans="1:29" x14ac:dyDescent="0.45">
      <c r="A33" s="37"/>
      <c r="B33" s="37"/>
      <c r="C33" s="37"/>
      <c r="D33" s="37"/>
      <c r="E33" s="37"/>
      <c r="F33" s="37"/>
      <c r="G33" s="39"/>
      <c r="H33" s="37"/>
      <c r="I33" s="39"/>
      <c r="J33" s="37"/>
      <c r="K33" s="39"/>
      <c r="L33" s="37"/>
      <c r="M33" s="39"/>
      <c r="N33" s="37"/>
      <c r="O33" s="39"/>
      <c r="P33" s="37"/>
      <c r="Q33" s="39"/>
      <c r="R33" s="37"/>
      <c r="S33" s="39"/>
      <c r="T33" s="37"/>
      <c r="U33" s="39"/>
      <c r="V33" s="37"/>
      <c r="W33" s="39"/>
      <c r="X33" s="37"/>
      <c r="Y33" s="39"/>
      <c r="Z33" s="37"/>
      <c r="AA33" s="39"/>
      <c r="AB33" s="37"/>
      <c r="AC33" s="39"/>
    </row>
    <row r="34" spans="1:29" x14ac:dyDescent="0.45">
      <c r="A34" s="37"/>
      <c r="B34" s="37"/>
      <c r="C34" s="37"/>
      <c r="D34" s="37"/>
      <c r="E34" s="37"/>
      <c r="F34" s="37"/>
      <c r="G34" s="39"/>
      <c r="H34" s="37"/>
      <c r="I34" s="39"/>
      <c r="J34" s="37"/>
      <c r="K34" s="39"/>
      <c r="L34" s="37"/>
      <c r="M34" s="39"/>
      <c r="N34" s="37"/>
      <c r="O34" s="39"/>
      <c r="P34" s="37"/>
      <c r="Q34" s="39"/>
      <c r="R34" s="37"/>
      <c r="S34" s="39"/>
      <c r="T34" s="37"/>
      <c r="U34" s="39"/>
      <c r="V34" s="37"/>
      <c r="W34" s="39"/>
      <c r="X34" s="37"/>
      <c r="Y34" s="39"/>
      <c r="Z34" s="37"/>
      <c r="AA34" s="39"/>
      <c r="AB34" s="37"/>
      <c r="AC34" s="39"/>
    </row>
    <row r="35" spans="1:29" x14ac:dyDescent="0.45">
      <c r="A35" s="37"/>
      <c r="B35" s="37"/>
      <c r="C35" s="37"/>
      <c r="D35" s="37"/>
      <c r="E35" s="37"/>
      <c r="F35" s="37"/>
      <c r="G35" s="39"/>
      <c r="H35" s="37"/>
      <c r="I35" s="39"/>
      <c r="J35" s="37"/>
      <c r="K35" s="39"/>
      <c r="L35" s="37"/>
      <c r="M35" s="39"/>
      <c r="N35" s="37"/>
      <c r="O35" s="39"/>
      <c r="P35" s="37"/>
      <c r="Q35" s="39"/>
      <c r="R35" s="37"/>
      <c r="S35" s="39"/>
      <c r="T35" s="37"/>
      <c r="U35" s="39"/>
      <c r="V35" s="37"/>
      <c r="W35" s="39"/>
      <c r="X35" s="37"/>
      <c r="Y35" s="39"/>
      <c r="Z35" s="37"/>
      <c r="AA35" s="39"/>
      <c r="AB35" s="37"/>
      <c r="AC35" s="39"/>
    </row>
    <row r="36" spans="1:29" x14ac:dyDescent="0.45">
      <c r="A36" s="37"/>
      <c r="B36" s="37"/>
      <c r="C36" s="37"/>
      <c r="D36" s="37"/>
      <c r="E36" s="37"/>
      <c r="F36" s="37"/>
      <c r="G36" s="39"/>
      <c r="H36" s="37"/>
      <c r="I36" s="39"/>
      <c r="J36" s="37"/>
      <c r="K36" s="39"/>
      <c r="L36" s="37"/>
      <c r="M36" s="39"/>
      <c r="N36" s="37"/>
      <c r="O36" s="39"/>
      <c r="P36" s="37"/>
      <c r="Q36" s="39"/>
      <c r="R36" s="37"/>
      <c r="S36" s="39"/>
      <c r="T36" s="37"/>
      <c r="U36" s="39"/>
      <c r="V36" s="37"/>
      <c r="W36" s="39"/>
      <c r="X36" s="37"/>
      <c r="Y36" s="39"/>
      <c r="Z36" s="37"/>
      <c r="AA36" s="39"/>
      <c r="AB36" s="37"/>
      <c r="AC36" s="39"/>
    </row>
    <row r="37" spans="1:29" x14ac:dyDescent="0.45">
      <c r="A37" s="37"/>
      <c r="B37" s="37"/>
      <c r="C37" s="37"/>
      <c r="D37" s="37"/>
      <c r="E37" s="37"/>
      <c r="F37" s="37"/>
      <c r="G37" s="39"/>
      <c r="H37" s="37"/>
      <c r="I37" s="39"/>
      <c r="J37" s="37"/>
      <c r="K37" s="39"/>
      <c r="L37" s="37"/>
      <c r="M37" s="39"/>
      <c r="N37" s="37"/>
      <c r="O37" s="39"/>
      <c r="P37" s="37"/>
      <c r="Q37" s="39"/>
      <c r="R37" s="37"/>
      <c r="S37" s="39"/>
      <c r="T37" s="37"/>
      <c r="U37" s="39"/>
      <c r="V37" s="37"/>
      <c r="W37" s="39"/>
      <c r="X37" s="37"/>
      <c r="Y37" s="39"/>
      <c r="Z37" s="37"/>
      <c r="AA37" s="39"/>
      <c r="AB37" s="37"/>
      <c r="AC37" s="39"/>
    </row>
    <row r="38" spans="1:29" x14ac:dyDescent="0.45">
      <c r="A38" s="37"/>
      <c r="B38" s="37"/>
      <c r="C38" s="37"/>
      <c r="D38" s="37"/>
      <c r="E38" s="37"/>
      <c r="F38" s="37"/>
      <c r="G38" s="39"/>
      <c r="H38" s="37"/>
      <c r="I38" s="39"/>
      <c r="J38" s="37"/>
      <c r="K38" s="39"/>
      <c r="L38" s="37"/>
      <c r="M38" s="39"/>
      <c r="N38" s="37"/>
      <c r="O38" s="39"/>
      <c r="P38" s="37"/>
      <c r="Q38" s="39"/>
      <c r="R38" s="37"/>
      <c r="S38" s="39"/>
      <c r="T38" s="37"/>
      <c r="U38" s="39"/>
      <c r="V38" s="37"/>
      <c r="W38" s="39"/>
      <c r="X38" s="37"/>
      <c r="Y38" s="39"/>
      <c r="Z38" s="37"/>
      <c r="AA38" s="39"/>
      <c r="AB38" s="37"/>
      <c r="AC38" s="39"/>
    </row>
    <row r="39" spans="1:29" x14ac:dyDescent="0.45">
      <c r="A39" s="37"/>
      <c r="B39" s="37"/>
      <c r="C39" s="37"/>
      <c r="D39" s="37"/>
      <c r="E39" s="37"/>
      <c r="F39" s="37"/>
      <c r="G39" s="39"/>
      <c r="H39" s="37"/>
      <c r="I39" s="39"/>
      <c r="J39" s="37"/>
      <c r="K39" s="39"/>
      <c r="L39" s="37"/>
      <c r="M39" s="39"/>
      <c r="N39" s="37"/>
      <c r="O39" s="39"/>
      <c r="P39" s="37"/>
      <c r="Q39" s="39"/>
      <c r="R39" s="37"/>
      <c r="S39" s="39"/>
      <c r="T39" s="37"/>
      <c r="U39" s="39"/>
      <c r="V39" s="37"/>
      <c r="W39" s="39"/>
      <c r="X39" s="37"/>
      <c r="Y39" s="39"/>
      <c r="Z39" s="37"/>
      <c r="AA39" s="39"/>
      <c r="AB39" s="37"/>
      <c r="AC39" s="39"/>
    </row>
    <row r="40" spans="1:29" x14ac:dyDescent="0.45">
      <c r="A40" s="37"/>
      <c r="B40" s="37"/>
      <c r="C40" s="37"/>
      <c r="D40" s="37"/>
      <c r="E40" s="37"/>
      <c r="F40" s="37"/>
      <c r="G40" s="39"/>
      <c r="H40" s="37"/>
      <c r="I40" s="39"/>
      <c r="J40" s="37"/>
      <c r="K40" s="39"/>
      <c r="L40" s="37"/>
      <c r="M40" s="39"/>
      <c r="N40" s="37"/>
      <c r="O40" s="39"/>
      <c r="P40" s="37"/>
      <c r="Q40" s="39"/>
      <c r="R40" s="37"/>
      <c r="S40" s="39"/>
      <c r="T40" s="37"/>
      <c r="U40" s="39"/>
      <c r="V40" s="37"/>
      <c r="W40" s="39"/>
      <c r="X40" s="37"/>
      <c r="Y40" s="39"/>
      <c r="Z40" s="37"/>
      <c r="AA40" s="39"/>
      <c r="AB40" s="37"/>
      <c r="AC40" s="39"/>
    </row>
    <row r="41" spans="1:29" x14ac:dyDescent="0.45">
      <c r="A41" s="37"/>
      <c r="B41" s="37"/>
      <c r="C41" s="37"/>
      <c r="D41" s="37"/>
      <c r="E41" s="37"/>
      <c r="F41" s="37"/>
      <c r="G41" s="39"/>
      <c r="H41" s="37"/>
      <c r="I41" s="39"/>
      <c r="J41" s="37"/>
      <c r="K41" s="39"/>
      <c r="L41" s="37"/>
      <c r="M41" s="39"/>
      <c r="N41" s="37"/>
      <c r="O41" s="39"/>
      <c r="P41" s="37"/>
      <c r="Q41" s="39"/>
      <c r="R41" s="37"/>
      <c r="S41" s="39"/>
      <c r="T41" s="37"/>
      <c r="U41" s="39"/>
      <c r="V41" s="37"/>
      <c r="W41" s="39"/>
      <c r="X41" s="37"/>
      <c r="Y41" s="39"/>
      <c r="Z41" s="37"/>
      <c r="AA41" s="39"/>
      <c r="AB41" s="37"/>
      <c r="AC41" s="39"/>
    </row>
    <row r="42" spans="1:29" x14ac:dyDescent="0.45">
      <c r="A42" s="37"/>
      <c r="B42" s="37"/>
      <c r="C42" s="37"/>
      <c r="D42" s="37"/>
      <c r="E42" s="37"/>
      <c r="F42" s="37"/>
      <c r="G42" s="39"/>
      <c r="H42" s="37"/>
      <c r="I42" s="39"/>
      <c r="J42" s="37"/>
      <c r="K42" s="39"/>
      <c r="L42" s="37"/>
      <c r="M42" s="39"/>
      <c r="N42" s="37"/>
      <c r="O42" s="39"/>
      <c r="P42" s="37"/>
      <c r="Q42" s="39"/>
      <c r="R42" s="37"/>
      <c r="S42" s="39"/>
      <c r="T42" s="37"/>
      <c r="U42" s="39"/>
      <c r="V42" s="37"/>
      <c r="W42" s="39"/>
      <c r="X42" s="37"/>
      <c r="Y42" s="39"/>
      <c r="Z42" s="37"/>
      <c r="AA42" s="39"/>
      <c r="AB42" s="37"/>
      <c r="AC42" s="39"/>
    </row>
    <row r="43" spans="1:29" x14ac:dyDescent="0.45">
      <c r="A43" s="37"/>
      <c r="B43" s="37"/>
      <c r="C43" s="37"/>
      <c r="D43" s="37"/>
      <c r="E43" s="37"/>
      <c r="F43" s="37"/>
      <c r="G43" s="39"/>
      <c r="H43" s="37"/>
      <c r="I43" s="39"/>
      <c r="J43" s="37"/>
      <c r="K43" s="39"/>
      <c r="L43" s="37"/>
      <c r="M43" s="39"/>
      <c r="N43" s="37"/>
      <c r="O43" s="39"/>
      <c r="P43" s="37"/>
      <c r="Q43" s="39"/>
      <c r="R43" s="37"/>
      <c r="S43" s="39"/>
      <c r="T43" s="37"/>
      <c r="U43" s="39"/>
      <c r="V43" s="37"/>
      <c r="W43" s="39"/>
      <c r="X43" s="37"/>
      <c r="Y43" s="39"/>
      <c r="Z43" s="37"/>
      <c r="AA43" s="39"/>
      <c r="AB43" s="37"/>
      <c r="AC43" s="39"/>
    </row>
    <row r="44" spans="1:29" x14ac:dyDescent="0.45">
      <c r="A44" s="37"/>
      <c r="B44" s="37"/>
      <c r="C44" s="37"/>
      <c r="D44" s="37"/>
      <c r="E44" s="37"/>
      <c r="F44" s="37"/>
      <c r="G44" s="39"/>
      <c r="H44" s="37"/>
      <c r="I44" s="39"/>
      <c r="J44" s="37"/>
      <c r="K44" s="39"/>
      <c r="L44" s="37"/>
      <c r="M44" s="39"/>
      <c r="N44" s="37"/>
      <c r="O44" s="39"/>
      <c r="P44" s="37"/>
      <c r="Q44" s="39"/>
      <c r="R44" s="37"/>
      <c r="S44" s="39"/>
      <c r="T44" s="37"/>
      <c r="U44" s="39"/>
      <c r="V44" s="37"/>
      <c r="W44" s="39"/>
      <c r="X44" s="37"/>
      <c r="Y44" s="39"/>
      <c r="Z44" s="37"/>
      <c r="AA44" s="39"/>
      <c r="AB44" s="37"/>
      <c r="AC44" s="39"/>
    </row>
    <row r="45" spans="1:29" x14ac:dyDescent="0.45">
      <c r="A45" s="37"/>
      <c r="B45" s="37"/>
      <c r="C45" s="37"/>
      <c r="D45" s="37"/>
      <c r="E45" s="37"/>
      <c r="F45" s="37"/>
      <c r="G45" s="39"/>
      <c r="H45" s="37"/>
      <c r="I45" s="39"/>
      <c r="J45" s="37"/>
      <c r="K45" s="39"/>
      <c r="L45" s="37"/>
      <c r="M45" s="39"/>
      <c r="N45" s="37"/>
      <c r="O45" s="39"/>
      <c r="P45" s="37"/>
      <c r="Q45" s="39"/>
      <c r="R45" s="37"/>
      <c r="S45" s="39"/>
      <c r="T45" s="37"/>
      <c r="U45" s="39"/>
      <c r="V45" s="37"/>
      <c r="W45" s="39"/>
      <c r="X45" s="37"/>
      <c r="Y45" s="39"/>
      <c r="Z45" s="37"/>
      <c r="AA45" s="39"/>
      <c r="AB45" s="37"/>
      <c r="AC45" s="39"/>
    </row>
    <row r="46" spans="1:29" x14ac:dyDescent="0.45">
      <c r="A46" s="37"/>
      <c r="B46" s="37"/>
      <c r="C46" s="37"/>
      <c r="D46" s="37"/>
      <c r="E46" s="37"/>
      <c r="F46" s="37"/>
      <c r="G46" s="39"/>
      <c r="H46" s="37"/>
      <c r="I46" s="39"/>
      <c r="J46" s="37"/>
      <c r="K46" s="39"/>
      <c r="L46" s="37"/>
      <c r="M46" s="39"/>
      <c r="N46" s="37"/>
      <c r="O46" s="39"/>
      <c r="P46" s="37"/>
      <c r="Q46" s="39"/>
      <c r="R46" s="37"/>
      <c r="S46" s="39"/>
      <c r="T46" s="37"/>
      <c r="U46" s="39"/>
      <c r="V46" s="37"/>
      <c r="W46" s="39"/>
      <c r="X46" s="37"/>
      <c r="Y46" s="39"/>
      <c r="Z46" s="37"/>
      <c r="AA46" s="39"/>
      <c r="AB46" s="37"/>
      <c r="AC46" s="39"/>
    </row>
    <row r="47" spans="1:29" x14ac:dyDescent="0.45">
      <c r="A47" s="37"/>
      <c r="B47" s="37"/>
      <c r="C47" s="37"/>
      <c r="D47" s="37"/>
      <c r="E47" s="37"/>
      <c r="F47" s="37"/>
      <c r="G47" s="39"/>
      <c r="H47" s="37"/>
      <c r="I47" s="39"/>
      <c r="J47" s="37"/>
      <c r="K47" s="39"/>
      <c r="L47" s="37"/>
      <c r="M47" s="39"/>
      <c r="N47" s="37"/>
      <c r="O47" s="39"/>
      <c r="P47" s="37"/>
      <c r="Q47" s="39"/>
      <c r="R47" s="37"/>
      <c r="S47" s="39"/>
      <c r="T47" s="37"/>
      <c r="U47" s="39"/>
      <c r="V47" s="37"/>
      <c r="W47" s="39"/>
      <c r="X47" s="37"/>
      <c r="Y47" s="39"/>
      <c r="Z47" s="37"/>
      <c r="AA47" s="39"/>
      <c r="AB47" s="37"/>
      <c r="AC47" s="39"/>
    </row>
    <row r="48" spans="1:29" x14ac:dyDescent="0.45">
      <c r="A48" s="37"/>
      <c r="B48" s="37"/>
      <c r="C48" s="37"/>
      <c r="D48" s="37"/>
      <c r="E48" s="37"/>
      <c r="F48" s="37"/>
      <c r="G48" s="39"/>
      <c r="H48" s="37"/>
      <c r="I48" s="39"/>
      <c r="J48" s="37"/>
      <c r="K48" s="39"/>
      <c r="L48" s="37"/>
      <c r="M48" s="39"/>
      <c r="N48" s="37"/>
      <c r="O48" s="39"/>
      <c r="P48" s="37"/>
      <c r="Q48" s="39"/>
      <c r="R48" s="37"/>
      <c r="S48" s="39"/>
      <c r="T48" s="37"/>
      <c r="U48" s="39"/>
      <c r="V48" s="37"/>
      <c r="W48" s="39"/>
      <c r="X48" s="37"/>
      <c r="Y48" s="39"/>
      <c r="Z48" s="37"/>
      <c r="AA48" s="39"/>
      <c r="AB48" s="37"/>
      <c r="AC48" s="39"/>
    </row>
    <row r="49" spans="1:29" x14ac:dyDescent="0.45">
      <c r="A49" s="37"/>
      <c r="B49" s="37"/>
      <c r="C49" s="37"/>
      <c r="D49" s="37"/>
      <c r="E49" s="37"/>
      <c r="F49" s="37"/>
      <c r="G49" s="39"/>
      <c r="H49" s="37"/>
      <c r="I49" s="39"/>
      <c r="J49" s="37"/>
      <c r="K49" s="39"/>
      <c r="L49" s="37"/>
      <c r="M49" s="39"/>
      <c r="N49" s="37"/>
      <c r="O49" s="39"/>
      <c r="P49" s="37"/>
      <c r="Q49" s="39"/>
      <c r="R49" s="37"/>
      <c r="S49" s="39"/>
      <c r="T49" s="37"/>
      <c r="U49" s="39"/>
      <c r="V49" s="37"/>
      <c r="W49" s="39"/>
      <c r="X49" s="37"/>
      <c r="Y49" s="39"/>
      <c r="Z49" s="37"/>
      <c r="AA49" s="39"/>
      <c r="AB49" s="37"/>
      <c r="AC49" s="39"/>
    </row>
    <row r="50" spans="1:29" x14ac:dyDescent="0.45">
      <c r="A50" s="37"/>
      <c r="B50" s="37"/>
      <c r="C50" s="37"/>
      <c r="D50" s="37"/>
      <c r="E50" s="37"/>
      <c r="F50" s="37"/>
      <c r="G50" s="39"/>
      <c r="H50" s="37"/>
      <c r="I50" s="39"/>
      <c r="J50" s="37"/>
      <c r="K50" s="39"/>
      <c r="L50" s="37"/>
      <c r="M50" s="39"/>
      <c r="N50" s="37"/>
      <c r="O50" s="39"/>
      <c r="P50" s="37"/>
      <c r="Q50" s="39"/>
      <c r="R50" s="37"/>
      <c r="S50" s="39"/>
      <c r="T50" s="37"/>
      <c r="U50" s="39"/>
      <c r="V50" s="37"/>
      <c r="W50" s="39"/>
      <c r="X50" s="37"/>
      <c r="Y50" s="39"/>
      <c r="Z50" s="37"/>
      <c r="AA50" s="39"/>
      <c r="AB50" s="37"/>
      <c r="AC50" s="39"/>
    </row>
    <row r="51" spans="1:29" x14ac:dyDescent="0.45">
      <c r="A51" s="37"/>
      <c r="B51" s="37"/>
      <c r="C51" s="37"/>
      <c r="D51" s="37"/>
      <c r="E51" s="37"/>
      <c r="F51" s="37"/>
      <c r="G51" s="39"/>
      <c r="H51" s="37"/>
      <c r="I51" s="39"/>
      <c r="J51" s="37"/>
      <c r="K51" s="39"/>
      <c r="L51" s="37"/>
      <c r="M51" s="39"/>
      <c r="N51" s="37"/>
      <c r="O51" s="39"/>
      <c r="P51" s="37"/>
      <c r="Q51" s="39"/>
      <c r="R51" s="37"/>
      <c r="S51" s="39"/>
      <c r="T51" s="37"/>
      <c r="U51" s="39"/>
      <c r="V51" s="37"/>
      <c r="W51" s="39"/>
      <c r="X51" s="37"/>
      <c r="Y51" s="39"/>
      <c r="Z51" s="37"/>
      <c r="AA51" s="39"/>
      <c r="AB51" s="37"/>
      <c r="AC51" s="39"/>
    </row>
    <row r="52" spans="1:29" x14ac:dyDescent="0.45">
      <c r="A52" s="37"/>
      <c r="B52" s="37"/>
      <c r="C52" s="37"/>
      <c r="D52" s="37"/>
      <c r="E52" s="37"/>
      <c r="F52" s="37"/>
      <c r="G52" s="39"/>
      <c r="H52" s="37"/>
      <c r="I52" s="39"/>
      <c r="J52" s="37"/>
      <c r="K52" s="39"/>
      <c r="L52" s="37"/>
      <c r="M52" s="39"/>
      <c r="N52" s="37"/>
      <c r="O52" s="39"/>
      <c r="P52" s="37"/>
      <c r="Q52" s="39"/>
      <c r="R52" s="37"/>
      <c r="S52" s="39"/>
      <c r="T52" s="37"/>
      <c r="U52" s="39"/>
      <c r="V52" s="37"/>
      <c r="W52" s="39"/>
      <c r="X52" s="37"/>
      <c r="Y52" s="39"/>
      <c r="Z52" s="37"/>
      <c r="AA52" s="39"/>
      <c r="AB52" s="37"/>
      <c r="AC52" s="39"/>
    </row>
    <row r="53" spans="1:29" x14ac:dyDescent="0.45">
      <c r="A53" s="37"/>
      <c r="B53" s="37"/>
      <c r="C53" s="37"/>
      <c r="D53" s="37"/>
      <c r="E53" s="37"/>
      <c r="F53" s="37"/>
      <c r="G53" s="39"/>
      <c r="H53" s="37"/>
      <c r="I53" s="39"/>
      <c r="J53" s="37"/>
      <c r="K53" s="39"/>
      <c r="L53" s="37"/>
      <c r="M53" s="39"/>
      <c r="N53" s="37"/>
      <c r="O53" s="39"/>
      <c r="P53" s="37"/>
      <c r="Q53" s="39"/>
      <c r="R53" s="37"/>
      <c r="S53" s="39"/>
      <c r="T53" s="37"/>
      <c r="U53" s="39"/>
      <c r="V53" s="37"/>
      <c r="W53" s="39"/>
      <c r="X53" s="37"/>
      <c r="Y53" s="39"/>
      <c r="Z53" s="37"/>
      <c r="AA53" s="39"/>
      <c r="AB53" s="37"/>
      <c r="AC53" s="39"/>
    </row>
    <row r="54" spans="1:29" x14ac:dyDescent="0.45">
      <c r="A54" s="37"/>
      <c r="B54" s="37"/>
      <c r="C54" s="37"/>
      <c r="D54" s="37"/>
      <c r="E54" s="37"/>
      <c r="F54" s="37"/>
      <c r="G54" s="39"/>
      <c r="H54" s="37"/>
      <c r="I54" s="39"/>
      <c r="J54" s="37"/>
      <c r="K54" s="39"/>
      <c r="L54" s="37"/>
      <c r="M54" s="39"/>
      <c r="N54" s="37"/>
      <c r="O54" s="39"/>
      <c r="P54" s="37"/>
      <c r="Q54" s="39"/>
      <c r="R54" s="37"/>
      <c r="S54" s="39"/>
      <c r="T54" s="37"/>
      <c r="U54" s="39"/>
      <c r="V54" s="37"/>
      <c r="W54" s="39"/>
      <c r="X54" s="37"/>
      <c r="Y54" s="39"/>
      <c r="Z54" s="37"/>
      <c r="AA54" s="39"/>
      <c r="AB54" s="37"/>
      <c r="AC54" s="39"/>
    </row>
    <row r="55" spans="1:29" x14ac:dyDescent="0.45">
      <c r="A55" s="37"/>
      <c r="B55" s="37"/>
      <c r="C55" s="37"/>
      <c r="D55" s="37"/>
      <c r="E55" s="37"/>
      <c r="F55" s="37"/>
      <c r="G55" s="39"/>
      <c r="H55" s="37"/>
      <c r="I55" s="39"/>
      <c r="J55" s="37"/>
      <c r="K55" s="39"/>
      <c r="L55" s="37"/>
      <c r="M55" s="39"/>
      <c r="N55" s="37"/>
      <c r="O55" s="39"/>
      <c r="P55" s="37"/>
      <c r="Q55" s="39"/>
      <c r="R55" s="37"/>
      <c r="S55" s="39"/>
      <c r="T55" s="37"/>
      <c r="U55" s="39"/>
      <c r="V55" s="37"/>
      <c r="W55" s="39"/>
      <c r="X55" s="37"/>
      <c r="Y55" s="39"/>
      <c r="Z55" s="37"/>
      <c r="AA55" s="39"/>
      <c r="AB55" s="37"/>
      <c r="AC55" s="39"/>
    </row>
    <row r="56" spans="1:29" x14ac:dyDescent="0.45">
      <c r="A56" s="37"/>
      <c r="B56" s="37"/>
      <c r="C56" s="37"/>
      <c r="D56" s="37"/>
      <c r="E56" s="37"/>
      <c r="F56" s="37"/>
      <c r="G56" s="39"/>
      <c r="H56" s="37"/>
      <c r="I56" s="39"/>
      <c r="J56" s="37"/>
      <c r="K56" s="39"/>
      <c r="L56" s="37"/>
      <c r="M56" s="39"/>
      <c r="N56" s="37"/>
      <c r="O56" s="39"/>
      <c r="P56" s="37"/>
      <c r="Q56" s="39"/>
      <c r="R56" s="37"/>
      <c r="S56" s="39"/>
      <c r="T56" s="37"/>
      <c r="U56" s="39"/>
      <c r="V56" s="37"/>
      <c r="W56" s="39"/>
      <c r="X56" s="37"/>
      <c r="Y56" s="39"/>
      <c r="Z56" s="37"/>
      <c r="AA56" s="39"/>
      <c r="AB56" s="37"/>
      <c r="AC56" s="39"/>
    </row>
    <row r="57" spans="1:29" x14ac:dyDescent="0.45">
      <c r="A57" s="37"/>
      <c r="B57" s="37"/>
      <c r="C57" s="37"/>
      <c r="D57" s="37"/>
      <c r="E57" s="37"/>
      <c r="F57" s="37"/>
      <c r="G57" s="39"/>
      <c r="H57" s="37"/>
      <c r="I57" s="39"/>
      <c r="J57" s="37"/>
      <c r="K57" s="39"/>
      <c r="L57" s="37"/>
      <c r="M57" s="39"/>
      <c r="N57" s="37"/>
      <c r="O57" s="39"/>
      <c r="P57" s="37"/>
      <c r="Q57" s="39"/>
      <c r="R57" s="37"/>
      <c r="S57" s="39"/>
      <c r="T57" s="37"/>
      <c r="U57" s="39"/>
      <c r="V57" s="37"/>
      <c r="W57" s="39"/>
      <c r="X57" s="37"/>
      <c r="Y57" s="39"/>
      <c r="Z57" s="37"/>
      <c r="AA57" s="39"/>
      <c r="AB57" s="37"/>
      <c r="AC57" s="39"/>
    </row>
    <row r="58" spans="1:29" x14ac:dyDescent="0.45">
      <c r="A58" s="37"/>
      <c r="B58" s="37"/>
      <c r="C58" s="37"/>
      <c r="D58" s="37"/>
      <c r="E58" s="37"/>
      <c r="F58" s="37"/>
      <c r="G58" s="39"/>
      <c r="H58" s="37"/>
      <c r="I58" s="39"/>
      <c r="J58" s="37"/>
      <c r="K58" s="39"/>
      <c r="L58" s="37"/>
      <c r="M58" s="39"/>
      <c r="N58" s="37"/>
      <c r="O58" s="39"/>
      <c r="P58" s="37"/>
      <c r="Q58" s="39"/>
      <c r="R58" s="37"/>
      <c r="S58" s="39"/>
      <c r="T58" s="37"/>
      <c r="U58" s="39"/>
      <c r="V58" s="37"/>
      <c r="W58" s="39"/>
      <c r="X58" s="37"/>
      <c r="Y58" s="39"/>
      <c r="Z58" s="37"/>
      <c r="AA58" s="39"/>
      <c r="AB58" s="37"/>
      <c r="AC58" s="39"/>
    </row>
    <row r="59" spans="1:29" x14ac:dyDescent="0.45">
      <c r="A59" s="37"/>
      <c r="B59" s="37"/>
      <c r="C59" s="37"/>
      <c r="D59" s="37"/>
      <c r="E59" s="37"/>
      <c r="F59" s="37"/>
      <c r="G59" s="39"/>
      <c r="H59" s="37"/>
      <c r="I59" s="39"/>
      <c r="J59" s="37"/>
      <c r="K59" s="39"/>
      <c r="L59" s="37"/>
      <c r="M59" s="39"/>
      <c r="N59" s="37"/>
      <c r="O59" s="39"/>
      <c r="P59" s="37"/>
      <c r="Q59" s="39"/>
      <c r="R59" s="37"/>
      <c r="S59" s="39"/>
      <c r="T59" s="37"/>
      <c r="U59" s="39"/>
      <c r="V59" s="37"/>
      <c r="W59" s="39"/>
      <c r="X59" s="37"/>
      <c r="Y59" s="39"/>
      <c r="Z59" s="37"/>
      <c r="AA59" s="39"/>
      <c r="AB59" s="37"/>
      <c r="AC59" s="39"/>
    </row>
    <row r="60" spans="1:29" x14ac:dyDescent="0.45">
      <c r="A60" s="37"/>
      <c r="B60" s="37"/>
      <c r="C60" s="37"/>
      <c r="D60" s="37"/>
      <c r="E60" s="37"/>
      <c r="F60" s="37"/>
      <c r="G60" s="39"/>
      <c r="H60" s="37"/>
      <c r="I60" s="39"/>
      <c r="J60" s="37"/>
      <c r="K60" s="39"/>
      <c r="L60" s="37"/>
      <c r="M60" s="39"/>
      <c r="N60" s="37"/>
      <c r="O60" s="39"/>
      <c r="P60" s="37"/>
      <c r="Q60" s="39"/>
      <c r="R60" s="37"/>
      <c r="S60" s="39"/>
      <c r="T60" s="37"/>
      <c r="U60" s="39"/>
      <c r="V60" s="37"/>
      <c r="W60" s="39"/>
      <c r="X60" s="37"/>
      <c r="Y60" s="39"/>
      <c r="Z60" s="37"/>
      <c r="AA60" s="39"/>
      <c r="AB60" s="37"/>
      <c r="AC60" s="39"/>
    </row>
    <row r="61" spans="1:29" x14ac:dyDescent="0.45">
      <c r="A61" s="37"/>
      <c r="B61" s="37"/>
      <c r="C61" s="37"/>
      <c r="D61" s="37"/>
      <c r="E61" s="37"/>
      <c r="F61" s="37"/>
      <c r="G61" s="39"/>
      <c r="H61" s="37"/>
      <c r="I61" s="39"/>
      <c r="J61" s="37"/>
      <c r="K61" s="39"/>
      <c r="L61" s="37"/>
      <c r="M61" s="39"/>
      <c r="N61" s="37"/>
      <c r="O61" s="39"/>
      <c r="P61" s="37"/>
      <c r="Q61" s="39"/>
      <c r="R61" s="37"/>
      <c r="S61" s="39"/>
      <c r="T61" s="37"/>
      <c r="U61" s="39"/>
      <c r="V61" s="37"/>
      <c r="W61" s="39"/>
      <c r="X61" s="37"/>
      <c r="Y61" s="39"/>
      <c r="Z61" s="37"/>
      <c r="AA61" s="39"/>
      <c r="AB61" s="37"/>
      <c r="AC61" s="39"/>
    </row>
    <row r="62" spans="1:29" x14ac:dyDescent="0.45">
      <c r="A62" s="37"/>
      <c r="B62" s="37"/>
      <c r="C62" s="37"/>
      <c r="D62" s="37"/>
      <c r="E62" s="37"/>
      <c r="F62" s="37"/>
      <c r="G62" s="39"/>
      <c r="H62" s="37"/>
      <c r="I62" s="39"/>
      <c r="J62" s="37"/>
      <c r="K62" s="39"/>
      <c r="L62" s="37"/>
      <c r="M62" s="39"/>
      <c r="N62" s="37"/>
      <c r="O62" s="39"/>
      <c r="P62" s="37"/>
      <c r="Q62" s="39"/>
      <c r="R62" s="37"/>
      <c r="S62" s="39"/>
      <c r="T62" s="37"/>
      <c r="U62" s="39"/>
      <c r="V62" s="37"/>
      <c r="W62" s="39"/>
      <c r="X62" s="37"/>
      <c r="Y62" s="39"/>
      <c r="Z62" s="37"/>
      <c r="AA62" s="39"/>
      <c r="AB62" s="37"/>
      <c r="AC62" s="39"/>
    </row>
    <row r="63" spans="1:29" x14ac:dyDescent="0.45">
      <c r="A63" s="37"/>
      <c r="B63" s="37"/>
      <c r="C63" s="37"/>
      <c r="D63" s="37"/>
      <c r="E63" s="37"/>
      <c r="F63" s="37"/>
      <c r="G63" s="39"/>
      <c r="H63" s="37"/>
      <c r="I63" s="39"/>
      <c r="J63" s="37"/>
      <c r="K63" s="39"/>
      <c r="L63" s="37"/>
      <c r="M63" s="39"/>
      <c r="N63" s="37"/>
      <c r="O63" s="39"/>
      <c r="P63" s="37"/>
      <c r="Q63" s="39"/>
      <c r="R63" s="37"/>
      <c r="S63" s="39"/>
      <c r="T63" s="37"/>
      <c r="U63" s="39"/>
      <c r="V63" s="37"/>
      <c r="W63" s="39"/>
      <c r="X63" s="37"/>
      <c r="Y63" s="39"/>
      <c r="Z63" s="37"/>
      <c r="AA63" s="39"/>
      <c r="AB63" s="37"/>
      <c r="AC63" s="39"/>
    </row>
    <row r="64" spans="1:29" x14ac:dyDescent="0.45">
      <c r="A64" s="37"/>
      <c r="B64" s="37"/>
      <c r="C64" s="37"/>
      <c r="D64" s="37"/>
      <c r="E64" s="37"/>
      <c r="F64" s="37"/>
      <c r="G64" s="39"/>
      <c r="H64" s="37"/>
      <c r="I64" s="39"/>
      <c r="J64" s="37"/>
      <c r="K64" s="39"/>
      <c r="L64" s="37"/>
      <c r="M64" s="39"/>
      <c r="N64" s="37"/>
      <c r="O64" s="39"/>
      <c r="P64" s="37"/>
      <c r="Q64" s="39"/>
      <c r="R64" s="37"/>
      <c r="S64" s="39"/>
      <c r="T64" s="37"/>
      <c r="U64" s="39"/>
      <c r="V64" s="37"/>
      <c r="W64" s="39"/>
      <c r="X64" s="37"/>
      <c r="Y64" s="39"/>
      <c r="Z64" s="37"/>
      <c r="AA64" s="39"/>
      <c r="AB64" s="37"/>
      <c r="AC64" s="39"/>
    </row>
    <row r="65" spans="1:29" x14ac:dyDescent="0.45">
      <c r="A65" s="37"/>
      <c r="B65" s="37"/>
      <c r="C65" s="37"/>
      <c r="D65" s="37"/>
      <c r="E65" s="37"/>
      <c r="F65" s="37"/>
      <c r="G65" s="39"/>
      <c r="H65" s="37"/>
      <c r="I65" s="39"/>
      <c r="J65" s="37"/>
      <c r="K65" s="39"/>
      <c r="L65" s="37"/>
      <c r="M65" s="39"/>
      <c r="N65" s="37"/>
      <c r="O65" s="39"/>
      <c r="P65" s="37"/>
      <c r="Q65" s="39"/>
      <c r="R65" s="37"/>
      <c r="S65" s="39"/>
      <c r="T65" s="37"/>
      <c r="U65" s="39"/>
      <c r="V65" s="37"/>
      <c r="W65" s="39"/>
      <c r="X65" s="37"/>
      <c r="Y65" s="39"/>
      <c r="Z65" s="37"/>
      <c r="AA65" s="39"/>
      <c r="AB65" s="37"/>
      <c r="AC65" s="39"/>
    </row>
    <row r="66" spans="1:29" x14ac:dyDescent="0.45">
      <c r="A66" s="37"/>
      <c r="B66" s="37"/>
      <c r="C66" s="37"/>
      <c r="D66" s="37"/>
      <c r="E66" s="37"/>
      <c r="F66" s="37"/>
      <c r="G66" s="39"/>
      <c r="H66" s="37"/>
      <c r="I66" s="39"/>
      <c r="J66" s="37"/>
      <c r="K66" s="39"/>
      <c r="L66" s="37"/>
      <c r="M66" s="39"/>
      <c r="N66" s="37"/>
      <c r="O66" s="39"/>
      <c r="P66" s="37"/>
      <c r="Q66" s="39"/>
      <c r="R66" s="37"/>
      <c r="S66" s="39"/>
      <c r="T66" s="37"/>
      <c r="U66" s="39"/>
      <c r="V66" s="37"/>
      <c r="W66" s="39"/>
      <c r="X66" s="37"/>
      <c r="Y66" s="39"/>
      <c r="Z66" s="37"/>
      <c r="AA66" s="39"/>
      <c r="AB66" s="37"/>
      <c r="AC66" s="39"/>
    </row>
    <row r="67" spans="1:29" x14ac:dyDescent="0.45">
      <c r="A67" s="37"/>
      <c r="B67" s="37"/>
      <c r="C67" s="37"/>
      <c r="D67" s="37"/>
      <c r="E67" s="37"/>
      <c r="F67" s="37"/>
      <c r="G67" s="39"/>
      <c r="H67" s="37"/>
      <c r="I67" s="39"/>
      <c r="J67" s="37"/>
      <c r="K67" s="39"/>
      <c r="L67" s="37"/>
      <c r="M67" s="39"/>
      <c r="N67" s="37"/>
      <c r="O67" s="39"/>
      <c r="P67" s="37"/>
      <c r="Q67" s="39"/>
      <c r="R67" s="37"/>
      <c r="S67" s="39"/>
      <c r="T67" s="37"/>
      <c r="U67" s="39"/>
      <c r="V67" s="37"/>
      <c r="W67" s="39"/>
      <c r="X67" s="37"/>
      <c r="Y67" s="39"/>
      <c r="Z67" s="37"/>
      <c r="AA67" s="39"/>
      <c r="AB67" s="37"/>
      <c r="AC67" s="39"/>
    </row>
    <row r="68" spans="1:29" x14ac:dyDescent="0.45">
      <c r="A68" s="37"/>
      <c r="B68" s="37"/>
      <c r="C68" s="37"/>
      <c r="D68" s="37"/>
      <c r="E68" s="37"/>
      <c r="F68" s="37"/>
      <c r="G68" s="39"/>
      <c r="H68" s="37"/>
      <c r="I68" s="39"/>
      <c r="J68" s="37"/>
      <c r="K68" s="39"/>
      <c r="L68" s="37"/>
      <c r="M68" s="39"/>
      <c r="N68" s="37"/>
      <c r="O68" s="39"/>
      <c r="P68" s="37"/>
      <c r="Q68" s="39"/>
      <c r="R68" s="37"/>
      <c r="S68" s="39"/>
      <c r="T68" s="37"/>
      <c r="U68" s="39"/>
      <c r="V68" s="37"/>
      <c r="W68" s="39"/>
      <c r="X68" s="37"/>
      <c r="Y68" s="39"/>
      <c r="Z68" s="37"/>
      <c r="AA68" s="39"/>
      <c r="AB68" s="37"/>
      <c r="AC68" s="39"/>
    </row>
    <row r="69" spans="1:29" x14ac:dyDescent="0.45">
      <c r="A69" s="37"/>
      <c r="B69" s="37"/>
      <c r="C69" s="37"/>
      <c r="D69" s="37"/>
      <c r="E69" s="37"/>
      <c r="F69" s="37"/>
      <c r="G69" s="39"/>
      <c r="H69" s="37"/>
      <c r="I69" s="39"/>
      <c r="J69" s="37"/>
      <c r="K69" s="39"/>
      <c r="L69" s="37"/>
      <c r="M69" s="39"/>
      <c r="N69" s="37"/>
      <c r="O69" s="39"/>
      <c r="P69" s="37"/>
      <c r="Q69" s="39"/>
      <c r="R69" s="37"/>
      <c r="S69" s="39"/>
      <c r="T69" s="37"/>
      <c r="U69" s="39"/>
      <c r="V69" s="37"/>
      <c r="W69" s="39"/>
      <c r="X69" s="37"/>
      <c r="Y69" s="39"/>
      <c r="Z69" s="37"/>
      <c r="AA69" s="39"/>
      <c r="AB69" s="37"/>
      <c r="AC69" s="39"/>
    </row>
    <row r="70" spans="1:29" x14ac:dyDescent="0.45">
      <c r="A70" s="37"/>
      <c r="B70" s="37"/>
      <c r="C70" s="37"/>
      <c r="D70" s="37"/>
      <c r="E70" s="37"/>
      <c r="F70" s="37"/>
      <c r="G70" s="39"/>
      <c r="H70" s="37"/>
      <c r="I70" s="39"/>
      <c r="J70" s="37"/>
      <c r="K70" s="39"/>
      <c r="L70" s="37"/>
      <c r="M70" s="39"/>
      <c r="N70" s="37"/>
      <c r="O70" s="39"/>
      <c r="P70" s="37"/>
      <c r="Q70" s="39"/>
      <c r="R70" s="37"/>
      <c r="S70" s="39"/>
      <c r="T70" s="37"/>
      <c r="U70" s="39"/>
      <c r="V70" s="37"/>
      <c r="W70" s="39"/>
      <c r="X70" s="37"/>
      <c r="Y70" s="39"/>
      <c r="Z70" s="37"/>
      <c r="AA70" s="39"/>
      <c r="AB70" s="37"/>
      <c r="AC70" s="39"/>
    </row>
    <row r="71" spans="1:29" x14ac:dyDescent="0.45">
      <c r="A71" s="37"/>
      <c r="B71" s="37"/>
      <c r="C71" s="37"/>
      <c r="D71" s="37"/>
      <c r="E71" s="37"/>
      <c r="F71" s="37"/>
      <c r="G71" s="39"/>
      <c r="H71" s="37"/>
      <c r="I71" s="39"/>
      <c r="J71" s="37"/>
      <c r="K71" s="39"/>
      <c r="L71" s="37"/>
      <c r="M71" s="39"/>
      <c r="N71" s="37"/>
      <c r="O71" s="39"/>
      <c r="P71" s="37"/>
      <c r="Q71" s="39"/>
      <c r="R71" s="37"/>
      <c r="S71" s="39"/>
      <c r="T71" s="37"/>
      <c r="U71" s="39"/>
      <c r="V71" s="37"/>
      <c r="W71" s="39"/>
      <c r="X71" s="37"/>
      <c r="Y71" s="39"/>
      <c r="Z71" s="37"/>
      <c r="AA71" s="39"/>
      <c r="AB71" s="37"/>
      <c r="AC71" s="39"/>
    </row>
    <row r="72" spans="1:29" x14ac:dyDescent="0.45">
      <c r="A72" s="37"/>
      <c r="B72" s="37"/>
      <c r="C72" s="37"/>
      <c r="D72" s="37"/>
      <c r="E72" s="37"/>
      <c r="F72" s="37"/>
      <c r="G72" s="39"/>
      <c r="H72" s="37"/>
      <c r="I72" s="39"/>
      <c r="J72" s="37"/>
      <c r="K72" s="39"/>
      <c r="L72" s="37"/>
      <c r="M72" s="39"/>
      <c r="N72" s="37"/>
      <c r="O72" s="39"/>
      <c r="P72" s="37"/>
      <c r="Q72" s="39"/>
      <c r="R72" s="37"/>
      <c r="S72" s="39"/>
      <c r="T72" s="37"/>
      <c r="U72" s="39"/>
      <c r="V72" s="37"/>
      <c r="W72" s="39"/>
      <c r="X72" s="37"/>
      <c r="Y72" s="39"/>
      <c r="Z72" s="37"/>
      <c r="AA72" s="39"/>
      <c r="AB72" s="37"/>
      <c r="AC72" s="39"/>
    </row>
    <row r="73" spans="1:29" x14ac:dyDescent="0.45">
      <c r="A73" s="37"/>
      <c r="B73" s="37"/>
      <c r="C73" s="37"/>
      <c r="D73" s="37"/>
      <c r="E73" s="37"/>
      <c r="F73" s="37"/>
      <c r="G73" s="39"/>
      <c r="H73" s="37"/>
      <c r="I73" s="39"/>
      <c r="J73" s="37"/>
      <c r="K73" s="39"/>
      <c r="L73" s="37"/>
      <c r="M73" s="39"/>
      <c r="N73" s="37"/>
      <c r="O73" s="39"/>
      <c r="P73" s="37"/>
      <c r="Q73" s="39"/>
      <c r="R73" s="37"/>
      <c r="S73" s="39"/>
      <c r="T73" s="37"/>
      <c r="U73" s="39"/>
      <c r="V73" s="37"/>
      <c r="W73" s="39"/>
      <c r="X73" s="37"/>
      <c r="Y73" s="39"/>
      <c r="Z73" s="37"/>
      <c r="AA73" s="39"/>
      <c r="AB73" s="37"/>
      <c r="AC73" s="39"/>
    </row>
    <row r="74" spans="1:29" x14ac:dyDescent="0.45">
      <c r="A74" s="37"/>
      <c r="B74" s="37"/>
      <c r="C74" s="37"/>
      <c r="D74" s="37"/>
      <c r="E74" s="37"/>
      <c r="F74" s="37"/>
      <c r="G74" s="39"/>
      <c r="H74" s="37"/>
      <c r="I74" s="39"/>
      <c r="J74" s="37"/>
      <c r="K74" s="39"/>
      <c r="L74" s="37"/>
      <c r="M74" s="39"/>
      <c r="N74" s="37"/>
      <c r="O74" s="39"/>
      <c r="P74" s="37"/>
      <c r="Q74" s="39"/>
      <c r="R74" s="37"/>
      <c r="S74" s="39"/>
      <c r="T74" s="37"/>
      <c r="U74" s="39"/>
      <c r="V74" s="37"/>
      <c r="W74" s="39"/>
      <c r="X74" s="37"/>
      <c r="Y74" s="39"/>
      <c r="Z74" s="37"/>
      <c r="AA74" s="39"/>
      <c r="AB74" s="37"/>
      <c r="AC74" s="39"/>
    </row>
    <row r="75" spans="1:29" x14ac:dyDescent="0.45">
      <c r="A75" s="37"/>
      <c r="B75" s="37"/>
      <c r="C75" s="37"/>
      <c r="D75" s="37"/>
      <c r="E75" s="37"/>
      <c r="F75" s="37"/>
      <c r="G75" s="39"/>
      <c r="H75" s="37"/>
      <c r="I75" s="39"/>
      <c r="J75" s="37"/>
      <c r="K75" s="39"/>
      <c r="L75" s="37"/>
      <c r="M75" s="39"/>
      <c r="N75" s="37"/>
      <c r="O75" s="39"/>
      <c r="P75" s="37"/>
      <c r="Q75" s="39"/>
      <c r="R75" s="37"/>
      <c r="S75" s="39"/>
      <c r="T75" s="37"/>
      <c r="U75" s="39"/>
      <c r="V75" s="37"/>
      <c r="W75" s="39"/>
      <c r="X75" s="37"/>
      <c r="Y75" s="39"/>
      <c r="Z75" s="37"/>
      <c r="AA75" s="39"/>
      <c r="AB75" s="37"/>
      <c r="AC75" s="39"/>
    </row>
    <row r="76" spans="1:29" x14ac:dyDescent="0.45">
      <c r="A76" s="37"/>
      <c r="B76" s="37"/>
      <c r="C76" s="37"/>
      <c r="D76" s="37"/>
      <c r="E76" s="37"/>
      <c r="F76" s="37"/>
      <c r="G76" s="39"/>
      <c r="H76" s="37"/>
      <c r="I76" s="39"/>
      <c r="J76" s="37"/>
      <c r="K76" s="39"/>
      <c r="L76" s="37"/>
      <c r="M76" s="39"/>
      <c r="N76" s="37"/>
      <c r="O76" s="39"/>
      <c r="P76" s="37"/>
      <c r="Q76" s="39"/>
      <c r="R76" s="37"/>
      <c r="S76" s="39"/>
      <c r="T76" s="37"/>
      <c r="U76" s="39"/>
      <c r="V76" s="37"/>
      <c r="W76" s="39"/>
      <c r="X76" s="37"/>
      <c r="Y76" s="39"/>
      <c r="Z76" s="37"/>
      <c r="AA76" s="39"/>
      <c r="AB76" s="37"/>
      <c r="AC76" s="39"/>
    </row>
    <row r="77" spans="1:29" x14ac:dyDescent="0.45">
      <c r="A77" s="37"/>
      <c r="B77" s="37"/>
      <c r="C77" s="37"/>
      <c r="D77" s="37"/>
      <c r="E77" s="37"/>
      <c r="F77" s="37"/>
      <c r="G77" s="39"/>
      <c r="H77" s="37"/>
      <c r="I77" s="39"/>
      <c r="J77" s="37"/>
      <c r="K77" s="39"/>
      <c r="L77" s="37"/>
      <c r="M77" s="39"/>
      <c r="N77" s="37"/>
      <c r="O77" s="39"/>
      <c r="P77" s="37"/>
      <c r="Q77" s="39"/>
      <c r="R77" s="37"/>
      <c r="S77" s="39"/>
      <c r="T77" s="37"/>
      <c r="U77" s="39"/>
      <c r="V77" s="37"/>
      <c r="W77" s="39"/>
      <c r="X77" s="37"/>
      <c r="Y77" s="39"/>
      <c r="Z77" s="37"/>
      <c r="AA77" s="39"/>
      <c r="AB77" s="37"/>
      <c r="AC77" s="39"/>
    </row>
    <row r="78" spans="1:29" x14ac:dyDescent="0.45">
      <c r="A78" s="37"/>
      <c r="B78" s="37"/>
      <c r="C78" s="37"/>
      <c r="D78" s="37"/>
      <c r="E78" s="37"/>
      <c r="F78" s="37"/>
      <c r="G78" s="39"/>
      <c r="H78" s="37"/>
      <c r="I78" s="39"/>
      <c r="J78" s="37"/>
      <c r="K78" s="39"/>
      <c r="L78" s="37"/>
      <c r="M78" s="39"/>
      <c r="N78" s="37"/>
      <c r="O78" s="39"/>
      <c r="P78" s="37"/>
      <c r="Q78" s="39"/>
      <c r="R78" s="37"/>
      <c r="S78" s="39"/>
      <c r="T78" s="37"/>
      <c r="U78" s="39"/>
      <c r="V78" s="37"/>
      <c r="W78" s="39"/>
      <c r="X78" s="37"/>
      <c r="Y78" s="39"/>
      <c r="Z78" s="37"/>
      <c r="AA78" s="39"/>
      <c r="AB78" s="37"/>
      <c r="AC78" s="39"/>
    </row>
    <row r="79" spans="1:29" x14ac:dyDescent="0.45">
      <c r="A79" s="37"/>
      <c r="B79" s="37"/>
      <c r="C79" s="37"/>
      <c r="D79" s="37"/>
      <c r="E79" s="37"/>
      <c r="F79" s="37"/>
      <c r="G79" s="39"/>
      <c r="H79" s="37"/>
      <c r="I79" s="39"/>
      <c r="J79" s="37"/>
      <c r="K79" s="39"/>
      <c r="L79" s="37"/>
      <c r="M79" s="39"/>
      <c r="N79" s="37"/>
      <c r="O79" s="39"/>
      <c r="P79" s="37"/>
      <c r="Q79" s="39"/>
      <c r="R79" s="37"/>
      <c r="S79" s="39"/>
      <c r="T79" s="37"/>
      <c r="U79" s="39"/>
      <c r="V79" s="37"/>
      <c r="W79" s="39"/>
      <c r="X79" s="37"/>
      <c r="Y79" s="39"/>
      <c r="Z79" s="37"/>
      <c r="AA79" s="39"/>
      <c r="AB79" s="37"/>
      <c r="AC79" s="39"/>
    </row>
    <row r="80" spans="1:29" x14ac:dyDescent="0.45">
      <c r="A80" s="37"/>
      <c r="B80" s="37"/>
      <c r="C80" s="37"/>
      <c r="D80" s="37"/>
      <c r="E80" s="37"/>
      <c r="F80" s="37"/>
      <c r="G80" s="39"/>
      <c r="H80" s="37"/>
      <c r="I80" s="39"/>
      <c r="J80" s="37"/>
      <c r="K80" s="39"/>
      <c r="L80" s="37"/>
      <c r="M80" s="39"/>
      <c r="N80" s="37"/>
      <c r="O80" s="39"/>
      <c r="P80" s="37"/>
      <c r="Q80" s="39"/>
      <c r="R80" s="37"/>
      <c r="S80" s="39"/>
      <c r="T80" s="37"/>
      <c r="U80" s="39"/>
      <c r="V80" s="37"/>
      <c r="W80" s="39"/>
      <c r="X80" s="37"/>
      <c r="Y80" s="39"/>
      <c r="Z80" s="37"/>
      <c r="AA80" s="39"/>
      <c r="AB80" s="37"/>
      <c r="AC80" s="39"/>
    </row>
    <row r="81" spans="1:29" x14ac:dyDescent="0.45">
      <c r="A81" s="37"/>
      <c r="B81" s="37"/>
      <c r="C81" s="37"/>
      <c r="D81" s="37"/>
      <c r="E81" s="37"/>
      <c r="F81" s="37"/>
      <c r="G81" s="39"/>
      <c r="H81" s="37"/>
      <c r="I81" s="39"/>
      <c r="J81" s="37"/>
      <c r="K81" s="39"/>
      <c r="L81" s="37"/>
      <c r="M81" s="39"/>
      <c r="N81" s="37"/>
      <c r="O81" s="39"/>
      <c r="P81" s="37"/>
      <c r="Q81" s="39"/>
      <c r="R81" s="37"/>
      <c r="S81" s="39"/>
      <c r="T81" s="37"/>
      <c r="U81" s="39"/>
      <c r="V81" s="37"/>
      <c r="W81" s="39"/>
      <c r="X81" s="37"/>
      <c r="Y81" s="39"/>
      <c r="Z81" s="37"/>
      <c r="AA81" s="39"/>
      <c r="AB81" s="37"/>
      <c r="AC81" s="39"/>
    </row>
    <row r="82" spans="1:29" x14ac:dyDescent="0.45">
      <c r="A82" s="37"/>
      <c r="B82" s="37"/>
      <c r="C82" s="37"/>
      <c r="D82" s="37"/>
      <c r="E82" s="37"/>
      <c r="F82" s="37"/>
      <c r="G82" s="39"/>
      <c r="H82" s="37"/>
      <c r="I82" s="39"/>
      <c r="J82" s="37"/>
      <c r="K82" s="39"/>
      <c r="L82" s="37"/>
      <c r="M82" s="39"/>
      <c r="N82" s="37"/>
      <c r="O82" s="39"/>
      <c r="P82" s="37"/>
      <c r="Q82" s="39"/>
      <c r="R82" s="37"/>
      <c r="S82" s="39"/>
      <c r="T82" s="37"/>
      <c r="U82" s="39"/>
      <c r="V82" s="37"/>
      <c r="W82" s="39"/>
      <c r="X82" s="37"/>
      <c r="Y82" s="39"/>
      <c r="Z82" s="37"/>
      <c r="AA82" s="39"/>
      <c r="AB82" s="37"/>
      <c r="AC82" s="39"/>
    </row>
    <row r="83" spans="1:29" x14ac:dyDescent="0.45">
      <c r="A83" s="37"/>
      <c r="B83" s="37"/>
      <c r="C83" s="37"/>
      <c r="D83" s="37"/>
      <c r="E83" s="37"/>
      <c r="F83" s="37"/>
      <c r="G83" s="39"/>
      <c r="H83" s="37"/>
      <c r="I83" s="39"/>
      <c r="J83" s="37"/>
      <c r="K83" s="39"/>
      <c r="L83" s="37"/>
      <c r="M83" s="39"/>
      <c r="N83" s="37"/>
      <c r="O83" s="39"/>
      <c r="P83" s="37"/>
      <c r="Q83" s="39"/>
      <c r="R83" s="37"/>
      <c r="S83" s="39"/>
      <c r="T83" s="37"/>
      <c r="U83" s="39"/>
      <c r="V83" s="37"/>
      <c r="W83" s="39"/>
      <c r="X83" s="37"/>
      <c r="Y83" s="39"/>
      <c r="Z83" s="37"/>
      <c r="AA83" s="39"/>
      <c r="AB83" s="37"/>
      <c r="AC83" s="39"/>
    </row>
    <row r="84" spans="1:29" x14ac:dyDescent="0.45">
      <c r="A84" s="37"/>
      <c r="B84" s="37"/>
      <c r="C84" s="37"/>
      <c r="D84" s="37"/>
      <c r="E84" s="37"/>
      <c r="F84" s="37"/>
      <c r="G84" s="39"/>
      <c r="H84" s="37"/>
      <c r="I84" s="39"/>
      <c r="J84" s="37"/>
      <c r="K84" s="39"/>
      <c r="L84" s="37"/>
      <c r="M84" s="39"/>
      <c r="N84" s="37"/>
      <c r="O84" s="39"/>
      <c r="P84" s="37"/>
      <c r="Q84" s="39"/>
      <c r="R84" s="37"/>
      <c r="S84" s="39"/>
      <c r="T84" s="37"/>
      <c r="U84" s="39"/>
      <c r="V84" s="37"/>
      <c r="W84" s="39"/>
      <c r="X84" s="37"/>
      <c r="Y84" s="39"/>
      <c r="Z84" s="37"/>
      <c r="AA84" s="39"/>
      <c r="AB84" s="37"/>
      <c r="AC84" s="39"/>
    </row>
    <row r="85" spans="1:29" x14ac:dyDescent="0.45">
      <c r="A85" s="37"/>
      <c r="B85" s="37"/>
      <c r="C85" s="37"/>
      <c r="D85" s="37"/>
      <c r="E85" s="37"/>
      <c r="F85" s="37"/>
      <c r="G85" s="39"/>
      <c r="H85" s="37"/>
      <c r="I85" s="39"/>
      <c r="J85" s="37"/>
      <c r="K85" s="39"/>
      <c r="L85" s="37"/>
      <c r="M85" s="39"/>
      <c r="N85" s="37"/>
      <c r="O85" s="39"/>
      <c r="P85" s="37"/>
      <c r="Q85" s="39"/>
      <c r="R85" s="37"/>
      <c r="S85" s="39"/>
      <c r="T85" s="37"/>
      <c r="U85" s="39"/>
      <c r="V85" s="37"/>
      <c r="W85" s="39"/>
      <c r="X85" s="37"/>
      <c r="Y85" s="39"/>
      <c r="Z85" s="37"/>
      <c r="AA85" s="39"/>
      <c r="AB85" s="37"/>
      <c r="AC85" s="39"/>
    </row>
    <row r="86" spans="1:29" x14ac:dyDescent="0.45">
      <c r="A86" s="37"/>
      <c r="B86" s="37"/>
      <c r="C86" s="37"/>
      <c r="D86" s="37"/>
      <c r="E86" s="37"/>
      <c r="F86" s="37"/>
      <c r="G86" s="39"/>
      <c r="H86" s="37"/>
      <c r="I86" s="39"/>
      <c r="J86" s="37"/>
      <c r="K86" s="39"/>
      <c r="L86" s="37"/>
      <c r="M86" s="39"/>
      <c r="N86" s="37"/>
      <c r="O86" s="39"/>
      <c r="P86" s="37"/>
      <c r="Q86" s="39"/>
      <c r="R86" s="37"/>
      <c r="S86" s="39"/>
      <c r="T86" s="37"/>
      <c r="U86" s="39"/>
      <c r="V86" s="37"/>
      <c r="W86" s="39"/>
      <c r="X86" s="37"/>
      <c r="Y86" s="39"/>
      <c r="Z86" s="37"/>
      <c r="AA86" s="39"/>
      <c r="AB86" s="37"/>
      <c r="AC86" s="39"/>
    </row>
    <row r="87" spans="1:29" x14ac:dyDescent="0.45">
      <c r="A87" s="37"/>
      <c r="B87" s="37"/>
      <c r="C87" s="37"/>
      <c r="D87" s="37"/>
      <c r="E87" s="37"/>
      <c r="F87" s="37"/>
      <c r="G87" s="39"/>
      <c r="H87" s="37"/>
      <c r="I87" s="39"/>
      <c r="J87" s="37"/>
      <c r="K87" s="39"/>
      <c r="L87" s="37"/>
      <c r="M87" s="39"/>
      <c r="N87" s="37"/>
      <c r="O87" s="39"/>
      <c r="P87" s="37"/>
      <c r="Q87" s="39"/>
      <c r="R87" s="37"/>
      <c r="S87" s="39"/>
      <c r="T87" s="37"/>
      <c r="U87" s="39"/>
      <c r="V87" s="37"/>
      <c r="W87" s="39"/>
      <c r="X87" s="37"/>
      <c r="Y87" s="39"/>
      <c r="Z87" s="37"/>
      <c r="AA87" s="39"/>
      <c r="AB87" s="37"/>
      <c r="AC87" s="39"/>
    </row>
    <row r="88" spans="1:29" x14ac:dyDescent="0.45">
      <c r="A88" s="37"/>
      <c r="B88" s="37"/>
      <c r="C88" s="37"/>
      <c r="D88" s="37"/>
      <c r="E88" s="37"/>
      <c r="F88" s="37"/>
      <c r="G88" s="39"/>
      <c r="H88" s="37"/>
      <c r="I88" s="39"/>
      <c r="J88" s="37"/>
      <c r="K88" s="39"/>
      <c r="L88" s="37"/>
      <c r="M88" s="39"/>
      <c r="N88" s="37"/>
      <c r="O88" s="39"/>
      <c r="P88" s="37"/>
      <c r="Q88" s="39"/>
      <c r="R88" s="37"/>
      <c r="S88" s="39"/>
      <c r="T88" s="37"/>
      <c r="U88" s="39"/>
      <c r="V88" s="37"/>
      <c r="W88" s="39"/>
      <c r="X88" s="37"/>
      <c r="Y88" s="39"/>
      <c r="Z88" s="37"/>
      <c r="AA88" s="39"/>
      <c r="AB88" s="37"/>
      <c r="AC88" s="39"/>
    </row>
    <row r="89" spans="1:29" x14ac:dyDescent="0.45">
      <c r="A89" s="37"/>
      <c r="B89" s="37"/>
      <c r="C89" s="37"/>
      <c r="D89" s="37"/>
      <c r="E89" s="37"/>
      <c r="F89" s="37"/>
      <c r="G89" s="39"/>
      <c r="H89" s="37"/>
      <c r="I89" s="39"/>
      <c r="J89" s="37"/>
      <c r="K89" s="39"/>
      <c r="L89" s="37"/>
      <c r="M89" s="39"/>
      <c r="N89" s="37"/>
      <c r="O89" s="39"/>
      <c r="P89" s="37"/>
      <c r="Q89" s="39"/>
      <c r="R89" s="37"/>
      <c r="S89" s="39"/>
      <c r="T89" s="37"/>
      <c r="U89" s="39"/>
      <c r="V89" s="37"/>
      <c r="W89" s="39"/>
      <c r="X89" s="37"/>
      <c r="Y89" s="39"/>
      <c r="Z89" s="37"/>
      <c r="AA89" s="39"/>
      <c r="AB89" s="37"/>
      <c r="AC89" s="39"/>
    </row>
    <row r="90" spans="1:29" x14ac:dyDescent="0.45">
      <c r="A90" s="37"/>
      <c r="B90" s="37"/>
      <c r="C90" s="37"/>
      <c r="D90" s="37"/>
      <c r="E90" s="37"/>
      <c r="F90" s="37"/>
      <c r="G90" s="39"/>
      <c r="H90" s="37"/>
      <c r="I90" s="39"/>
      <c r="J90" s="37"/>
      <c r="K90" s="39"/>
      <c r="L90" s="37"/>
      <c r="M90" s="39"/>
      <c r="N90" s="37"/>
      <c r="O90" s="39"/>
      <c r="P90" s="37"/>
      <c r="Q90" s="39"/>
      <c r="R90" s="37"/>
      <c r="S90" s="39"/>
      <c r="T90" s="37"/>
      <c r="U90" s="39"/>
      <c r="V90" s="37"/>
      <c r="W90" s="39"/>
      <c r="X90" s="37"/>
      <c r="Y90" s="39"/>
      <c r="Z90" s="37"/>
      <c r="AA90" s="39"/>
      <c r="AB90" s="37"/>
      <c r="AC90" s="39"/>
    </row>
    <row r="91" spans="1:29" x14ac:dyDescent="0.45">
      <c r="A91" s="37"/>
      <c r="B91" s="37"/>
      <c r="C91" s="37"/>
      <c r="D91" s="37"/>
      <c r="E91" s="37"/>
      <c r="F91" s="37"/>
      <c r="G91" s="39"/>
      <c r="H91" s="37"/>
      <c r="I91" s="39"/>
      <c r="J91" s="37"/>
      <c r="K91" s="39"/>
      <c r="L91" s="37"/>
      <c r="M91" s="39"/>
      <c r="N91" s="37"/>
      <c r="O91" s="39"/>
      <c r="P91" s="37"/>
      <c r="Q91" s="39"/>
      <c r="R91" s="37"/>
      <c r="S91" s="39"/>
      <c r="T91" s="37"/>
      <c r="U91" s="39"/>
      <c r="V91" s="37"/>
      <c r="W91" s="39"/>
      <c r="X91" s="37"/>
      <c r="Y91" s="39"/>
      <c r="Z91" s="37"/>
      <c r="AA91" s="39"/>
      <c r="AB91" s="37"/>
      <c r="AC91" s="39"/>
    </row>
    <row r="92" spans="1:29" x14ac:dyDescent="0.45">
      <c r="A92" s="37"/>
      <c r="B92" s="37"/>
      <c r="C92" s="37"/>
      <c r="D92" s="37"/>
      <c r="E92" s="37"/>
      <c r="F92" s="37"/>
      <c r="G92" s="39"/>
      <c r="H92" s="37"/>
      <c r="I92" s="39"/>
      <c r="J92" s="37"/>
      <c r="K92" s="39"/>
      <c r="L92" s="37"/>
      <c r="M92" s="39"/>
      <c r="N92" s="37"/>
      <c r="O92" s="39"/>
      <c r="P92" s="37"/>
      <c r="Q92" s="39"/>
      <c r="R92" s="37"/>
      <c r="S92" s="39"/>
      <c r="T92" s="37"/>
      <c r="U92" s="39"/>
      <c r="V92" s="37"/>
      <c r="W92" s="39"/>
      <c r="X92" s="37"/>
      <c r="Y92" s="39"/>
      <c r="Z92" s="37"/>
      <c r="AA92" s="39"/>
      <c r="AB92" s="37"/>
      <c r="AC92" s="39"/>
    </row>
    <row r="93" spans="1:29" x14ac:dyDescent="0.45">
      <c r="A93" s="37"/>
      <c r="B93" s="37"/>
      <c r="C93" s="37"/>
      <c r="D93" s="37"/>
      <c r="E93" s="37"/>
      <c r="F93" s="37"/>
      <c r="G93" s="39"/>
      <c r="H93" s="37"/>
      <c r="I93" s="39"/>
      <c r="J93" s="37"/>
      <c r="K93" s="39"/>
      <c r="L93" s="37"/>
      <c r="M93" s="39"/>
      <c r="N93" s="37"/>
      <c r="O93" s="39"/>
      <c r="P93" s="37"/>
      <c r="Q93" s="39"/>
      <c r="R93" s="37"/>
      <c r="S93" s="39"/>
      <c r="T93" s="37"/>
      <c r="U93" s="39"/>
      <c r="V93" s="37"/>
      <c r="W93" s="39"/>
      <c r="X93" s="37"/>
      <c r="Y93" s="39"/>
      <c r="Z93" s="37"/>
      <c r="AA93" s="39"/>
      <c r="AB93" s="37"/>
      <c r="AC93" s="39"/>
    </row>
    <row r="94" spans="1:29" x14ac:dyDescent="0.45">
      <c r="A94" s="37"/>
      <c r="B94" s="37"/>
      <c r="C94" s="37"/>
      <c r="D94" s="37"/>
      <c r="E94" s="37"/>
      <c r="F94" s="37"/>
      <c r="G94" s="39"/>
      <c r="H94" s="37"/>
      <c r="I94" s="39"/>
      <c r="J94" s="37"/>
      <c r="K94" s="39"/>
      <c r="L94" s="37"/>
      <c r="M94" s="39"/>
      <c r="N94" s="37"/>
      <c r="O94" s="39"/>
      <c r="P94" s="37"/>
      <c r="Q94" s="39"/>
      <c r="R94" s="37"/>
      <c r="S94" s="39"/>
      <c r="T94" s="37"/>
      <c r="U94" s="39"/>
      <c r="V94" s="37"/>
      <c r="W94" s="39"/>
      <c r="X94" s="37"/>
      <c r="Y94" s="39"/>
      <c r="Z94" s="37"/>
      <c r="AA94" s="39"/>
      <c r="AB94" s="37"/>
      <c r="AC94" s="39"/>
    </row>
    <row r="95" spans="1:29" x14ac:dyDescent="0.45">
      <c r="A95" s="37"/>
      <c r="B95" s="37"/>
      <c r="C95" s="37"/>
      <c r="D95" s="37"/>
      <c r="E95" s="37"/>
      <c r="F95" s="37"/>
      <c r="G95" s="39"/>
      <c r="H95" s="37"/>
      <c r="I95" s="39"/>
      <c r="J95" s="37"/>
      <c r="K95" s="39"/>
      <c r="L95" s="37"/>
      <c r="M95" s="39"/>
      <c r="N95" s="37"/>
      <c r="O95" s="39"/>
      <c r="P95" s="37"/>
      <c r="Q95" s="39"/>
      <c r="R95" s="37"/>
      <c r="S95" s="39"/>
      <c r="T95" s="37"/>
      <c r="U95" s="39"/>
      <c r="V95" s="37"/>
      <c r="W95" s="39"/>
      <c r="X95" s="37"/>
      <c r="Y95" s="39"/>
      <c r="Z95" s="37"/>
      <c r="AA95" s="39"/>
      <c r="AB95" s="37"/>
      <c r="AC95" s="39"/>
    </row>
    <row r="96" spans="1:29" x14ac:dyDescent="0.45">
      <c r="A96" s="37"/>
      <c r="B96" s="37"/>
      <c r="C96" s="37"/>
      <c r="D96" s="37"/>
      <c r="E96" s="37"/>
      <c r="F96" s="37"/>
      <c r="G96" s="39"/>
      <c r="H96" s="37"/>
      <c r="I96" s="39"/>
      <c r="J96" s="37"/>
      <c r="K96" s="39"/>
      <c r="L96" s="37"/>
      <c r="M96" s="39"/>
      <c r="N96" s="37"/>
      <c r="O96" s="39"/>
      <c r="P96" s="37"/>
      <c r="Q96" s="39"/>
      <c r="R96" s="37"/>
      <c r="S96" s="39"/>
      <c r="T96" s="37"/>
      <c r="U96" s="39"/>
      <c r="V96" s="37"/>
      <c r="W96" s="39"/>
      <c r="X96" s="37"/>
      <c r="Y96" s="39"/>
      <c r="Z96" s="37"/>
      <c r="AA96" s="39"/>
      <c r="AB96" s="37"/>
      <c r="AC96" s="39"/>
    </row>
    <row r="97" spans="1:29" x14ac:dyDescent="0.45">
      <c r="A97" s="37"/>
      <c r="B97" s="37"/>
      <c r="C97" s="37"/>
      <c r="D97" s="37"/>
      <c r="E97" s="37"/>
      <c r="F97" s="37"/>
      <c r="G97" s="39"/>
      <c r="H97" s="37"/>
      <c r="I97" s="39"/>
      <c r="J97" s="37"/>
      <c r="K97" s="39"/>
      <c r="L97" s="37"/>
      <c r="M97" s="39"/>
      <c r="N97" s="37"/>
      <c r="O97" s="39"/>
      <c r="P97" s="37"/>
      <c r="Q97" s="39"/>
      <c r="R97" s="37"/>
      <c r="S97" s="39"/>
      <c r="T97" s="37"/>
      <c r="U97" s="39"/>
      <c r="V97" s="37"/>
      <c r="W97" s="39"/>
      <c r="X97" s="37"/>
      <c r="Y97" s="39"/>
      <c r="Z97" s="37"/>
      <c r="AA97" s="39"/>
      <c r="AB97" s="37"/>
      <c r="AC97" s="39"/>
    </row>
    <row r="98" spans="1:29" x14ac:dyDescent="0.45">
      <c r="A98" s="37"/>
      <c r="B98" s="37"/>
      <c r="C98" s="37"/>
      <c r="D98" s="37"/>
      <c r="E98" s="37"/>
      <c r="F98" s="37"/>
      <c r="G98" s="39"/>
      <c r="H98" s="37"/>
      <c r="I98" s="39"/>
      <c r="J98" s="37"/>
      <c r="K98" s="39"/>
      <c r="L98" s="37"/>
      <c r="M98" s="39"/>
      <c r="N98" s="37"/>
      <c r="O98" s="39"/>
      <c r="P98" s="37"/>
      <c r="Q98" s="39"/>
      <c r="R98" s="37"/>
      <c r="S98" s="39"/>
      <c r="T98" s="37"/>
      <c r="U98" s="39"/>
      <c r="V98" s="37"/>
      <c r="W98" s="39"/>
      <c r="X98" s="37"/>
      <c r="Y98" s="39"/>
      <c r="Z98" s="37"/>
      <c r="AA98" s="39"/>
      <c r="AB98" s="37"/>
      <c r="AC98" s="39"/>
    </row>
    <row r="99" spans="1:29" x14ac:dyDescent="0.45">
      <c r="A99" s="37"/>
      <c r="B99" s="37"/>
      <c r="C99" s="37"/>
      <c r="D99" s="37"/>
      <c r="E99" s="37"/>
      <c r="F99" s="37"/>
      <c r="G99" s="39"/>
      <c r="H99" s="37"/>
      <c r="I99" s="39"/>
      <c r="J99" s="37"/>
      <c r="K99" s="39"/>
      <c r="L99" s="37"/>
      <c r="M99" s="39"/>
      <c r="N99" s="37"/>
      <c r="O99" s="39"/>
      <c r="P99" s="37"/>
      <c r="Q99" s="39"/>
      <c r="R99" s="37"/>
      <c r="S99" s="39"/>
      <c r="T99" s="37"/>
      <c r="U99" s="39"/>
      <c r="V99" s="37"/>
      <c r="W99" s="39"/>
      <c r="X99" s="37"/>
      <c r="Y99" s="39"/>
      <c r="Z99" s="37"/>
      <c r="AA99" s="39"/>
      <c r="AB99" s="37"/>
      <c r="AC99" s="39"/>
    </row>
    <row r="100" spans="1:29" x14ac:dyDescent="0.45">
      <c r="A100" s="37"/>
      <c r="B100" s="37"/>
      <c r="C100" s="37"/>
      <c r="D100" s="37"/>
      <c r="E100" s="37"/>
      <c r="F100" s="37"/>
      <c r="G100" s="39"/>
      <c r="H100" s="37"/>
      <c r="I100" s="39"/>
      <c r="J100" s="37"/>
      <c r="K100" s="39"/>
      <c r="L100" s="37"/>
      <c r="M100" s="39"/>
      <c r="N100" s="37"/>
      <c r="O100" s="39"/>
      <c r="P100" s="37"/>
      <c r="Q100" s="39"/>
      <c r="R100" s="37"/>
      <c r="S100" s="39"/>
      <c r="T100" s="37"/>
      <c r="U100" s="39"/>
      <c r="V100" s="37"/>
      <c r="W100" s="39"/>
      <c r="X100" s="37"/>
      <c r="Y100" s="39"/>
      <c r="Z100" s="37"/>
      <c r="AA100" s="39"/>
      <c r="AB100" s="37"/>
      <c r="AC100" s="39"/>
    </row>
    <row r="101" spans="1:29" x14ac:dyDescent="0.45">
      <c r="A101" s="37"/>
      <c r="B101" s="37"/>
      <c r="C101" s="37"/>
      <c r="D101" s="37"/>
      <c r="E101" s="37"/>
      <c r="F101" s="37"/>
      <c r="G101" s="39"/>
      <c r="H101" s="37"/>
      <c r="I101" s="39"/>
      <c r="J101" s="37"/>
      <c r="K101" s="39"/>
      <c r="L101" s="37"/>
      <c r="M101" s="39"/>
      <c r="N101" s="37"/>
      <c r="O101" s="39"/>
      <c r="P101" s="37"/>
      <c r="Q101" s="39"/>
      <c r="R101" s="37"/>
      <c r="S101" s="39"/>
      <c r="T101" s="37"/>
      <c r="U101" s="39"/>
      <c r="V101" s="37"/>
      <c r="W101" s="39"/>
      <c r="X101" s="37"/>
      <c r="Y101" s="39"/>
      <c r="Z101" s="37"/>
      <c r="AA101" s="39"/>
      <c r="AB101" s="37"/>
      <c r="AC101" s="39"/>
    </row>
    <row r="102" spans="1:29" x14ac:dyDescent="0.45">
      <c r="A102" s="37"/>
      <c r="B102" s="37"/>
      <c r="C102" s="37"/>
      <c r="D102" s="37"/>
      <c r="E102" s="37"/>
      <c r="F102" s="37"/>
      <c r="G102" s="39"/>
      <c r="H102" s="37"/>
      <c r="I102" s="39"/>
      <c r="J102" s="37"/>
      <c r="K102" s="39"/>
      <c r="L102" s="37"/>
      <c r="M102" s="39"/>
      <c r="N102" s="37"/>
      <c r="O102" s="39"/>
      <c r="P102" s="37"/>
      <c r="Q102" s="39"/>
      <c r="R102" s="37"/>
      <c r="S102" s="39"/>
      <c r="T102" s="37"/>
      <c r="U102" s="39"/>
      <c r="V102" s="37"/>
      <c r="W102" s="39"/>
      <c r="X102" s="37"/>
      <c r="Y102" s="39"/>
      <c r="Z102" s="37"/>
      <c r="AA102" s="39"/>
      <c r="AB102" s="37"/>
      <c r="AC102" s="39"/>
    </row>
    <row r="103" spans="1:29" x14ac:dyDescent="0.45">
      <c r="A103" s="37"/>
      <c r="B103" s="37"/>
      <c r="C103" s="37"/>
      <c r="D103" s="37"/>
      <c r="E103" s="37"/>
      <c r="F103" s="37"/>
      <c r="G103" s="39"/>
      <c r="H103" s="37"/>
      <c r="I103" s="39"/>
      <c r="J103" s="37"/>
      <c r="K103" s="39"/>
      <c r="L103" s="37"/>
      <c r="M103" s="39"/>
      <c r="N103" s="37"/>
      <c r="O103" s="39"/>
      <c r="P103" s="37"/>
      <c r="Q103" s="39"/>
      <c r="R103" s="37"/>
      <c r="S103" s="39"/>
      <c r="T103" s="37"/>
      <c r="U103" s="39"/>
      <c r="V103" s="37"/>
      <c r="W103" s="39"/>
      <c r="X103" s="37"/>
      <c r="Y103" s="39"/>
      <c r="Z103" s="37"/>
      <c r="AA103" s="39"/>
      <c r="AB103" s="37"/>
      <c r="AC103" s="39"/>
    </row>
    <row r="104" spans="1:29" x14ac:dyDescent="0.45">
      <c r="A104" s="37"/>
      <c r="B104" s="37"/>
      <c r="C104" s="37"/>
      <c r="D104" s="37"/>
      <c r="E104" s="37"/>
      <c r="F104" s="37"/>
      <c r="G104" s="39"/>
      <c r="H104" s="37"/>
      <c r="I104" s="39"/>
      <c r="J104" s="37"/>
      <c r="K104" s="39"/>
      <c r="L104" s="37"/>
      <c r="M104" s="39"/>
      <c r="N104" s="37"/>
      <c r="O104" s="39"/>
      <c r="P104" s="37"/>
      <c r="Q104" s="39"/>
      <c r="R104" s="37"/>
      <c r="S104" s="39"/>
      <c r="T104" s="37"/>
      <c r="U104" s="39"/>
      <c r="V104" s="37"/>
      <c r="W104" s="39"/>
      <c r="X104" s="37"/>
      <c r="Y104" s="39"/>
      <c r="Z104" s="37"/>
      <c r="AA104" s="39"/>
      <c r="AB104" s="37"/>
      <c r="AC104" s="39"/>
    </row>
    <row r="105" spans="1:29" x14ac:dyDescent="0.45">
      <c r="A105" s="37"/>
      <c r="B105" s="37"/>
      <c r="C105" s="37"/>
      <c r="D105" s="37"/>
      <c r="E105" s="37"/>
      <c r="F105" s="37"/>
      <c r="G105" s="39"/>
      <c r="H105" s="37"/>
      <c r="I105" s="39"/>
      <c r="J105" s="37"/>
      <c r="K105" s="39"/>
      <c r="L105" s="37"/>
      <c r="M105" s="39"/>
      <c r="N105" s="37"/>
      <c r="O105" s="39"/>
      <c r="P105" s="37"/>
      <c r="Q105" s="39"/>
      <c r="R105" s="37"/>
      <c r="S105" s="39"/>
      <c r="T105" s="37"/>
      <c r="U105" s="39"/>
      <c r="V105" s="37"/>
      <c r="W105" s="39"/>
      <c r="X105" s="37"/>
      <c r="Y105" s="39"/>
      <c r="Z105" s="37"/>
      <c r="AA105" s="39"/>
      <c r="AB105" s="37"/>
      <c r="AC105" s="39"/>
    </row>
    <row r="106" spans="1:29" x14ac:dyDescent="0.45">
      <c r="A106" s="37"/>
      <c r="B106" s="37"/>
      <c r="C106" s="37"/>
      <c r="D106" s="37"/>
      <c r="E106" s="37"/>
      <c r="F106" s="37"/>
      <c r="G106" s="39"/>
      <c r="H106" s="37"/>
      <c r="I106" s="39"/>
      <c r="J106" s="37"/>
      <c r="K106" s="39"/>
      <c r="L106" s="37"/>
      <c r="M106" s="39"/>
      <c r="N106" s="37"/>
      <c r="O106" s="39"/>
      <c r="P106" s="37"/>
      <c r="Q106" s="39"/>
      <c r="R106" s="37"/>
      <c r="S106" s="39"/>
      <c r="T106" s="37"/>
      <c r="U106" s="39"/>
      <c r="V106" s="37"/>
      <c r="W106" s="39"/>
      <c r="X106" s="37"/>
      <c r="Y106" s="39"/>
      <c r="Z106" s="37"/>
      <c r="AA106" s="39"/>
      <c r="AB106" s="37"/>
      <c r="AC106" s="39"/>
    </row>
    <row r="107" spans="1:29" x14ac:dyDescent="0.45">
      <c r="A107" s="37"/>
      <c r="B107" s="37"/>
      <c r="C107" s="37"/>
      <c r="D107" s="37"/>
      <c r="E107" s="37"/>
      <c r="F107" s="37"/>
      <c r="G107" s="39"/>
      <c r="H107" s="37"/>
      <c r="I107" s="39"/>
      <c r="J107" s="37"/>
      <c r="K107" s="39"/>
      <c r="L107" s="37"/>
      <c r="M107" s="39"/>
      <c r="N107" s="37"/>
      <c r="O107" s="39"/>
      <c r="P107" s="37"/>
      <c r="Q107" s="39"/>
      <c r="R107" s="37"/>
      <c r="S107" s="39"/>
      <c r="T107" s="37"/>
      <c r="U107" s="39"/>
      <c r="V107" s="37"/>
      <c r="W107" s="39"/>
      <c r="X107" s="37"/>
      <c r="Y107" s="39"/>
      <c r="Z107" s="37"/>
      <c r="AA107" s="39"/>
      <c r="AB107" s="37"/>
      <c r="AC107" s="39"/>
    </row>
    <row r="108" spans="1:29" x14ac:dyDescent="0.45">
      <c r="A108" s="37"/>
      <c r="B108" s="37"/>
      <c r="C108" s="37"/>
      <c r="D108" s="37"/>
      <c r="E108" s="37"/>
      <c r="F108" s="37"/>
      <c r="G108" s="39"/>
      <c r="H108" s="37"/>
      <c r="I108" s="39"/>
      <c r="J108" s="37"/>
      <c r="K108" s="39"/>
      <c r="L108" s="37"/>
      <c r="M108" s="39"/>
      <c r="N108" s="37"/>
      <c r="O108" s="39"/>
      <c r="P108" s="37"/>
      <c r="Q108" s="39"/>
      <c r="R108" s="37"/>
      <c r="S108" s="39"/>
      <c r="T108" s="37"/>
      <c r="U108" s="39"/>
      <c r="V108" s="37"/>
      <c r="W108" s="39"/>
      <c r="X108" s="37"/>
      <c r="Y108" s="39"/>
      <c r="Z108" s="37"/>
      <c r="AA108" s="39"/>
      <c r="AB108" s="37"/>
      <c r="AC108" s="39"/>
    </row>
    <row r="109" spans="1:29" x14ac:dyDescent="0.45">
      <c r="A109" s="37"/>
      <c r="B109" s="37"/>
      <c r="C109" s="37"/>
      <c r="D109" s="37"/>
      <c r="E109" s="37"/>
      <c r="F109" s="37"/>
      <c r="G109" s="39"/>
      <c r="H109" s="37"/>
      <c r="I109" s="39"/>
      <c r="J109" s="37"/>
      <c r="K109" s="39"/>
      <c r="L109" s="37"/>
      <c r="M109" s="39"/>
      <c r="N109" s="37"/>
      <c r="O109" s="39"/>
      <c r="P109" s="37"/>
      <c r="Q109" s="39"/>
      <c r="R109" s="37"/>
      <c r="S109" s="39"/>
      <c r="T109" s="37"/>
      <c r="U109" s="39"/>
      <c r="V109" s="37"/>
      <c r="W109" s="39"/>
      <c r="X109" s="37"/>
      <c r="Y109" s="39"/>
      <c r="Z109" s="37"/>
      <c r="AA109" s="39"/>
      <c r="AB109" s="37"/>
      <c r="AC109" s="39"/>
    </row>
    <row r="110" spans="1:29" x14ac:dyDescent="0.45">
      <c r="A110" s="37"/>
      <c r="B110" s="37"/>
      <c r="C110" s="37"/>
      <c r="D110" s="37"/>
      <c r="E110" s="37"/>
      <c r="F110" s="37"/>
      <c r="G110" s="39"/>
      <c r="H110" s="37"/>
      <c r="I110" s="39"/>
      <c r="J110" s="37"/>
      <c r="K110" s="39"/>
      <c r="L110" s="37"/>
      <c r="M110" s="39"/>
      <c r="N110" s="37"/>
      <c r="O110" s="39"/>
      <c r="P110" s="37"/>
      <c r="Q110" s="39"/>
      <c r="R110" s="37"/>
      <c r="S110" s="39"/>
      <c r="T110" s="37"/>
      <c r="U110" s="39"/>
      <c r="V110" s="37"/>
      <c r="W110" s="39"/>
      <c r="X110" s="37"/>
      <c r="Y110" s="39"/>
      <c r="Z110" s="37"/>
      <c r="AA110" s="39"/>
      <c r="AB110" s="37"/>
      <c r="AC110" s="39"/>
    </row>
    <row r="111" spans="1:29" x14ac:dyDescent="0.45">
      <c r="A111" s="37"/>
      <c r="B111" s="37"/>
      <c r="C111" s="37"/>
      <c r="D111" s="37"/>
      <c r="E111" s="37"/>
      <c r="F111" s="37"/>
      <c r="G111" s="39"/>
      <c r="H111" s="37"/>
      <c r="I111" s="39"/>
      <c r="J111" s="37"/>
      <c r="K111" s="39"/>
      <c r="L111" s="37"/>
      <c r="M111" s="39"/>
      <c r="N111" s="37"/>
      <c r="O111" s="39"/>
      <c r="P111" s="37"/>
      <c r="Q111" s="39"/>
      <c r="R111" s="37"/>
      <c r="S111" s="39"/>
      <c r="T111" s="37"/>
      <c r="U111" s="39"/>
      <c r="V111" s="37"/>
      <c r="W111" s="39"/>
      <c r="X111" s="37"/>
      <c r="Y111" s="39"/>
      <c r="Z111" s="37"/>
      <c r="AA111" s="39"/>
      <c r="AB111" s="37"/>
      <c r="AC111" s="39"/>
    </row>
    <row r="112" spans="1:29" x14ac:dyDescent="0.45">
      <c r="A112" s="37"/>
      <c r="B112" s="37"/>
      <c r="C112" s="37"/>
      <c r="D112" s="37"/>
      <c r="E112" s="37"/>
      <c r="F112" s="37"/>
      <c r="G112" s="39"/>
      <c r="H112" s="37"/>
      <c r="I112" s="39"/>
      <c r="J112" s="37"/>
      <c r="K112" s="39"/>
      <c r="L112" s="37"/>
      <c r="M112" s="39"/>
      <c r="N112" s="37"/>
      <c r="O112" s="39"/>
      <c r="P112" s="37"/>
      <c r="Q112" s="39"/>
      <c r="R112" s="37"/>
      <c r="S112" s="39"/>
      <c r="T112" s="37"/>
      <c r="U112" s="39"/>
      <c r="V112" s="37"/>
      <c r="W112" s="39"/>
      <c r="X112" s="37"/>
      <c r="Y112" s="39"/>
      <c r="Z112" s="37"/>
      <c r="AA112" s="39"/>
      <c r="AB112" s="37"/>
      <c r="AC112" s="39"/>
    </row>
    <row r="113" spans="1:29" x14ac:dyDescent="0.45">
      <c r="A113" s="37"/>
      <c r="B113" s="37"/>
      <c r="C113" s="37"/>
      <c r="D113" s="37"/>
      <c r="E113" s="37"/>
      <c r="F113" s="37"/>
      <c r="G113" s="39"/>
      <c r="H113" s="37"/>
      <c r="I113" s="39"/>
      <c r="J113" s="37"/>
      <c r="K113" s="39"/>
      <c r="L113" s="37"/>
      <c r="M113" s="39"/>
      <c r="N113" s="37"/>
      <c r="O113" s="39"/>
      <c r="P113" s="37"/>
      <c r="Q113" s="39"/>
      <c r="R113" s="37"/>
      <c r="S113" s="39"/>
      <c r="T113" s="37"/>
      <c r="U113" s="39"/>
      <c r="V113" s="37"/>
      <c r="W113" s="39"/>
      <c r="X113" s="37"/>
      <c r="Y113" s="39"/>
      <c r="Z113" s="37"/>
      <c r="AA113" s="39"/>
      <c r="AB113" s="37"/>
      <c r="AC113" s="39"/>
    </row>
    <row r="114" spans="1:29" x14ac:dyDescent="0.45">
      <c r="A114" s="37"/>
      <c r="B114" s="37"/>
      <c r="C114" s="37"/>
      <c r="D114" s="37"/>
      <c r="E114" s="37"/>
      <c r="F114" s="37"/>
      <c r="G114" s="39"/>
      <c r="H114" s="37"/>
      <c r="I114" s="39"/>
      <c r="J114" s="37"/>
      <c r="K114" s="39"/>
      <c r="L114" s="37"/>
      <c r="M114" s="39"/>
      <c r="N114" s="37"/>
      <c r="O114" s="39"/>
      <c r="P114" s="37"/>
      <c r="Q114" s="39"/>
      <c r="R114" s="37"/>
      <c r="S114" s="39"/>
      <c r="T114" s="37"/>
      <c r="U114" s="39"/>
      <c r="V114" s="37"/>
      <c r="W114" s="39"/>
      <c r="X114" s="37"/>
      <c r="Y114" s="39"/>
      <c r="Z114" s="37"/>
      <c r="AA114" s="39"/>
      <c r="AB114" s="37"/>
      <c r="AC114" s="39"/>
    </row>
    <row r="115" spans="1:29" x14ac:dyDescent="0.45">
      <c r="A115" s="37"/>
      <c r="B115" s="37"/>
      <c r="C115" s="37"/>
      <c r="D115" s="37"/>
      <c r="E115" s="37"/>
      <c r="F115" s="37"/>
      <c r="G115" s="39"/>
      <c r="H115" s="37"/>
      <c r="I115" s="39"/>
      <c r="J115" s="37"/>
      <c r="K115" s="39"/>
      <c r="L115" s="37"/>
      <c r="M115" s="39"/>
      <c r="N115" s="37"/>
      <c r="O115" s="39"/>
      <c r="P115" s="37"/>
      <c r="Q115" s="39"/>
      <c r="R115" s="37"/>
      <c r="S115" s="39"/>
      <c r="T115" s="37"/>
      <c r="U115" s="39"/>
      <c r="V115" s="37"/>
      <c r="W115" s="39"/>
      <c r="X115" s="37"/>
      <c r="Y115" s="39"/>
      <c r="Z115" s="37"/>
      <c r="AA115" s="39"/>
      <c r="AB115" s="37"/>
      <c r="AC115" s="39"/>
    </row>
    <row r="116" spans="1:29" x14ac:dyDescent="0.45">
      <c r="A116" s="37"/>
      <c r="B116" s="37"/>
      <c r="C116" s="37"/>
      <c r="D116" s="37"/>
      <c r="E116" s="37"/>
      <c r="F116" s="37"/>
      <c r="G116" s="39"/>
      <c r="H116" s="37"/>
      <c r="I116" s="39"/>
      <c r="J116" s="37"/>
      <c r="K116" s="39"/>
      <c r="L116" s="37"/>
      <c r="M116" s="39"/>
      <c r="N116" s="37"/>
      <c r="O116" s="39"/>
      <c r="P116" s="37"/>
      <c r="Q116" s="39"/>
      <c r="R116" s="37"/>
      <c r="S116" s="39"/>
      <c r="T116" s="37"/>
      <c r="U116" s="39"/>
      <c r="V116" s="37"/>
      <c r="W116" s="39"/>
      <c r="X116" s="37"/>
      <c r="Y116" s="39"/>
      <c r="Z116" s="37"/>
      <c r="AA116" s="39"/>
      <c r="AB116" s="37"/>
      <c r="AC116" s="39"/>
    </row>
    <row r="117" spans="1:29" x14ac:dyDescent="0.45">
      <c r="A117" s="37"/>
      <c r="B117" s="37"/>
      <c r="C117" s="37"/>
      <c r="D117" s="37"/>
      <c r="E117" s="37"/>
      <c r="F117" s="37"/>
      <c r="G117" s="39"/>
      <c r="H117" s="37"/>
      <c r="I117" s="39"/>
      <c r="J117" s="37"/>
      <c r="K117" s="39"/>
      <c r="L117" s="37"/>
      <c r="M117" s="39"/>
      <c r="N117" s="37"/>
      <c r="O117" s="39"/>
      <c r="P117" s="37"/>
      <c r="Q117" s="39"/>
      <c r="R117" s="37"/>
      <c r="S117" s="39"/>
      <c r="T117" s="37"/>
      <c r="U117" s="39"/>
      <c r="V117" s="37"/>
      <c r="W117" s="39"/>
      <c r="X117" s="37"/>
      <c r="Y117" s="39"/>
      <c r="Z117" s="37"/>
      <c r="AA117" s="39"/>
      <c r="AB117" s="37"/>
      <c r="AC117" s="39"/>
    </row>
    <row r="118" spans="1:29" x14ac:dyDescent="0.45">
      <c r="A118" s="37"/>
      <c r="B118" s="37"/>
      <c r="C118" s="37"/>
      <c r="D118" s="37"/>
      <c r="E118" s="37"/>
      <c r="F118" s="37"/>
      <c r="G118" s="39"/>
      <c r="H118" s="37"/>
      <c r="I118" s="39"/>
      <c r="J118" s="37"/>
      <c r="K118" s="39"/>
      <c r="L118" s="37"/>
      <c r="M118" s="39"/>
      <c r="N118" s="37"/>
      <c r="O118" s="39"/>
      <c r="P118" s="37"/>
      <c r="Q118" s="39"/>
      <c r="R118" s="37"/>
      <c r="S118" s="39"/>
      <c r="T118" s="37"/>
      <c r="U118" s="39"/>
      <c r="V118" s="37"/>
      <c r="W118" s="39"/>
      <c r="X118" s="37"/>
      <c r="Y118" s="39"/>
      <c r="Z118" s="37"/>
      <c r="AA118" s="39"/>
      <c r="AB118" s="37"/>
      <c r="AC118" s="39"/>
    </row>
    <row r="119" spans="1:29" x14ac:dyDescent="0.45">
      <c r="A119" s="37"/>
      <c r="B119" s="37"/>
      <c r="C119" s="37"/>
      <c r="D119" s="37"/>
      <c r="E119" s="37"/>
      <c r="F119" s="37"/>
      <c r="G119" s="39"/>
      <c r="H119" s="37"/>
      <c r="I119" s="39"/>
      <c r="J119" s="37"/>
      <c r="K119" s="39"/>
      <c r="L119" s="37"/>
      <c r="M119" s="39"/>
      <c r="N119" s="37"/>
      <c r="O119" s="39"/>
      <c r="P119" s="37"/>
      <c r="Q119" s="39"/>
      <c r="R119" s="37"/>
      <c r="S119" s="39"/>
      <c r="T119" s="37"/>
      <c r="U119" s="39"/>
      <c r="V119" s="37"/>
      <c r="W119" s="39"/>
      <c r="X119" s="37"/>
      <c r="Y119" s="39"/>
      <c r="Z119" s="37"/>
      <c r="AA119" s="39"/>
      <c r="AB119" s="37"/>
      <c r="AC119" s="39"/>
    </row>
    <row r="120" spans="1:29" x14ac:dyDescent="0.45">
      <c r="A120" s="37"/>
      <c r="B120" s="37"/>
      <c r="C120" s="37"/>
      <c r="D120" s="37"/>
      <c r="E120" s="37"/>
      <c r="F120" s="37"/>
      <c r="G120" s="39"/>
      <c r="H120" s="37"/>
      <c r="I120" s="39"/>
      <c r="J120" s="37"/>
      <c r="K120" s="39"/>
      <c r="L120" s="37"/>
      <c r="M120" s="39"/>
      <c r="N120" s="37"/>
      <c r="O120" s="39"/>
      <c r="P120" s="37"/>
      <c r="Q120" s="39"/>
      <c r="R120" s="37"/>
      <c r="S120" s="39"/>
      <c r="T120" s="37"/>
      <c r="U120" s="39"/>
      <c r="V120" s="37"/>
      <c r="W120" s="39"/>
      <c r="X120" s="37"/>
      <c r="Y120" s="39"/>
      <c r="Z120" s="37"/>
      <c r="AA120" s="39"/>
      <c r="AB120" s="37"/>
      <c r="AC120" s="39"/>
    </row>
    <row r="121" spans="1:29" x14ac:dyDescent="0.45">
      <c r="A121" s="37"/>
      <c r="B121" s="37"/>
      <c r="C121" s="37"/>
      <c r="D121" s="37"/>
      <c r="E121" s="37"/>
      <c r="F121" s="37"/>
      <c r="G121" s="39"/>
      <c r="H121" s="37"/>
      <c r="I121" s="39"/>
      <c r="J121" s="37"/>
      <c r="K121" s="39"/>
      <c r="L121" s="37"/>
      <c r="M121" s="39"/>
      <c r="N121" s="37"/>
      <c r="O121" s="39"/>
      <c r="P121" s="37"/>
      <c r="Q121" s="39"/>
      <c r="R121" s="37"/>
      <c r="S121" s="39"/>
      <c r="T121" s="37"/>
      <c r="U121" s="39"/>
      <c r="V121" s="37"/>
      <c r="W121" s="39"/>
      <c r="X121" s="37"/>
      <c r="Y121" s="39"/>
      <c r="Z121" s="37"/>
      <c r="AA121" s="39"/>
      <c r="AB121" s="37"/>
      <c r="AC121" s="39"/>
    </row>
    <row r="122" spans="1:29" x14ac:dyDescent="0.45">
      <c r="A122" s="37"/>
      <c r="B122" s="37"/>
      <c r="C122" s="37"/>
      <c r="D122" s="37"/>
      <c r="E122" s="37"/>
      <c r="F122" s="37"/>
      <c r="G122" s="39"/>
      <c r="H122" s="37"/>
      <c r="I122" s="39"/>
      <c r="J122" s="37"/>
      <c r="K122" s="39"/>
      <c r="L122" s="37"/>
      <c r="M122" s="39"/>
      <c r="N122" s="37"/>
      <c r="O122" s="39"/>
      <c r="P122" s="37"/>
      <c r="Q122" s="39"/>
      <c r="R122" s="37"/>
      <c r="S122" s="39"/>
      <c r="T122" s="37"/>
      <c r="U122" s="39"/>
      <c r="V122" s="37"/>
      <c r="W122" s="39"/>
      <c r="X122" s="37"/>
      <c r="Y122" s="39"/>
      <c r="Z122" s="37"/>
      <c r="AA122" s="39"/>
      <c r="AB122" s="37"/>
      <c r="AC122" s="39"/>
    </row>
    <row r="123" spans="1:29" x14ac:dyDescent="0.45">
      <c r="A123" s="37"/>
      <c r="B123" s="37"/>
      <c r="C123" s="37"/>
      <c r="D123" s="37"/>
      <c r="E123" s="37"/>
      <c r="F123" s="37"/>
      <c r="G123" s="39"/>
      <c r="H123" s="37"/>
      <c r="I123" s="39"/>
      <c r="J123" s="37"/>
      <c r="K123" s="39"/>
      <c r="L123" s="37"/>
      <c r="M123" s="39"/>
      <c r="N123" s="37"/>
      <c r="O123" s="39"/>
      <c r="P123" s="37"/>
      <c r="Q123" s="39"/>
      <c r="R123" s="37"/>
      <c r="S123" s="39"/>
      <c r="T123" s="37"/>
      <c r="U123" s="39"/>
      <c r="V123" s="37"/>
      <c r="W123" s="39"/>
      <c r="X123" s="37"/>
      <c r="Y123" s="39"/>
      <c r="Z123" s="37"/>
      <c r="AA123" s="39"/>
      <c r="AB123" s="37"/>
      <c r="AC123" s="39"/>
    </row>
    <row r="124" spans="1:29" x14ac:dyDescent="0.45">
      <c r="A124" s="37"/>
      <c r="B124" s="37"/>
      <c r="C124" s="37"/>
      <c r="D124" s="37"/>
      <c r="E124" s="37"/>
      <c r="F124" s="37"/>
      <c r="G124" s="39"/>
      <c r="H124" s="37"/>
      <c r="I124" s="39"/>
      <c r="J124" s="37"/>
      <c r="K124" s="39"/>
      <c r="L124" s="37"/>
      <c r="M124" s="39"/>
      <c r="N124" s="37"/>
      <c r="O124" s="39"/>
      <c r="P124" s="37"/>
      <c r="Q124" s="39"/>
      <c r="R124" s="37"/>
      <c r="S124" s="39"/>
      <c r="T124" s="37"/>
      <c r="U124" s="39"/>
      <c r="V124" s="37"/>
      <c r="W124" s="39"/>
      <c r="X124" s="37"/>
      <c r="Y124" s="39"/>
      <c r="Z124" s="37"/>
      <c r="AA124" s="39"/>
      <c r="AB124" s="37"/>
      <c r="AC124" s="39"/>
    </row>
    <row r="125" spans="1:29" x14ac:dyDescent="0.45">
      <c r="A125" s="37"/>
      <c r="B125" s="37"/>
      <c r="C125" s="37"/>
      <c r="D125" s="37"/>
      <c r="E125" s="37"/>
      <c r="F125" s="37"/>
      <c r="G125" s="39"/>
      <c r="H125" s="37"/>
      <c r="I125" s="39"/>
      <c r="J125" s="37"/>
      <c r="K125" s="39"/>
      <c r="L125" s="37"/>
      <c r="M125" s="39"/>
      <c r="N125" s="37"/>
      <c r="O125" s="39"/>
      <c r="P125" s="37"/>
      <c r="Q125" s="39"/>
      <c r="R125" s="37"/>
      <c r="S125" s="39"/>
      <c r="T125" s="37"/>
      <c r="U125" s="39"/>
      <c r="V125" s="37"/>
      <c r="W125" s="39"/>
      <c r="X125" s="37"/>
      <c r="Y125" s="39"/>
      <c r="Z125" s="37"/>
      <c r="AA125" s="39"/>
      <c r="AB125" s="37"/>
      <c r="AC125" s="39"/>
    </row>
    <row r="126" spans="1:29" x14ac:dyDescent="0.45">
      <c r="A126" s="37"/>
      <c r="B126" s="37"/>
      <c r="C126" s="37"/>
      <c r="D126" s="37"/>
      <c r="E126" s="37"/>
      <c r="F126" s="37"/>
      <c r="G126" s="39"/>
      <c r="H126" s="37"/>
      <c r="I126" s="39"/>
      <c r="J126" s="37"/>
      <c r="K126" s="39"/>
      <c r="L126" s="37"/>
      <c r="M126" s="39"/>
      <c r="N126" s="37"/>
      <c r="O126" s="39"/>
      <c r="P126" s="37"/>
      <c r="Q126" s="39"/>
      <c r="R126" s="37"/>
      <c r="S126" s="39"/>
      <c r="T126" s="37"/>
      <c r="U126" s="39"/>
      <c r="V126" s="37"/>
      <c r="W126" s="39"/>
      <c r="X126" s="37"/>
      <c r="Y126" s="39"/>
      <c r="Z126" s="37"/>
      <c r="AA126" s="39"/>
      <c r="AB126" s="37"/>
      <c r="AC126" s="39"/>
    </row>
    <row r="127" spans="1:29" x14ac:dyDescent="0.45">
      <c r="A127" s="37"/>
      <c r="B127" s="37"/>
      <c r="C127" s="37"/>
      <c r="D127" s="37"/>
      <c r="E127" s="37"/>
      <c r="F127" s="37"/>
      <c r="G127" s="39"/>
      <c r="H127" s="37"/>
      <c r="I127" s="39"/>
      <c r="J127" s="37"/>
      <c r="K127" s="39"/>
      <c r="L127" s="37"/>
      <c r="M127" s="39"/>
      <c r="N127" s="37"/>
      <c r="O127" s="39"/>
      <c r="P127" s="37"/>
      <c r="Q127" s="39"/>
      <c r="R127" s="37"/>
      <c r="S127" s="39"/>
      <c r="T127" s="37"/>
      <c r="U127" s="39"/>
      <c r="V127" s="37"/>
      <c r="W127" s="39"/>
      <c r="X127" s="37"/>
      <c r="Y127" s="39"/>
      <c r="Z127" s="37"/>
      <c r="AA127" s="39"/>
      <c r="AB127" s="37"/>
      <c r="AC127" s="39"/>
    </row>
    <row r="128" spans="1:29" x14ac:dyDescent="0.45">
      <c r="A128" s="37"/>
      <c r="B128" s="37"/>
      <c r="C128" s="37"/>
      <c r="D128" s="37"/>
      <c r="E128" s="37"/>
      <c r="F128" s="37"/>
      <c r="G128" s="39"/>
      <c r="H128" s="37"/>
      <c r="I128" s="39"/>
      <c r="J128" s="37"/>
      <c r="K128" s="39"/>
      <c r="L128" s="37"/>
      <c r="M128" s="39"/>
      <c r="N128" s="37"/>
      <c r="O128" s="39"/>
      <c r="P128" s="37"/>
      <c r="Q128" s="39"/>
      <c r="R128" s="37"/>
      <c r="S128" s="39"/>
      <c r="T128" s="37"/>
      <c r="U128" s="39"/>
      <c r="V128" s="37"/>
      <c r="W128" s="39"/>
      <c r="X128" s="37"/>
      <c r="Y128" s="39"/>
      <c r="Z128" s="37"/>
      <c r="AA128" s="39"/>
      <c r="AB128" s="37"/>
      <c r="AC128" s="39"/>
    </row>
    <row r="129" spans="1:29" x14ac:dyDescent="0.45">
      <c r="A129" s="37"/>
      <c r="B129" s="37"/>
      <c r="C129" s="37"/>
      <c r="D129" s="37"/>
      <c r="E129" s="37"/>
      <c r="F129" s="37"/>
      <c r="G129" s="39"/>
      <c r="H129" s="37"/>
      <c r="I129" s="39"/>
      <c r="J129" s="37"/>
      <c r="K129" s="39"/>
      <c r="L129" s="37"/>
      <c r="M129" s="39"/>
      <c r="N129" s="37"/>
      <c r="O129" s="39"/>
      <c r="P129" s="37"/>
      <c r="Q129" s="39"/>
      <c r="R129" s="37"/>
      <c r="S129" s="39"/>
      <c r="T129" s="37"/>
      <c r="U129" s="39"/>
      <c r="V129" s="37"/>
      <c r="W129" s="39"/>
      <c r="X129" s="37"/>
      <c r="Y129" s="39"/>
      <c r="Z129" s="37"/>
      <c r="AA129" s="39"/>
      <c r="AB129" s="37"/>
      <c r="AC129" s="39"/>
    </row>
    <row r="130" spans="1:29" x14ac:dyDescent="0.45">
      <c r="A130" s="37"/>
      <c r="B130" s="37"/>
      <c r="C130" s="37"/>
      <c r="D130" s="37"/>
      <c r="E130" s="37"/>
      <c r="F130" s="37"/>
      <c r="G130" s="39"/>
      <c r="H130" s="37"/>
      <c r="I130" s="39"/>
      <c r="J130" s="37"/>
      <c r="K130" s="39"/>
      <c r="L130" s="37"/>
      <c r="M130" s="39"/>
      <c r="N130" s="37"/>
      <c r="O130" s="39"/>
      <c r="P130" s="37"/>
      <c r="Q130" s="39"/>
      <c r="R130" s="37"/>
      <c r="S130" s="39"/>
      <c r="T130" s="37"/>
      <c r="U130" s="39"/>
      <c r="V130" s="37"/>
      <c r="W130" s="39"/>
      <c r="X130" s="37"/>
      <c r="Y130" s="39"/>
      <c r="Z130" s="37"/>
      <c r="AA130" s="39"/>
      <c r="AB130" s="37"/>
      <c r="AC130" s="39"/>
    </row>
    <row r="131" spans="1:29" x14ac:dyDescent="0.45">
      <c r="A131" s="37"/>
      <c r="B131" s="37"/>
      <c r="C131" s="37"/>
      <c r="D131" s="37"/>
      <c r="E131" s="37"/>
      <c r="F131" s="37"/>
      <c r="G131" s="39"/>
      <c r="H131" s="37"/>
      <c r="I131" s="39"/>
      <c r="J131" s="37"/>
      <c r="K131" s="39"/>
      <c r="L131" s="37"/>
      <c r="M131" s="39"/>
      <c r="N131" s="37"/>
      <c r="O131" s="39"/>
      <c r="P131" s="37"/>
      <c r="Q131" s="39"/>
      <c r="R131" s="37"/>
      <c r="S131" s="39"/>
      <c r="T131" s="37"/>
      <c r="U131" s="39"/>
      <c r="V131" s="37"/>
      <c r="W131" s="39"/>
      <c r="X131" s="37"/>
      <c r="Y131" s="39"/>
      <c r="Z131" s="37"/>
      <c r="AA131" s="39"/>
      <c r="AB131" s="37"/>
      <c r="AC131" s="39"/>
    </row>
    <row r="132" spans="1:29" x14ac:dyDescent="0.45">
      <c r="A132" s="37"/>
      <c r="B132" s="37"/>
      <c r="C132" s="37"/>
      <c r="D132" s="37"/>
      <c r="E132" s="37"/>
      <c r="F132" s="37"/>
      <c r="G132" s="39"/>
      <c r="H132" s="37"/>
      <c r="I132" s="39"/>
      <c r="J132" s="37"/>
      <c r="K132" s="39"/>
      <c r="L132" s="37"/>
      <c r="M132" s="39"/>
      <c r="N132" s="37"/>
      <c r="O132" s="39"/>
      <c r="P132" s="37"/>
      <c r="Q132" s="39"/>
      <c r="R132" s="37"/>
      <c r="S132" s="39"/>
      <c r="T132" s="37"/>
      <c r="U132" s="39"/>
      <c r="V132" s="37"/>
      <c r="W132" s="39"/>
      <c r="X132" s="37"/>
      <c r="Y132" s="39"/>
      <c r="Z132" s="37"/>
      <c r="AA132" s="39"/>
      <c r="AB132" s="37"/>
      <c r="AC132" s="39"/>
    </row>
    <row r="133" spans="1:29" x14ac:dyDescent="0.45">
      <c r="A133" s="37"/>
      <c r="B133" s="37"/>
      <c r="C133" s="37"/>
      <c r="D133" s="37"/>
      <c r="E133" s="37"/>
      <c r="F133" s="37"/>
      <c r="G133" s="39"/>
      <c r="H133" s="37"/>
      <c r="I133" s="39"/>
      <c r="J133" s="37"/>
      <c r="K133" s="39"/>
      <c r="L133" s="37"/>
      <c r="M133" s="39"/>
      <c r="N133" s="37"/>
      <c r="O133" s="39"/>
      <c r="P133" s="37"/>
      <c r="Q133" s="39"/>
      <c r="R133" s="37"/>
      <c r="S133" s="39"/>
      <c r="T133" s="37"/>
      <c r="U133" s="39"/>
      <c r="V133" s="37"/>
      <c r="W133" s="39"/>
      <c r="X133" s="37"/>
      <c r="Y133" s="39"/>
      <c r="Z133" s="37"/>
      <c r="AA133" s="39"/>
      <c r="AB133" s="37"/>
      <c r="AC133" s="39"/>
    </row>
    <row r="134" spans="1:29" x14ac:dyDescent="0.45">
      <c r="A134" s="37"/>
      <c r="B134" s="37"/>
      <c r="C134" s="37"/>
      <c r="D134" s="37"/>
      <c r="E134" s="37"/>
      <c r="F134" s="37"/>
      <c r="G134" s="39"/>
      <c r="H134" s="37"/>
      <c r="I134" s="39"/>
      <c r="J134" s="37"/>
      <c r="K134" s="39"/>
      <c r="L134" s="37"/>
      <c r="M134" s="39"/>
      <c r="N134" s="37"/>
      <c r="O134" s="39"/>
      <c r="P134" s="37"/>
      <c r="Q134" s="39"/>
      <c r="R134" s="37"/>
      <c r="S134" s="39"/>
      <c r="T134" s="37"/>
      <c r="U134" s="39"/>
      <c r="V134" s="37"/>
      <c r="W134" s="39"/>
      <c r="X134" s="37"/>
      <c r="Y134" s="39"/>
      <c r="Z134" s="37"/>
      <c r="AA134" s="39"/>
      <c r="AB134" s="37"/>
      <c r="AC134" s="39"/>
    </row>
    <row r="135" spans="1:29" x14ac:dyDescent="0.45">
      <c r="A135" s="37"/>
      <c r="B135" s="37"/>
      <c r="C135" s="37"/>
      <c r="D135" s="37"/>
      <c r="E135" s="37"/>
      <c r="F135" s="37"/>
      <c r="G135" s="39"/>
      <c r="H135" s="37"/>
      <c r="I135" s="39"/>
      <c r="J135" s="37"/>
      <c r="K135" s="39"/>
      <c r="L135" s="37"/>
      <c r="M135" s="39"/>
      <c r="N135" s="37"/>
      <c r="O135" s="39"/>
      <c r="P135" s="37"/>
      <c r="Q135" s="39"/>
      <c r="R135" s="37"/>
      <c r="S135" s="39"/>
      <c r="T135" s="37"/>
      <c r="U135" s="39"/>
      <c r="V135" s="37"/>
      <c r="W135" s="39"/>
      <c r="X135" s="37"/>
      <c r="Y135" s="39"/>
      <c r="Z135" s="37"/>
      <c r="AA135" s="39"/>
      <c r="AB135" s="37"/>
      <c r="AC135" s="39"/>
    </row>
    <row r="136" spans="1:29" x14ac:dyDescent="0.45">
      <c r="A136" s="37"/>
      <c r="B136" s="37"/>
      <c r="C136" s="37"/>
      <c r="D136" s="37"/>
      <c r="E136" s="37"/>
      <c r="F136" s="37"/>
      <c r="G136" s="39"/>
      <c r="H136" s="37"/>
      <c r="I136" s="39"/>
      <c r="J136" s="37"/>
      <c r="K136" s="39"/>
      <c r="L136" s="37"/>
      <c r="M136" s="39"/>
      <c r="N136" s="37"/>
      <c r="O136" s="39"/>
      <c r="P136" s="37"/>
      <c r="Q136" s="39"/>
      <c r="R136" s="37"/>
      <c r="S136" s="39"/>
      <c r="T136" s="37"/>
      <c r="U136" s="39"/>
      <c r="V136" s="37"/>
      <c r="W136" s="39"/>
      <c r="X136" s="37"/>
      <c r="Y136" s="39"/>
      <c r="Z136" s="37"/>
      <c r="AA136" s="39"/>
      <c r="AB136" s="37"/>
      <c r="AC136" s="39"/>
    </row>
    <row r="137" spans="1:29" x14ac:dyDescent="0.45">
      <c r="A137" s="37"/>
      <c r="B137" s="37"/>
      <c r="C137" s="37"/>
      <c r="D137" s="37"/>
      <c r="E137" s="37"/>
      <c r="F137" s="37"/>
      <c r="G137" s="39"/>
      <c r="H137" s="37"/>
      <c r="I137" s="39"/>
      <c r="J137" s="37"/>
      <c r="K137" s="39"/>
      <c r="L137" s="37"/>
      <c r="M137" s="39"/>
      <c r="N137" s="37"/>
      <c r="O137" s="39"/>
      <c r="P137" s="37"/>
      <c r="Q137" s="39"/>
      <c r="R137" s="37"/>
      <c r="S137" s="39"/>
      <c r="T137" s="37"/>
      <c r="U137" s="39"/>
      <c r="V137" s="37"/>
      <c r="W137" s="39"/>
      <c r="X137" s="37"/>
      <c r="Y137" s="39"/>
      <c r="Z137" s="37"/>
      <c r="AA137" s="39"/>
      <c r="AB137" s="37"/>
      <c r="AC137" s="39"/>
    </row>
    <row r="138" spans="1:29" x14ac:dyDescent="0.45">
      <c r="A138" s="37"/>
      <c r="B138" s="37"/>
      <c r="C138" s="37"/>
      <c r="D138" s="37"/>
      <c r="E138" s="37"/>
      <c r="F138" s="37"/>
      <c r="G138" s="39"/>
      <c r="H138" s="37"/>
      <c r="I138" s="39"/>
      <c r="J138" s="37"/>
      <c r="K138" s="39"/>
      <c r="L138" s="37"/>
      <c r="M138" s="39"/>
      <c r="N138" s="37"/>
      <c r="O138" s="39"/>
      <c r="P138" s="37"/>
      <c r="Q138" s="39"/>
      <c r="R138" s="37"/>
      <c r="S138" s="39"/>
      <c r="T138" s="37"/>
      <c r="U138" s="39"/>
      <c r="V138" s="37"/>
      <c r="W138" s="39"/>
      <c r="X138" s="37"/>
      <c r="Y138" s="39"/>
      <c r="Z138" s="37"/>
      <c r="AA138" s="39"/>
      <c r="AB138" s="37"/>
      <c r="AC138" s="39"/>
    </row>
    <row r="139" spans="1:29" x14ac:dyDescent="0.45">
      <c r="A139" s="37"/>
      <c r="B139" s="37"/>
      <c r="C139" s="37"/>
      <c r="D139" s="37"/>
      <c r="E139" s="37"/>
      <c r="F139" s="37"/>
      <c r="G139" s="39"/>
      <c r="H139" s="37"/>
      <c r="I139" s="39"/>
      <c r="J139" s="37"/>
      <c r="K139" s="39"/>
      <c r="L139" s="37"/>
      <c r="M139" s="39"/>
      <c r="N139" s="37"/>
      <c r="O139" s="39"/>
      <c r="P139" s="37"/>
      <c r="Q139" s="39"/>
      <c r="R139" s="37"/>
      <c r="S139" s="39"/>
      <c r="T139" s="37"/>
      <c r="U139" s="39"/>
      <c r="V139" s="37"/>
      <c r="W139" s="39"/>
      <c r="X139" s="37"/>
      <c r="Y139" s="39"/>
      <c r="Z139" s="37"/>
      <c r="AA139" s="39"/>
      <c r="AB139" s="37"/>
      <c r="AC139" s="39"/>
    </row>
    <row r="140" spans="1:29" x14ac:dyDescent="0.45">
      <c r="A140" s="37"/>
      <c r="B140" s="37"/>
      <c r="C140" s="37"/>
      <c r="D140" s="37"/>
      <c r="E140" s="37"/>
      <c r="F140" s="37"/>
      <c r="G140" s="39"/>
      <c r="H140" s="37"/>
      <c r="I140" s="39"/>
      <c r="J140" s="37"/>
      <c r="K140" s="39"/>
      <c r="L140" s="37"/>
      <c r="M140" s="39"/>
      <c r="N140" s="37"/>
      <c r="O140" s="39"/>
      <c r="P140" s="37"/>
      <c r="Q140" s="39"/>
      <c r="R140" s="37"/>
      <c r="S140" s="39"/>
      <c r="T140" s="37"/>
      <c r="U140" s="39"/>
      <c r="V140" s="37"/>
      <c r="W140" s="39"/>
      <c r="X140" s="37"/>
      <c r="Y140" s="39"/>
      <c r="Z140" s="37"/>
      <c r="AA140" s="39"/>
      <c r="AB140" s="37"/>
      <c r="AC140" s="39"/>
    </row>
    <row r="141" spans="1:29" x14ac:dyDescent="0.45">
      <c r="A141" s="37"/>
      <c r="B141" s="37"/>
      <c r="C141" s="37"/>
      <c r="D141" s="37"/>
      <c r="E141" s="37"/>
      <c r="F141" s="37"/>
      <c r="G141" s="39"/>
      <c r="H141" s="37"/>
      <c r="I141" s="39"/>
      <c r="J141" s="37"/>
      <c r="K141" s="39"/>
      <c r="L141" s="37"/>
      <c r="M141" s="39"/>
      <c r="N141" s="37"/>
      <c r="O141" s="39"/>
      <c r="P141" s="37"/>
      <c r="Q141" s="39"/>
      <c r="R141" s="37"/>
      <c r="S141" s="39"/>
      <c r="T141" s="37"/>
      <c r="U141" s="39"/>
      <c r="V141" s="37"/>
      <c r="W141" s="39"/>
      <c r="X141" s="37"/>
      <c r="Y141" s="39"/>
      <c r="Z141" s="37"/>
      <c r="AA141" s="39"/>
      <c r="AB141" s="37"/>
      <c r="AC141" s="39"/>
    </row>
    <row r="142" spans="1:29" x14ac:dyDescent="0.45">
      <c r="A142" s="37"/>
      <c r="B142" s="37"/>
      <c r="C142" s="37"/>
      <c r="D142" s="37"/>
      <c r="E142" s="37"/>
      <c r="F142" s="37"/>
      <c r="G142" s="39"/>
      <c r="H142" s="37"/>
      <c r="I142" s="39"/>
      <c r="J142" s="37"/>
      <c r="K142" s="39"/>
      <c r="L142" s="37"/>
      <c r="M142" s="39"/>
      <c r="N142" s="37"/>
      <c r="O142" s="39"/>
      <c r="P142" s="37"/>
      <c r="Q142" s="39"/>
      <c r="R142" s="37"/>
      <c r="S142" s="39"/>
      <c r="T142" s="37"/>
      <c r="U142" s="39"/>
      <c r="V142" s="37"/>
      <c r="W142" s="39"/>
      <c r="X142" s="37"/>
      <c r="Y142" s="39"/>
      <c r="Z142" s="37"/>
      <c r="AA142" s="39"/>
      <c r="AB142" s="37"/>
      <c r="AC142" s="39"/>
    </row>
    <row r="143" spans="1:29" x14ac:dyDescent="0.45">
      <c r="A143" s="37"/>
      <c r="B143" s="37"/>
      <c r="C143" s="37"/>
      <c r="D143" s="37"/>
      <c r="E143" s="37"/>
      <c r="F143" s="37"/>
      <c r="G143" s="39"/>
      <c r="H143" s="37"/>
      <c r="I143" s="39"/>
      <c r="J143" s="37"/>
      <c r="K143" s="39"/>
      <c r="L143" s="37"/>
      <c r="M143" s="39"/>
      <c r="N143" s="37"/>
      <c r="O143" s="39"/>
      <c r="P143" s="37"/>
      <c r="Q143" s="39"/>
      <c r="R143" s="37"/>
      <c r="S143" s="39"/>
      <c r="T143" s="37"/>
      <c r="U143" s="39"/>
      <c r="V143" s="37"/>
      <c r="W143" s="39"/>
      <c r="X143" s="37"/>
      <c r="Y143" s="39"/>
      <c r="Z143" s="37"/>
      <c r="AA143" s="39"/>
      <c r="AB143" s="37"/>
      <c r="AC143" s="39"/>
    </row>
    <row r="144" spans="1:29" x14ac:dyDescent="0.45">
      <c r="A144" s="37"/>
      <c r="B144" s="37"/>
      <c r="C144" s="37"/>
      <c r="D144" s="37"/>
      <c r="E144" s="37"/>
      <c r="F144" s="37"/>
      <c r="G144" s="39"/>
      <c r="H144" s="37"/>
      <c r="I144" s="39"/>
      <c r="J144" s="37"/>
      <c r="K144" s="39"/>
      <c r="L144" s="37"/>
      <c r="M144" s="39"/>
      <c r="N144" s="37"/>
      <c r="O144" s="39"/>
      <c r="P144" s="37"/>
      <c r="Q144" s="39"/>
      <c r="R144" s="37"/>
      <c r="S144" s="39"/>
      <c r="T144" s="37"/>
      <c r="U144" s="39"/>
      <c r="V144" s="37"/>
      <c r="W144" s="39"/>
      <c r="X144" s="37"/>
      <c r="Y144" s="39"/>
      <c r="Z144" s="37"/>
      <c r="AA144" s="39"/>
      <c r="AB144" s="37"/>
      <c r="AC144" s="39"/>
    </row>
    <row r="145" spans="1:29" x14ac:dyDescent="0.45">
      <c r="A145" s="37"/>
      <c r="B145" s="37"/>
      <c r="C145" s="37"/>
      <c r="D145" s="37"/>
      <c r="E145" s="37"/>
      <c r="F145" s="37"/>
      <c r="G145" s="39"/>
      <c r="H145" s="37"/>
      <c r="I145" s="39"/>
      <c r="J145" s="37"/>
      <c r="K145" s="39"/>
      <c r="L145" s="37"/>
      <c r="M145" s="39"/>
      <c r="N145" s="37"/>
      <c r="O145" s="39"/>
      <c r="P145" s="37"/>
      <c r="Q145" s="39"/>
      <c r="R145" s="37"/>
      <c r="S145" s="39"/>
      <c r="T145" s="37"/>
      <c r="U145" s="39"/>
      <c r="V145" s="37"/>
      <c r="W145" s="39"/>
      <c r="X145" s="37"/>
      <c r="Y145" s="39"/>
      <c r="Z145" s="37"/>
      <c r="AA145" s="39"/>
      <c r="AB145" s="37"/>
      <c r="AC145" s="39"/>
    </row>
    <row r="146" spans="1:29" x14ac:dyDescent="0.45">
      <c r="A146" s="37"/>
      <c r="B146" s="37"/>
      <c r="C146" s="37"/>
      <c r="D146" s="37"/>
      <c r="E146" s="37"/>
      <c r="F146" s="37"/>
      <c r="G146" s="39"/>
      <c r="H146" s="37"/>
      <c r="I146" s="39"/>
      <c r="J146" s="37"/>
      <c r="K146" s="39"/>
      <c r="L146" s="37"/>
      <c r="M146" s="39"/>
      <c r="N146" s="37"/>
      <c r="O146" s="39"/>
      <c r="P146" s="37"/>
      <c r="Q146" s="39"/>
      <c r="R146" s="37"/>
      <c r="S146" s="39"/>
      <c r="T146" s="37"/>
      <c r="U146" s="39"/>
      <c r="V146" s="37"/>
      <c r="W146" s="39"/>
      <c r="X146" s="37"/>
      <c r="Y146" s="39"/>
      <c r="Z146" s="37"/>
      <c r="AA146" s="39"/>
      <c r="AB146" s="37"/>
      <c r="AC146" s="39"/>
    </row>
    <row r="147" spans="1:29" x14ac:dyDescent="0.45">
      <c r="A147" s="37"/>
      <c r="B147" s="37"/>
      <c r="C147" s="37"/>
      <c r="D147" s="37"/>
      <c r="E147" s="37"/>
      <c r="F147" s="37"/>
      <c r="G147" s="39"/>
      <c r="H147" s="37"/>
      <c r="I147" s="39"/>
      <c r="J147" s="37"/>
      <c r="K147" s="39"/>
      <c r="L147" s="37"/>
      <c r="M147" s="39"/>
      <c r="N147" s="37"/>
      <c r="O147" s="39"/>
      <c r="P147" s="37"/>
      <c r="Q147" s="39"/>
      <c r="R147" s="37"/>
      <c r="S147" s="39"/>
      <c r="T147" s="37"/>
      <c r="U147" s="39"/>
      <c r="V147" s="37"/>
      <c r="W147" s="39"/>
      <c r="X147" s="37"/>
      <c r="Y147" s="39"/>
      <c r="Z147" s="37"/>
      <c r="AA147" s="39"/>
      <c r="AB147" s="37"/>
      <c r="AC147" s="39"/>
    </row>
    <row r="148" spans="1:29" x14ac:dyDescent="0.45">
      <c r="A148" s="37"/>
      <c r="B148" s="37"/>
      <c r="C148" s="37"/>
      <c r="D148" s="37"/>
      <c r="E148" s="37"/>
      <c r="F148" s="37"/>
      <c r="G148" s="39"/>
      <c r="H148" s="37"/>
      <c r="I148" s="39"/>
      <c r="J148" s="37"/>
      <c r="K148" s="39"/>
      <c r="L148" s="37"/>
      <c r="M148" s="39"/>
      <c r="N148" s="37"/>
      <c r="O148" s="39"/>
      <c r="P148" s="37"/>
      <c r="Q148" s="39"/>
      <c r="R148" s="37"/>
      <c r="S148" s="39"/>
      <c r="T148" s="37"/>
      <c r="U148" s="39"/>
      <c r="V148" s="37"/>
      <c r="W148" s="39"/>
      <c r="X148" s="37"/>
      <c r="Y148" s="39"/>
      <c r="Z148" s="37"/>
      <c r="AA148" s="39"/>
      <c r="AB148" s="37"/>
      <c r="AC148" s="39"/>
    </row>
    <row r="149" spans="1:29" x14ac:dyDescent="0.45">
      <c r="A149" s="37"/>
      <c r="B149" s="37"/>
      <c r="C149" s="37"/>
      <c r="D149" s="37"/>
      <c r="E149" s="37"/>
      <c r="F149" s="37"/>
      <c r="G149" s="39"/>
      <c r="H149" s="37"/>
      <c r="I149" s="39"/>
      <c r="J149" s="37"/>
      <c r="K149" s="39"/>
      <c r="L149" s="37"/>
      <c r="M149" s="39"/>
      <c r="N149" s="37"/>
      <c r="O149" s="39"/>
      <c r="P149" s="37"/>
      <c r="Q149" s="39"/>
      <c r="R149" s="37"/>
      <c r="S149" s="39"/>
      <c r="T149" s="37"/>
      <c r="U149" s="39"/>
      <c r="V149" s="37"/>
      <c r="W149" s="39"/>
      <c r="X149" s="37"/>
      <c r="Y149" s="39"/>
      <c r="Z149" s="37"/>
      <c r="AA149" s="39"/>
      <c r="AB149" s="37"/>
      <c r="AC149" s="39"/>
    </row>
    <row r="150" spans="1:29" x14ac:dyDescent="0.45">
      <c r="A150" s="37"/>
      <c r="B150" s="37"/>
      <c r="C150" s="37"/>
      <c r="D150" s="37"/>
      <c r="E150" s="37"/>
      <c r="F150" s="37"/>
      <c r="G150" s="39"/>
      <c r="H150" s="37"/>
      <c r="I150" s="39"/>
      <c r="J150" s="37"/>
      <c r="K150" s="39"/>
      <c r="L150" s="37"/>
      <c r="M150" s="39"/>
      <c r="N150" s="37"/>
      <c r="O150" s="39"/>
      <c r="P150" s="37"/>
      <c r="Q150" s="39"/>
      <c r="R150" s="37"/>
      <c r="S150" s="39"/>
      <c r="T150" s="37"/>
      <c r="U150" s="39"/>
      <c r="V150" s="37"/>
      <c r="W150" s="39"/>
      <c r="X150" s="37"/>
      <c r="Y150" s="39"/>
      <c r="Z150" s="37"/>
      <c r="AA150" s="39"/>
      <c r="AB150" s="37"/>
      <c r="AC150" s="39"/>
    </row>
    <row r="151" spans="1:29" x14ac:dyDescent="0.45">
      <c r="A151" s="37"/>
      <c r="B151" s="37"/>
      <c r="C151" s="37"/>
      <c r="D151" s="37"/>
      <c r="E151" s="37"/>
      <c r="F151" s="37"/>
      <c r="G151" s="39"/>
      <c r="H151" s="37"/>
      <c r="I151" s="39"/>
      <c r="J151" s="37"/>
      <c r="K151" s="39"/>
      <c r="L151" s="37"/>
      <c r="M151" s="39"/>
      <c r="N151" s="37"/>
      <c r="O151" s="39"/>
      <c r="P151" s="37"/>
      <c r="Q151" s="39"/>
      <c r="R151" s="37"/>
      <c r="S151" s="39"/>
      <c r="T151" s="37"/>
      <c r="U151" s="39"/>
      <c r="V151" s="37"/>
      <c r="W151" s="39"/>
      <c r="X151" s="37"/>
      <c r="Y151" s="39"/>
      <c r="Z151" s="37"/>
      <c r="AA151" s="39"/>
      <c r="AB151" s="37"/>
      <c r="AC151" s="39"/>
    </row>
    <row r="152" spans="1:29" x14ac:dyDescent="0.45">
      <c r="A152" s="37"/>
      <c r="B152" s="37"/>
      <c r="C152" s="37"/>
      <c r="D152" s="37"/>
      <c r="E152" s="37"/>
      <c r="F152" s="37"/>
      <c r="G152" s="39"/>
      <c r="H152" s="37"/>
      <c r="I152" s="39"/>
      <c r="J152" s="37"/>
      <c r="K152" s="39"/>
      <c r="L152" s="37"/>
      <c r="M152" s="39"/>
      <c r="N152" s="37"/>
      <c r="O152" s="39"/>
      <c r="P152" s="37"/>
      <c r="Q152" s="39"/>
      <c r="R152" s="37"/>
      <c r="S152" s="39"/>
      <c r="T152" s="37"/>
      <c r="U152" s="39"/>
      <c r="V152" s="37"/>
      <c r="W152" s="39"/>
      <c r="X152" s="37"/>
      <c r="Y152" s="39"/>
      <c r="Z152" s="37"/>
      <c r="AA152" s="39"/>
      <c r="AB152" s="37"/>
      <c r="AC152" s="39"/>
    </row>
    <row r="153" spans="1:29" x14ac:dyDescent="0.45">
      <c r="A153" s="37"/>
      <c r="B153" s="37"/>
      <c r="C153" s="37"/>
      <c r="D153" s="37"/>
      <c r="E153" s="37"/>
      <c r="F153" s="37"/>
      <c r="G153" s="39"/>
      <c r="H153" s="37"/>
      <c r="I153" s="39"/>
      <c r="J153" s="37"/>
      <c r="K153" s="39"/>
      <c r="L153" s="37"/>
      <c r="M153" s="39"/>
      <c r="N153" s="37"/>
      <c r="O153" s="39"/>
      <c r="P153" s="37"/>
      <c r="Q153" s="39"/>
      <c r="R153" s="37"/>
      <c r="S153" s="39"/>
      <c r="T153" s="37"/>
      <c r="U153" s="39"/>
      <c r="V153" s="37"/>
      <c r="W153" s="39"/>
      <c r="X153" s="37"/>
      <c r="Y153" s="39"/>
      <c r="Z153" s="37"/>
      <c r="AA153" s="39"/>
      <c r="AB153" s="37"/>
      <c r="AC153" s="39"/>
    </row>
    <row r="154" spans="1:29" x14ac:dyDescent="0.45">
      <c r="A154" s="37"/>
      <c r="B154" s="37"/>
      <c r="C154" s="37"/>
      <c r="D154" s="37"/>
      <c r="E154" s="37"/>
      <c r="F154" s="37"/>
      <c r="G154" s="39"/>
      <c r="H154" s="37"/>
      <c r="I154" s="39"/>
      <c r="J154" s="37"/>
      <c r="K154" s="39"/>
      <c r="L154" s="37"/>
      <c r="M154" s="39"/>
      <c r="N154" s="37"/>
      <c r="O154" s="39"/>
      <c r="P154" s="37"/>
      <c r="Q154" s="39"/>
      <c r="R154" s="37"/>
      <c r="S154" s="39"/>
      <c r="T154" s="37"/>
      <c r="U154" s="39"/>
      <c r="V154" s="37"/>
      <c r="W154" s="39"/>
      <c r="X154" s="37"/>
      <c r="Y154" s="39"/>
      <c r="Z154" s="37"/>
      <c r="AA154" s="39"/>
      <c r="AB154" s="37"/>
      <c r="AC154" s="39"/>
    </row>
    <row r="155" spans="1:29" x14ac:dyDescent="0.45">
      <c r="A155" s="37"/>
      <c r="B155" s="37"/>
      <c r="C155" s="37"/>
      <c r="D155" s="37"/>
      <c r="E155" s="37"/>
      <c r="F155" s="37"/>
      <c r="G155" s="39"/>
      <c r="H155" s="37"/>
      <c r="I155" s="39"/>
      <c r="J155" s="37"/>
      <c r="K155" s="39"/>
      <c r="L155" s="37"/>
      <c r="M155" s="39"/>
      <c r="N155" s="37"/>
      <c r="O155" s="39"/>
      <c r="P155" s="37"/>
      <c r="Q155" s="39"/>
      <c r="R155" s="37"/>
      <c r="S155" s="39"/>
      <c r="T155" s="37"/>
      <c r="U155" s="39"/>
      <c r="V155" s="37"/>
      <c r="W155" s="39"/>
      <c r="X155" s="37"/>
      <c r="Y155" s="39"/>
      <c r="Z155" s="37"/>
      <c r="AA155" s="39"/>
      <c r="AB155" s="37"/>
      <c r="AC155" s="39"/>
    </row>
    <row r="156" spans="1:29" x14ac:dyDescent="0.45">
      <c r="A156" s="37"/>
      <c r="B156" s="37"/>
      <c r="C156" s="37"/>
      <c r="D156" s="37"/>
      <c r="E156" s="37"/>
      <c r="F156" s="37"/>
      <c r="G156" s="39"/>
      <c r="H156" s="37"/>
      <c r="I156" s="39"/>
      <c r="J156" s="37"/>
      <c r="K156" s="39"/>
      <c r="L156" s="37"/>
      <c r="M156" s="39"/>
      <c r="N156" s="37"/>
      <c r="O156" s="39"/>
      <c r="P156" s="37"/>
      <c r="Q156" s="39"/>
      <c r="R156" s="37"/>
      <c r="S156" s="39"/>
      <c r="T156" s="37"/>
      <c r="U156" s="39"/>
      <c r="V156" s="37"/>
      <c r="W156" s="39"/>
      <c r="X156" s="37"/>
      <c r="Y156" s="39"/>
      <c r="Z156" s="37"/>
      <c r="AA156" s="39"/>
      <c r="AB156" s="37"/>
      <c r="AC156" s="39"/>
    </row>
    <row r="157" spans="1:29" x14ac:dyDescent="0.45">
      <c r="A157" s="37"/>
      <c r="B157" s="37"/>
      <c r="C157" s="37"/>
      <c r="D157" s="37"/>
      <c r="E157" s="37"/>
      <c r="F157" s="37"/>
      <c r="G157" s="39"/>
      <c r="H157" s="37"/>
      <c r="I157" s="39"/>
      <c r="J157" s="37"/>
      <c r="K157" s="39"/>
      <c r="L157" s="37"/>
      <c r="M157" s="39"/>
      <c r="N157" s="37"/>
      <c r="O157" s="39"/>
      <c r="P157" s="37"/>
      <c r="Q157" s="39"/>
      <c r="R157" s="37"/>
      <c r="S157" s="39"/>
      <c r="T157" s="37"/>
      <c r="U157" s="39"/>
      <c r="V157" s="37"/>
      <c r="W157" s="39"/>
      <c r="X157" s="37"/>
      <c r="Y157" s="39"/>
      <c r="Z157" s="37"/>
      <c r="AA157" s="39"/>
      <c r="AB157" s="37"/>
      <c r="AC157" s="39"/>
    </row>
    <row r="158" spans="1:29" x14ac:dyDescent="0.45">
      <c r="A158" s="37"/>
      <c r="B158" s="37"/>
      <c r="C158" s="37"/>
      <c r="D158" s="37"/>
      <c r="E158" s="37"/>
      <c r="F158" s="37"/>
      <c r="G158" s="39"/>
      <c r="H158" s="37"/>
      <c r="I158" s="39"/>
      <c r="J158" s="37"/>
      <c r="K158" s="39"/>
      <c r="L158" s="37"/>
      <c r="M158" s="39"/>
      <c r="N158" s="37"/>
      <c r="O158" s="39"/>
      <c r="P158" s="37"/>
      <c r="Q158" s="39"/>
      <c r="R158" s="37"/>
      <c r="S158" s="39"/>
      <c r="T158" s="37"/>
      <c r="U158" s="39"/>
      <c r="V158" s="37"/>
      <c r="W158" s="39"/>
      <c r="X158" s="37"/>
      <c r="Y158" s="39"/>
      <c r="Z158" s="37"/>
      <c r="AA158" s="39"/>
      <c r="AB158" s="37"/>
      <c r="AC158" s="39"/>
    </row>
    <row r="159" spans="1:29" x14ac:dyDescent="0.45">
      <c r="A159" s="37"/>
      <c r="B159" s="37"/>
      <c r="C159" s="37"/>
      <c r="D159" s="37"/>
      <c r="E159" s="37"/>
      <c r="F159" s="37"/>
      <c r="G159" s="39"/>
      <c r="H159" s="37"/>
      <c r="I159" s="39"/>
      <c r="J159" s="37"/>
      <c r="K159" s="39"/>
      <c r="L159" s="37"/>
      <c r="M159" s="39"/>
      <c r="N159" s="37"/>
      <c r="O159" s="39"/>
      <c r="P159" s="37"/>
      <c r="Q159" s="39"/>
      <c r="R159" s="37"/>
      <c r="S159" s="39"/>
      <c r="T159" s="37"/>
      <c r="U159" s="39"/>
      <c r="V159" s="37"/>
      <c r="W159" s="39"/>
      <c r="X159" s="37"/>
      <c r="Y159" s="39"/>
      <c r="Z159" s="37"/>
      <c r="AA159" s="39"/>
      <c r="AB159" s="37"/>
      <c r="AC159" s="39"/>
    </row>
    <row r="160" spans="1:29" x14ac:dyDescent="0.45">
      <c r="A160" s="37"/>
      <c r="B160" s="37"/>
      <c r="C160" s="37"/>
      <c r="D160" s="37"/>
      <c r="E160" s="37"/>
      <c r="F160" s="37"/>
      <c r="G160" s="39"/>
      <c r="H160" s="37"/>
      <c r="I160" s="39"/>
      <c r="J160" s="37"/>
      <c r="K160" s="39"/>
      <c r="L160" s="37"/>
      <c r="M160" s="39"/>
      <c r="N160" s="37"/>
      <c r="O160" s="39"/>
      <c r="P160" s="37"/>
      <c r="Q160" s="39"/>
      <c r="R160" s="37"/>
      <c r="S160" s="39"/>
      <c r="T160" s="37"/>
      <c r="U160" s="39"/>
      <c r="V160" s="37"/>
      <c r="W160" s="39"/>
      <c r="X160" s="37"/>
      <c r="Y160" s="39"/>
      <c r="Z160" s="37"/>
      <c r="AA160" s="39"/>
      <c r="AB160" s="37"/>
      <c r="AC160" s="39"/>
    </row>
    <row r="161" spans="1:29" x14ac:dyDescent="0.45">
      <c r="A161" s="37"/>
      <c r="B161" s="37"/>
      <c r="C161" s="37"/>
      <c r="D161" s="37"/>
      <c r="E161" s="37"/>
      <c r="F161" s="37"/>
      <c r="G161" s="39"/>
      <c r="H161" s="37"/>
      <c r="I161" s="39"/>
      <c r="J161" s="37"/>
      <c r="K161" s="39"/>
      <c r="L161" s="37"/>
      <c r="M161" s="39"/>
      <c r="N161" s="37"/>
      <c r="O161" s="39"/>
      <c r="P161" s="37"/>
      <c r="Q161" s="39"/>
      <c r="R161" s="37"/>
      <c r="S161" s="39"/>
      <c r="T161" s="37"/>
      <c r="U161" s="39"/>
      <c r="V161" s="37"/>
      <c r="W161" s="39"/>
      <c r="X161" s="37"/>
      <c r="Y161" s="39"/>
      <c r="Z161" s="37"/>
      <c r="AA161" s="39"/>
      <c r="AB161" s="37"/>
      <c r="AC161" s="39"/>
    </row>
    <row r="162" spans="1:29" x14ac:dyDescent="0.45">
      <c r="A162" s="37"/>
      <c r="B162" s="37"/>
      <c r="C162" s="37"/>
      <c r="D162" s="37"/>
      <c r="E162" s="37"/>
      <c r="F162" s="37"/>
      <c r="G162" s="39"/>
      <c r="H162" s="37"/>
      <c r="I162" s="39"/>
      <c r="J162" s="37"/>
      <c r="K162" s="39"/>
      <c r="L162" s="37"/>
      <c r="M162" s="39"/>
      <c r="N162" s="37"/>
      <c r="O162" s="39"/>
      <c r="P162" s="37"/>
      <c r="Q162" s="39"/>
      <c r="R162" s="37"/>
      <c r="S162" s="39"/>
      <c r="T162" s="37"/>
      <c r="U162" s="39"/>
      <c r="V162" s="37"/>
      <c r="W162" s="39"/>
      <c r="X162" s="37"/>
      <c r="Y162" s="39"/>
      <c r="Z162" s="37"/>
      <c r="AA162" s="39"/>
      <c r="AB162" s="37"/>
      <c r="AC162" s="39"/>
    </row>
    <row r="163" spans="1:29" x14ac:dyDescent="0.45">
      <c r="A163" s="37"/>
      <c r="B163" s="37"/>
      <c r="C163" s="37"/>
      <c r="D163" s="37"/>
      <c r="E163" s="37"/>
      <c r="F163" s="37"/>
      <c r="G163" s="39"/>
      <c r="H163" s="37"/>
      <c r="I163" s="39"/>
      <c r="J163" s="37"/>
      <c r="K163" s="39"/>
      <c r="L163" s="37"/>
      <c r="M163" s="39"/>
      <c r="N163" s="37"/>
      <c r="O163" s="39"/>
      <c r="P163" s="37"/>
      <c r="Q163" s="39"/>
      <c r="R163" s="37"/>
      <c r="S163" s="39"/>
      <c r="T163" s="37"/>
      <c r="U163" s="39"/>
      <c r="V163" s="37"/>
      <c r="W163" s="39"/>
      <c r="X163" s="37"/>
      <c r="Y163" s="39"/>
      <c r="Z163" s="37"/>
      <c r="AA163" s="39"/>
      <c r="AB163" s="37"/>
      <c r="AC163" s="39"/>
    </row>
    <row r="164" spans="1:29" x14ac:dyDescent="0.45">
      <c r="A164" s="37"/>
      <c r="B164" s="37"/>
      <c r="C164" s="37"/>
      <c r="D164" s="37"/>
      <c r="E164" s="37"/>
      <c r="F164" s="37"/>
      <c r="G164" s="39"/>
      <c r="H164" s="37"/>
      <c r="I164" s="39"/>
      <c r="J164" s="37"/>
      <c r="K164" s="39"/>
      <c r="L164" s="37"/>
      <c r="M164" s="39"/>
      <c r="N164" s="37"/>
      <c r="O164" s="39"/>
      <c r="P164" s="37"/>
      <c r="Q164" s="39"/>
      <c r="R164" s="37"/>
      <c r="S164" s="39"/>
      <c r="T164" s="37"/>
      <c r="U164" s="39"/>
      <c r="V164" s="37"/>
      <c r="W164" s="39"/>
      <c r="X164" s="37"/>
      <c r="Y164" s="39"/>
      <c r="Z164" s="37"/>
      <c r="AA164" s="39"/>
      <c r="AB164" s="37"/>
      <c r="AC164" s="39"/>
    </row>
    <row r="165" spans="1:29" x14ac:dyDescent="0.45">
      <c r="A165" s="37"/>
      <c r="B165" s="37"/>
      <c r="C165" s="37"/>
      <c r="D165" s="37"/>
      <c r="E165" s="37"/>
      <c r="F165" s="37"/>
      <c r="G165" s="39"/>
      <c r="H165" s="37"/>
      <c r="I165" s="39"/>
      <c r="J165" s="37"/>
      <c r="K165" s="39"/>
      <c r="L165" s="37"/>
      <c r="M165" s="39"/>
      <c r="N165" s="37"/>
      <c r="O165" s="39"/>
      <c r="P165" s="37"/>
      <c r="Q165" s="39"/>
      <c r="R165" s="37"/>
      <c r="S165" s="39"/>
      <c r="T165" s="37"/>
      <c r="U165" s="39"/>
      <c r="V165" s="37"/>
      <c r="W165" s="39"/>
      <c r="X165" s="37"/>
      <c r="Y165" s="39"/>
      <c r="Z165" s="37"/>
      <c r="AA165" s="39"/>
      <c r="AB165" s="37"/>
      <c r="AC165" s="39"/>
    </row>
    <row r="166" spans="1:29" x14ac:dyDescent="0.45">
      <c r="A166" s="37"/>
      <c r="B166" s="37"/>
      <c r="C166" s="37"/>
      <c r="D166" s="37"/>
      <c r="E166" s="37"/>
      <c r="F166" s="37"/>
      <c r="G166" s="39"/>
      <c r="H166" s="37"/>
      <c r="I166" s="39"/>
      <c r="J166" s="37"/>
      <c r="K166" s="39"/>
      <c r="L166" s="37"/>
      <c r="M166" s="39"/>
      <c r="N166" s="37"/>
      <c r="O166" s="39"/>
      <c r="P166" s="37"/>
      <c r="Q166" s="39"/>
      <c r="R166" s="37"/>
      <c r="S166" s="39"/>
      <c r="T166" s="37"/>
      <c r="U166" s="39"/>
      <c r="V166" s="37"/>
      <c r="W166" s="39"/>
      <c r="X166" s="37"/>
      <c r="Y166" s="39"/>
      <c r="Z166" s="37"/>
      <c r="AA166" s="39"/>
      <c r="AB166" s="37"/>
      <c r="AC166" s="39"/>
    </row>
    <row r="167" spans="1:29" x14ac:dyDescent="0.45">
      <c r="A167" s="37"/>
      <c r="B167" s="37"/>
      <c r="C167" s="37"/>
      <c r="D167" s="37"/>
      <c r="E167" s="37"/>
      <c r="F167" s="37"/>
      <c r="G167" s="39"/>
      <c r="H167" s="37"/>
      <c r="I167" s="39"/>
      <c r="J167" s="37"/>
      <c r="K167" s="39"/>
      <c r="L167" s="37"/>
      <c r="M167" s="39"/>
      <c r="N167" s="37"/>
      <c r="O167" s="39"/>
      <c r="P167" s="37"/>
      <c r="Q167" s="39"/>
      <c r="R167" s="37"/>
      <c r="S167" s="39"/>
      <c r="T167" s="37"/>
      <c r="U167" s="39"/>
      <c r="V167" s="37"/>
      <c r="W167" s="39"/>
      <c r="X167" s="37"/>
      <c r="Y167" s="39"/>
      <c r="Z167" s="37"/>
      <c r="AA167" s="39"/>
      <c r="AB167" s="37"/>
      <c r="AC167" s="39"/>
    </row>
    <row r="168" spans="1:29" x14ac:dyDescent="0.45">
      <c r="A168" s="37"/>
      <c r="B168" s="37"/>
      <c r="C168" s="37"/>
      <c r="D168" s="37"/>
      <c r="E168" s="37"/>
      <c r="F168" s="37"/>
      <c r="G168" s="39"/>
      <c r="H168" s="37"/>
      <c r="I168" s="39"/>
      <c r="J168" s="37"/>
      <c r="K168" s="39"/>
      <c r="L168" s="37"/>
      <c r="M168" s="39"/>
      <c r="N168" s="37"/>
      <c r="O168" s="39"/>
      <c r="P168" s="37"/>
      <c r="Q168" s="39"/>
      <c r="R168" s="37"/>
      <c r="S168" s="39"/>
      <c r="T168" s="37"/>
      <c r="U168" s="39"/>
      <c r="V168" s="37"/>
      <c r="W168" s="39"/>
      <c r="X168" s="37"/>
      <c r="Y168" s="39"/>
      <c r="Z168" s="37"/>
      <c r="AA168" s="39"/>
      <c r="AB168" s="37"/>
      <c r="AC168" s="39"/>
    </row>
    <row r="169" spans="1:29" x14ac:dyDescent="0.45">
      <c r="A169" s="37"/>
      <c r="B169" s="37"/>
      <c r="C169" s="37"/>
      <c r="D169" s="37"/>
      <c r="E169" s="37"/>
      <c r="F169" s="37"/>
      <c r="G169" s="39"/>
      <c r="H169" s="37"/>
      <c r="I169" s="39"/>
      <c r="J169" s="37"/>
      <c r="K169" s="39"/>
      <c r="L169" s="37"/>
      <c r="M169" s="39"/>
      <c r="N169" s="37"/>
      <c r="O169" s="39"/>
      <c r="P169" s="37"/>
      <c r="Q169" s="39"/>
      <c r="R169" s="37"/>
      <c r="S169" s="39"/>
      <c r="T169" s="37"/>
      <c r="U169" s="39"/>
      <c r="V169" s="37"/>
      <c r="W169" s="39"/>
      <c r="X169" s="37"/>
      <c r="Y169" s="39"/>
      <c r="Z169" s="37"/>
      <c r="AA169" s="39"/>
      <c r="AB169" s="37"/>
      <c r="AC169" s="39"/>
    </row>
    <row r="170" spans="1:29" x14ac:dyDescent="0.45">
      <c r="A170" s="37"/>
      <c r="B170" s="37"/>
      <c r="C170" s="37"/>
      <c r="D170" s="37"/>
      <c r="E170" s="37"/>
      <c r="F170" s="37"/>
      <c r="G170" s="39"/>
      <c r="H170" s="37"/>
      <c r="I170" s="39"/>
      <c r="J170" s="37"/>
      <c r="K170" s="39"/>
      <c r="L170" s="37"/>
      <c r="M170" s="39"/>
      <c r="N170" s="37"/>
      <c r="O170" s="39"/>
      <c r="P170" s="37"/>
      <c r="Q170" s="39"/>
      <c r="R170" s="37"/>
      <c r="S170" s="39"/>
      <c r="T170" s="37"/>
      <c r="U170" s="39"/>
      <c r="V170" s="37"/>
      <c r="W170" s="39"/>
      <c r="X170" s="37"/>
      <c r="Y170" s="39"/>
      <c r="Z170" s="37"/>
      <c r="AA170" s="39"/>
      <c r="AB170" s="37"/>
      <c r="AC170" s="39"/>
    </row>
    <row r="171" spans="1:29" x14ac:dyDescent="0.45">
      <c r="A171" s="37"/>
      <c r="B171" s="37"/>
      <c r="C171" s="37"/>
      <c r="D171" s="37"/>
      <c r="E171" s="37"/>
      <c r="F171" s="37"/>
      <c r="G171" s="39"/>
      <c r="H171" s="37"/>
      <c r="I171" s="39"/>
      <c r="J171" s="37"/>
      <c r="K171" s="39"/>
      <c r="L171" s="37"/>
      <c r="M171" s="39"/>
      <c r="N171" s="37"/>
      <c r="O171" s="39"/>
      <c r="P171" s="37"/>
      <c r="Q171" s="39"/>
      <c r="R171" s="37"/>
      <c r="S171" s="39"/>
      <c r="T171" s="37"/>
      <c r="U171" s="39"/>
      <c r="V171" s="37"/>
      <c r="W171" s="39"/>
      <c r="X171" s="37"/>
      <c r="Y171" s="39"/>
      <c r="Z171" s="37"/>
      <c r="AA171" s="39"/>
      <c r="AB171" s="37"/>
      <c r="AC171" s="39"/>
    </row>
    <row r="172" spans="1:29" x14ac:dyDescent="0.45">
      <c r="A172" s="37"/>
      <c r="B172" s="37"/>
      <c r="C172" s="37"/>
      <c r="D172" s="37"/>
      <c r="E172" s="37"/>
      <c r="F172" s="37"/>
      <c r="G172" s="39"/>
      <c r="H172" s="37"/>
      <c r="I172" s="39"/>
      <c r="J172" s="37"/>
      <c r="K172" s="39"/>
      <c r="L172" s="37"/>
      <c r="M172" s="39"/>
      <c r="N172" s="37"/>
      <c r="O172" s="39"/>
      <c r="P172" s="37"/>
      <c r="Q172" s="39"/>
      <c r="R172" s="37"/>
      <c r="S172" s="39"/>
      <c r="T172" s="37"/>
      <c r="U172" s="39"/>
      <c r="V172" s="37"/>
      <c r="W172" s="39"/>
      <c r="X172" s="37"/>
      <c r="Y172" s="39"/>
      <c r="Z172" s="37"/>
      <c r="AA172" s="39"/>
      <c r="AB172" s="37"/>
      <c r="AC172" s="39"/>
    </row>
    <row r="173" spans="1:29" x14ac:dyDescent="0.45">
      <c r="A173" s="37"/>
      <c r="B173" s="37"/>
      <c r="C173" s="37"/>
      <c r="D173" s="37"/>
      <c r="E173" s="37"/>
      <c r="F173" s="37"/>
      <c r="G173" s="39"/>
      <c r="H173" s="37"/>
      <c r="I173" s="39"/>
      <c r="J173" s="37"/>
      <c r="K173" s="39"/>
      <c r="L173" s="37"/>
      <c r="M173" s="39"/>
      <c r="N173" s="37"/>
      <c r="O173" s="39"/>
      <c r="P173" s="37"/>
      <c r="Q173" s="39"/>
      <c r="R173" s="37"/>
      <c r="S173" s="39"/>
      <c r="T173" s="37"/>
      <c r="U173" s="39"/>
      <c r="V173" s="37"/>
      <c r="W173" s="39"/>
      <c r="X173" s="37"/>
      <c r="Y173" s="39"/>
      <c r="Z173" s="37"/>
      <c r="AA173" s="39"/>
      <c r="AB173" s="37"/>
      <c r="AC173" s="39"/>
    </row>
    <row r="174" spans="1:29" x14ac:dyDescent="0.45">
      <c r="A174" s="37"/>
      <c r="B174" s="37"/>
      <c r="C174" s="37"/>
      <c r="D174" s="37"/>
      <c r="E174" s="37"/>
      <c r="F174" s="37"/>
      <c r="G174" s="39"/>
      <c r="H174" s="37"/>
      <c r="I174" s="39"/>
      <c r="J174" s="37"/>
      <c r="K174" s="39"/>
      <c r="L174" s="37"/>
      <c r="M174" s="39"/>
      <c r="N174" s="37"/>
      <c r="O174" s="39"/>
      <c r="P174" s="37"/>
      <c r="Q174" s="39"/>
      <c r="R174" s="37"/>
      <c r="S174" s="39"/>
      <c r="T174" s="37"/>
      <c r="U174" s="39"/>
      <c r="V174" s="37"/>
      <c r="W174" s="39"/>
      <c r="X174" s="37"/>
      <c r="Y174" s="39"/>
      <c r="Z174" s="37"/>
      <c r="AA174" s="39"/>
      <c r="AB174" s="37"/>
      <c r="AC174" s="39"/>
    </row>
    <row r="175" spans="1:29" x14ac:dyDescent="0.45">
      <c r="A175" s="37"/>
      <c r="B175" s="37"/>
      <c r="C175" s="37"/>
      <c r="D175" s="37"/>
      <c r="E175" s="37"/>
      <c r="F175" s="37"/>
      <c r="G175" s="39"/>
      <c r="H175" s="37"/>
      <c r="I175" s="39"/>
      <c r="J175" s="37"/>
      <c r="K175" s="39"/>
      <c r="L175" s="37"/>
      <c r="M175" s="39"/>
      <c r="N175" s="37"/>
      <c r="O175" s="39"/>
      <c r="P175" s="37"/>
      <c r="Q175" s="39"/>
      <c r="R175" s="37"/>
      <c r="S175" s="39"/>
      <c r="T175" s="37"/>
      <c r="U175" s="39"/>
      <c r="V175" s="37"/>
      <c r="W175" s="39"/>
      <c r="X175" s="37"/>
      <c r="Y175" s="39"/>
      <c r="Z175" s="37"/>
      <c r="AA175" s="39"/>
      <c r="AB175" s="37"/>
      <c r="AC175" s="39"/>
    </row>
    <row r="176" spans="1:29" x14ac:dyDescent="0.45">
      <c r="A176" s="37"/>
      <c r="B176" s="37"/>
      <c r="C176" s="37"/>
      <c r="D176" s="37"/>
      <c r="E176" s="37"/>
      <c r="F176" s="37"/>
      <c r="G176" s="39"/>
      <c r="H176" s="37"/>
      <c r="I176" s="39"/>
      <c r="J176" s="37"/>
      <c r="K176" s="39"/>
      <c r="L176" s="37"/>
      <c r="M176" s="39"/>
      <c r="N176" s="37"/>
      <c r="O176" s="39"/>
      <c r="P176" s="37"/>
      <c r="Q176" s="39"/>
      <c r="R176" s="37"/>
      <c r="S176" s="39"/>
      <c r="T176" s="37"/>
      <c r="U176" s="39"/>
      <c r="V176" s="37"/>
      <c r="W176" s="39"/>
      <c r="X176" s="37"/>
      <c r="Y176" s="39"/>
      <c r="Z176" s="37"/>
      <c r="AA176" s="39"/>
      <c r="AB176" s="37"/>
      <c r="AC176" s="39"/>
    </row>
    <row r="177" spans="1:29" x14ac:dyDescent="0.45">
      <c r="A177" s="37"/>
      <c r="B177" s="37"/>
      <c r="C177" s="37"/>
      <c r="D177" s="37"/>
      <c r="E177" s="37"/>
      <c r="F177" s="37"/>
      <c r="G177" s="39"/>
      <c r="H177" s="37"/>
      <c r="I177" s="39"/>
      <c r="J177" s="37"/>
      <c r="K177" s="39"/>
      <c r="L177" s="37"/>
      <c r="M177" s="39"/>
      <c r="N177" s="37"/>
      <c r="O177" s="39"/>
      <c r="P177" s="37"/>
      <c r="Q177" s="39"/>
      <c r="R177" s="37"/>
      <c r="S177" s="39"/>
      <c r="T177" s="37"/>
      <c r="U177" s="39"/>
      <c r="V177" s="37"/>
      <c r="W177" s="39"/>
      <c r="X177" s="37"/>
      <c r="Y177" s="39"/>
      <c r="Z177" s="37"/>
      <c r="AA177" s="39"/>
      <c r="AB177" s="37"/>
      <c r="AC177" s="39"/>
    </row>
    <row r="178" spans="1:29" x14ac:dyDescent="0.45">
      <c r="A178" s="37"/>
      <c r="B178" s="37"/>
      <c r="C178" s="37"/>
      <c r="D178" s="37"/>
      <c r="E178" s="37"/>
      <c r="F178" s="37"/>
      <c r="G178" s="39"/>
      <c r="H178" s="37"/>
      <c r="I178" s="39"/>
      <c r="J178" s="37"/>
      <c r="K178" s="39"/>
      <c r="L178" s="37"/>
      <c r="M178" s="39"/>
      <c r="N178" s="37"/>
      <c r="O178" s="39"/>
      <c r="P178" s="37"/>
      <c r="Q178" s="39"/>
      <c r="R178" s="37"/>
      <c r="S178" s="39"/>
      <c r="T178" s="37"/>
      <c r="U178" s="39"/>
      <c r="V178" s="37"/>
      <c r="W178" s="39"/>
      <c r="X178" s="37"/>
      <c r="Y178" s="39"/>
      <c r="Z178" s="37"/>
      <c r="AA178" s="39"/>
      <c r="AB178" s="37"/>
      <c r="AC178" s="39"/>
    </row>
    <row r="179" spans="1:29" x14ac:dyDescent="0.45">
      <c r="A179" s="37"/>
      <c r="B179" s="37"/>
      <c r="C179" s="37"/>
      <c r="D179" s="37"/>
      <c r="E179" s="37"/>
      <c r="F179" s="37"/>
      <c r="G179" s="39"/>
      <c r="H179" s="37"/>
      <c r="I179" s="39"/>
      <c r="J179" s="37"/>
      <c r="K179" s="39"/>
      <c r="L179" s="37"/>
      <c r="M179" s="39"/>
      <c r="N179" s="37"/>
      <c r="O179" s="39"/>
      <c r="P179" s="37"/>
      <c r="Q179" s="39"/>
      <c r="R179" s="37"/>
      <c r="S179" s="39"/>
      <c r="T179" s="37"/>
      <c r="U179" s="39"/>
      <c r="V179" s="37"/>
      <c r="W179" s="39"/>
      <c r="X179" s="37"/>
      <c r="Y179" s="39"/>
      <c r="Z179" s="37"/>
      <c r="AA179" s="39"/>
      <c r="AB179" s="37"/>
      <c r="AC179" s="39"/>
    </row>
    <row r="180" spans="1:29" x14ac:dyDescent="0.45">
      <c r="A180" s="37"/>
      <c r="B180" s="37"/>
      <c r="C180" s="37"/>
      <c r="D180" s="37"/>
      <c r="E180" s="37"/>
      <c r="F180" s="37"/>
      <c r="G180" s="39"/>
      <c r="H180" s="37"/>
      <c r="I180" s="39"/>
      <c r="J180" s="37"/>
      <c r="K180" s="39"/>
      <c r="L180" s="37"/>
      <c r="M180" s="39"/>
      <c r="N180" s="37"/>
      <c r="O180" s="39"/>
      <c r="P180" s="37"/>
      <c r="Q180" s="39"/>
      <c r="R180" s="37"/>
      <c r="S180" s="39"/>
      <c r="T180" s="37"/>
      <c r="U180" s="39"/>
      <c r="V180" s="37"/>
      <c r="W180" s="39"/>
      <c r="X180" s="37"/>
      <c r="Y180" s="39"/>
      <c r="Z180" s="37"/>
      <c r="AA180" s="39"/>
      <c r="AB180" s="37"/>
      <c r="AC180" s="39"/>
    </row>
    <row r="181" spans="1:29" x14ac:dyDescent="0.45">
      <c r="A181" s="37"/>
      <c r="B181" s="37"/>
      <c r="C181" s="37"/>
      <c r="D181" s="37"/>
      <c r="E181" s="37"/>
      <c r="F181" s="37"/>
      <c r="G181" s="39"/>
      <c r="H181" s="37"/>
      <c r="I181" s="39"/>
      <c r="J181" s="37"/>
      <c r="K181" s="39"/>
      <c r="L181" s="37"/>
      <c r="M181" s="39"/>
      <c r="N181" s="37"/>
      <c r="O181" s="39"/>
      <c r="P181" s="37"/>
      <c r="Q181" s="39"/>
      <c r="R181" s="37"/>
      <c r="S181" s="39"/>
      <c r="T181" s="37"/>
      <c r="U181" s="39"/>
      <c r="V181" s="37"/>
      <c r="W181" s="39"/>
      <c r="X181" s="37"/>
      <c r="Y181" s="39"/>
      <c r="Z181" s="37"/>
      <c r="AA181" s="39"/>
      <c r="AB181" s="37"/>
      <c r="AC181" s="39"/>
    </row>
    <row r="182" spans="1:29" x14ac:dyDescent="0.45">
      <c r="A182" s="37"/>
      <c r="B182" s="37"/>
      <c r="C182" s="37"/>
      <c r="D182" s="37"/>
      <c r="E182" s="37"/>
      <c r="F182" s="37"/>
      <c r="G182" s="39"/>
      <c r="H182" s="37"/>
      <c r="I182" s="39"/>
      <c r="J182" s="37"/>
      <c r="K182" s="39"/>
      <c r="L182" s="37"/>
      <c r="M182" s="39"/>
      <c r="N182" s="37"/>
      <c r="O182" s="39"/>
      <c r="P182" s="37"/>
      <c r="Q182" s="39"/>
      <c r="R182" s="37"/>
      <c r="S182" s="39"/>
      <c r="T182" s="37"/>
      <c r="U182" s="39"/>
      <c r="V182" s="37"/>
      <c r="W182" s="39"/>
      <c r="X182" s="37"/>
      <c r="Y182" s="39"/>
      <c r="Z182" s="37"/>
      <c r="AA182" s="39"/>
      <c r="AB182" s="37"/>
      <c r="AC182" s="39"/>
    </row>
    <row r="183" spans="1:29" x14ac:dyDescent="0.45">
      <c r="A183" s="37"/>
      <c r="B183" s="37"/>
      <c r="C183" s="37"/>
      <c r="D183" s="37"/>
      <c r="E183" s="37"/>
      <c r="F183" s="37"/>
      <c r="G183" s="39"/>
      <c r="H183" s="37"/>
      <c r="I183" s="39"/>
      <c r="J183" s="37"/>
      <c r="K183" s="39"/>
      <c r="L183" s="37"/>
      <c r="M183" s="39"/>
      <c r="N183" s="37"/>
      <c r="O183" s="39"/>
      <c r="P183" s="37"/>
      <c r="Q183" s="39"/>
      <c r="R183" s="37"/>
      <c r="S183" s="39"/>
      <c r="T183" s="37"/>
      <c r="U183" s="39"/>
      <c r="V183" s="37"/>
      <c r="W183" s="39"/>
      <c r="X183" s="37"/>
      <c r="Y183" s="39"/>
      <c r="Z183" s="37"/>
      <c r="AA183" s="39"/>
      <c r="AB183" s="37"/>
      <c r="AC183" s="39"/>
    </row>
    <row r="184" spans="1:29" x14ac:dyDescent="0.45">
      <c r="A184" s="37"/>
      <c r="B184" s="37"/>
      <c r="C184" s="37"/>
      <c r="D184" s="37"/>
      <c r="E184" s="37"/>
      <c r="F184" s="37"/>
      <c r="G184" s="39"/>
      <c r="H184" s="37"/>
      <c r="I184" s="39"/>
      <c r="J184" s="37"/>
      <c r="K184" s="39"/>
      <c r="L184" s="37"/>
      <c r="M184" s="39"/>
      <c r="N184" s="37"/>
      <c r="O184" s="39"/>
      <c r="P184" s="37"/>
      <c r="Q184" s="39"/>
      <c r="R184" s="37"/>
      <c r="S184" s="39"/>
      <c r="T184" s="37"/>
      <c r="U184" s="39"/>
      <c r="V184" s="37"/>
      <c r="W184" s="39"/>
      <c r="X184" s="37"/>
      <c r="Y184" s="39"/>
      <c r="Z184" s="37"/>
      <c r="AA184" s="39"/>
      <c r="AB184" s="37"/>
      <c r="AC184" s="39"/>
    </row>
    <row r="185" spans="1:29" x14ac:dyDescent="0.45">
      <c r="A185" s="37"/>
      <c r="B185" s="37"/>
      <c r="C185" s="37"/>
      <c r="D185" s="37"/>
      <c r="E185" s="37"/>
      <c r="F185" s="37"/>
      <c r="G185" s="39"/>
      <c r="H185" s="37"/>
      <c r="I185" s="39"/>
      <c r="J185" s="37"/>
      <c r="K185" s="39"/>
      <c r="L185" s="37"/>
      <c r="M185" s="39"/>
      <c r="N185" s="37"/>
      <c r="O185" s="39"/>
      <c r="P185" s="37"/>
      <c r="Q185" s="39"/>
      <c r="R185" s="37"/>
      <c r="S185" s="39"/>
      <c r="T185" s="37"/>
      <c r="U185" s="39"/>
      <c r="V185" s="37"/>
      <c r="W185" s="39"/>
      <c r="X185" s="37"/>
      <c r="Y185" s="39"/>
      <c r="Z185" s="37"/>
      <c r="AA185" s="39"/>
      <c r="AB185" s="37"/>
      <c r="AC185" s="39"/>
    </row>
    <row r="186" spans="1:29" x14ac:dyDescent="0.45">
      <c r="A186" s="37"/>
      <c r="B186" s="37"/>
      <c r="C186" s="37"/>
      <c r="D186" s="37"/>
      <c r="E186" s="37"/>
      <c r="F186" s="37"/>
      <c r="G186" s="39"/>
      <c r="H186" s="37"/>
      <c r="I186" s="39"/>
      <c r="J186" s="37"/>
      <c r="K186" s="39"/>
      <c r="L186" s="37"/>
      <c r="M186" s="39"/>
      <c r="N186" s="37"/>
      <c r="O186" s="39"/>
      <c r="P186" s="37"/>
      <c r="Q186" s="39"/>
      <c r="R186" s="37"/>
      <c r="S186" s="39"/>
      <c r="T186" s="37"/>
      <c r="U186" s="39"/>
      <c r="V186" s="37"/>
      <c r="W186" s="39"/>
      <c r="X186" s="37"/>
      <c r="Y186" s="39"/>
      <c r="Z186" s="37"/>
      <c r="AA186" s="39"/>
      <c r="AB186" s="37"/>
      <c r="AC186" s="39"/>
    </row>
    <row r="187" spans="1:29" x14ac:dyDescent="0.45">
      <c r="A187" s="37"/>
      <c r="B187" s="37"/>
      <c r="C187" s="37"/>
      <c r="D187" s="37"/>
      <c r="E187" s="37"/>
      <c r="F187" s="37"/>
      <c r="G187" s="39"/>
      <c r="H187" s="37"/>
      <c r="I187" s="39"/>
      <c r="J187" s="37"/>
      <c r="K187" s="39"/>
      <c r="L187" s="37"/>
      <c r="M187" s="39"/>
      <c r="N187" s="37"/>
      <c r="O187" s="39"/>
      <c r="P187" s="37"/>
      <c r="Q187" s="39"/>
      <c r="R187" s="37"/>
      <c r="S187" s="39"/>
      <c r="T187" s="37"/>
      <c r="U187" s="39"/>
      <c r="V187" s="37"/>
      <c r="W187" s="39"/>
      <c r="X187" s="37"/>
      <c r="Y187" s="39"/>
      <c r="Z187" s="37"/>
      <c r="AA187" s="39"/>
      <c r="AB187" s="37"/>
      <c r="AC187" s="39"/>
    </row>
    <row r="188" spans="1:29" x14ac:dyDescent="0.45">
      <c r="A188" s="37"/>
      <c r="B188" s="37"/>
      <c r="C188" s="37"/>
      <c r="D188" s="37"/>
      <c r="E188" s="37"/>
      <c r="F188" s="37"/>
      <c r="G188" s="39"/>
      <c r="H188" s="37"/>
      <c r="I188" s="39"/>
      <c r="J188" s="37"/>
      <c r="K188" s="39"/>
      <c r="L188" s="37"/>
      <c r="M188" s="39"/>
      <c r="N188" s="37"/>
      <c r="O188" s="39"/>
      <c r="P188" s="37"/>
      <c r="Q188" s="39"/>
      <c r="R188" s="37"/>
      <c r="S188" s="39"/>
      <c r="T188" s="37"/>
      <c r="U188" s="39"/>
      <c r="V188" s="37"/>
      <c r="W188" s="39"/>
      <c r="X188" s="37"/>
      <c r="Y188" s="39"/>
      <c r="Z188" s="37"/>
      <c r="AA188" s="39"/>
      <c r="AB188" s="37"/>
      <c r="AC188" s="39"/>
    </row>
    <row r="189" spans="1:29" x14ac:dyDescent="0.45">
      <c r="A189" s="37"/>
      <c r="B189" s="37"/>
      <c r="C189" s="37"/>
      <c r="D189" s="37"/>
      <c r="E189" s="37"/>
      <c r="F189" s="37"/>
      <c r="G189" s="39"/>
      <c r="H189" s="37"/>
      <c r="I189" s="39"/>
      <c r="J189" s="37"/>
      <c r="K189" s="39"/>
      <c r="L189" s="37"/>
      <c r="M189" s="39"/>
      <c r="N189" s="37"/>
      <c r="O189" s="39"/>
      <c r="P189" s="37"/>
      <c r="Q189" s="39"/>
      <c r="R189" s="37"/>
      <c r="S189" s="39"/>
      <c r="T189" s="37"/>
      <c r="U189" s="39"/>
      <c r="V189" s="37"/>
      <c r="W189" s="39"/>
      <c r="X189" s="37"/>
      <c r="Y189" s="39"/>
      <c r="Z189" s="37"/>
      <c r="AA189" s="39"/>
      <c r="AB189" s="37"/>
      <c r="AC189" s="39"/>
    </row>
    <row r="190" spans="1:29" x14ac:dyDescent="0.45">
      <c r="A190" s="37"/>
      <c r="B190" s="37"/>
      <c r="C190" s="37"/>
      <c r="D190" s="37"/>
      <c r="E190" s="37"/>
      <c r="F190" s="37"/>
      <c r="G190" s="39"/>
      <c r="H190" s="37"/>
      <c r="I190" s="39"/>
      <c r="J190" s="37"/>
      <c r="K190" s="39"/>
      <c r="L190" s="37"/>
      <c r="M190" s="39"/>
      <c r="N190" s="37"/>
      <c r="O190" s="39"/>
      <c r="P190" s="37"/>
      <c r="Q190" s="39"/>
      <c r="R190" s="37"/>
      <c r="S190" s="39"/>
      <c r="T190" s="37"/>
      <c r="U190" s="39"/>
      <c r="V190" s="37"/>
      <c r="W190" s="39"/>
      <c r="X190" s="37"/>
      <c r="Y190" s="39"/>
      <c r="Z190" s="37"/>
      <c r="AA190" s="39"/>
      <c r="AB190" s="37"/>
      <c r="AC190" s="39"/>
    </row>
    <row r="191" spans="1:29" x14ac:dyDescent="0.45">
      <c r="A191" s="37"/>
      <c r="B191" s="37"/>
      <c r="C191" s="37"/>
      <c r="D191" s="37"/>
      <c r="E191" s="37"/>
      <c r="F191" s="37"/>
      <c r="G191" s="39"/>
      <c r="H191" s="37"/>
      <c r="I191" s="39"/>
      <c r="J191" s="37"/>
      <c r="K191" s="39"/>
      <c r="L191" s="37"/>
      <c r="M191" s="39"/>
      <c r="N191" s="37"/>
      <c r="O191" s="39"/>
      <c r="P191" s="37"/>
      <c r="Q191" s="39"/>
      <c r="R191" s="37"/>
      <c r="S191" s="39"/>
      <c r="T191" s="37"/>
      <c r="U191" s="39"/>
      <c r="V191" s="37"/>
      <c r="W191" s="39"/>
      <c r="X191" s="37"/>
      <c r="Y191" s="39"/>
      <c r="Z191" s="37"/>
      <c r="AA191" s="39"/>
      <c r="AB191" s="37"/>
      <c r="AC191" s="39"/>
    </row>
    <row r="192" spans="1:29" x14ac:dyDescent="0.45">
      <c r="A192" s="37"/>
      <c r="B192" s="37"/>
      <c r="C192" s="37"/>
      <c r="D192" s="37"/>
      <c r="E192" s="37"/>
      <c r="F192" s="37"/>
      <c r="G192" s="39"/>
      <c r="H192" s="37"/>
      <c r="I192" s="39"/>
      <c r="J192" s="37"/>
      <c r="K192" s="39"/>
      <c r="L192" s="37"/>
      <c r="M192" s="39"/>
      <c r="N192" s="37"/>
      <c r="O192" s="39"/>
      <c r="P192" s="37"/>
      <c r="Q192" s="39"/>
      <c r="R192" s="37"/>
      <c r="S192" s="39"/>
      <c r="T192" s="37"/>
      <c r="U192" s="39"/>
      <c r="V192" s="37"/>
      <c r="W192" s="39"/>
      <c r="X192" s="37"/>
      <c r="Y192" s="39"/>
      <c r="Z192" s="37"/>
      <c r="AA192" s="39"/>
      <c r="AB192" s="37"/>
      <c r="AC192" s="39"/>
    </row>
    <row r="193" spans="1:29" x14ac:dyDescent="0.45">
      <c r="A193" s="37"/>
      <c r="B193" s="37"/>
      <c r="C193" s="37"/>
      <c r="D193" s="37"/>
      <c r="E193" s="37"/>
      <c r="F193" s="37"/>
      <c r="G193" s="39"/>
      <c r="H193" s="37"/>
      <c r="I193" s="39"/>
      <c r="J193" s="37"/>
      <c r="K193" s="39"/>
      <c r="L193" s="37"/>
      <c r="M193" s="39"/>
      <c r="N193" s="37"/>
      <c r="O193" s="39"/>
      <c r="P193" s="37"/>
      <c r="Q193" s="39"/>
      <c r="R193" s="37"/>
      <c r="S193" s="39"/>
      <c r="T193" s="37"/>
      <c r="U193" s="39"/>
      <c r="V193" s="37"/>
      <c r="W193" s="39"/>
      <c r="X193" s="37"/>
      <c r="Y193" s="39"/>
      <c r="Z193" s="37"/>
      <c r="AA193" s="39"/>
      <c r="AB193" s="37"/>
      <c r="AC193" s="39"/>
    </row>
    <row r="194" spans="1:29" x14ac:dyDescent="0.45">
      <c r="A194" s="37"/>
      <c r="B194" s="37"/>
      <c r="C194" s="37"/>
      <c r="D194" s="37"/>
      <c r="E194" s="37"/>
      <c r="F194" s="37"/>
      <c r="G194" s="39"/>
      <c r="H194" s="37"/>
      <c r="I194" s="39"/>
      <c r="J194" s="37"/>
      <c r="K194" s="39"/>
      <c r="L194" s="37"/>
      <c r="M194" s="39"/>
      <c r="N194" s="37"/>
      <c r="O194" s="39"/>
      <c r="P194" s="37"/>
      <c r="Q194" s="39"/>
      <c r="R194" s="37"/>
      <c r="S194" s="39"/>
      <c r="T194" s="37"/>
      <c r="U194" s="39"/>
      <c r="V194" s="37"/>
      <c r="W194" s="39"/>
      <c r="X194" s="37"/>
      <c r="Y194" s="39"/>
      <c r="Z194" s="37"/>
      <c r="AA194" s="39"/>
      <c r="AB194" s="37"/>
      <c r="AC194" s="39"/>
    </row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4D74E-8B10-4768-9E78-9CAF39F01FE9}">
  <sheetPr>
    <tabColor theme="5" tint="0.39997558519241921"/>
  </sheetPr>
  <dimension ref="A1:AG58"/>
  <sheetViews>
    <sheetView zoomScaleNormal="100" workbookViewId="0">
      <pane ySplit="1" topLeftCell="A2" activePane="bottomLeft" state="frozen"/>
      <selection pane="bottomLeft" activeCell="C12" sqref="C12"/>
    </sheetView>
  </sheetViews>
  <sheetFormatPr defaultColWidth="9" defaultRowHeight="17" x14ac:dyDescent="0.45"/>
  <cols>
    <col min="1" max="1" width="9" style="1"/>
    <col min="2" max="2" width="17.25" style="1" customWidth="1"/>
    <col min="3" max="3" width="18.5" style="1" customWidth="1"/>
    <col min="4" max="4" width="9.58203125" style="1" customWidth="1"/>
    <col min="5" max="5" width="12.75" style="1" customWidth="1"/>
    <col min="6" max="6" width="20.25" style="1" customWidth="1"/>
    <col min="7" max="7" width="9" style="1"/>
    <col min="8" max="8" width="9.83203125" style="1" bestFit="1" customWidth="1"/>
    <col min="9" max="9" width="9.83203125" style="1" customWidth="1"/>
    <col min="10" max="10" width="16.08203125" style="1" customWidth="1"/>
    <col min="11" max="11" width="9.83203125" style="1" bestFit="1" customWidth="1"/>
    <col min="12" max="12" width="17.5" style="1" customWidth="1"/>
    <col min="13" max="13" width="9.83203125" style="1" bestFit="1" customWidth="1"/>
    <col min="14" max="14" width="17.5" style="1" customWidth="1"/>
    <col min="15" max="15" width="9.83203125" style="1" bestFit="1" customWidth="1"/>
    <col min="16" max="16" width="17.5" style="1" customWidth="1"/>
    <col min="17" max="17" width="9" style="1"/>
    <col min="18" max="18" width="17.5" style="1" customWidth="1"/>
    <col min="19" max="19" width="9" style="1"/>
    <col min="20" max="20" width="17.5" style="1" customWidth="1"/>
    <col min="21" max="21" width="9" style="1"/>
    <col min="22" max="22" width="17.5" style="1" customWidth="1"/>
    <col min="23" max="23" width="9" style="1"/>
    <col min="24" max="24" width="17.5" style="1" customWidth="1"/>
    <col min="25" max="25" width="9" style="1"/>
    <col min="26" max="26" width="17.5" style="1" customWidth="1"/>
    <col min="27" max="27" width="9" style="1"/>
    <col min="28" max="28" width="17.5" style="1" customWidth="1"/>
    <col min="29" max="29" width="9" style="1"/>
    <col min="30" max="30" width="17.5" style="1" customWidth="1"/>
    <col min="31" max="31" width="9" style="1"/>
    <col min="32" max="32" width="17.5" style="1" customWidth="1"/>
    <col min="33" max="16384" width="9" style="1"/>
  </cols>
  <sheetData>
    <row r="1" spans="1:33" x14ac:dyDescent="0.45">
      <c r="A1" s="3" t="s">
        <v>38</v>
      </c>
      <c r="B1" s="3" t="s">
        <v>0</v>
      </c>
      <c r="C1" s="3" t="s">
        <v>4</v>
      </c>
      <c r="D1" s="3" t="s">
        <v>2</v>
      </c>
      <c r="E1" s="3" t="s">
        <v>6</v>
      </c>
      <c r="F1" s="3" t="s">
        <v>39</v>
      </c>
      <c r="G1" s="3"/>
      <c r="H1" s="3" t="s">
        <v>5</v>
      </c>
      <c r="I1" s="3" t="s">
        <v>94</v>
      </c>
      <c r="J1" s="3" t="s">
        <v>13</v>
      </c>
      <c r="K1" s="3" t="s">
        <v>85</v>
      </c>
      <c r="L1" s="3" t="s">
        <v>14</v>
      </c>
      <c r="M1" s="3" t="s">
        <v>85</v>
      </c>
      <c r="N1" s="3" t="s">
        <v>15</v>
      </c>
      <c r="O1" s="3" t="s">
        <v>85</v>
      </c>
      <c r="P1" s="3" t="s">
        <v>16</v>
      </c>
      <c r="Q1" s="3" t="s">
        <v>85</v>
      </c>
      <c r="R1" s="3" t="s">
        <v>17</v>
      </c>
      <c r="S1" s="3" t="s">
        <v>85</v>
      </c>
      <c r="T1" s="3" t="s">
        <v>18</v>
      </c>
      <c r="U1" s="3" t="s">
        <v>85</v>
      </c>
      <c r="V1" s="3" t="s">
        <v>19</v>
      </c>
      <c r="W1" s="3" t="s">
        <v>85</v>
      </c>
      <c r="X1" s="3" t="s">
        <v>21</v>
      </c>
      <c r="Y1" s="3" t="s">
        <v>85</v>
      </c>
      <c r="Z1" s="3" t="s">
        <v>22</v>
      </c>
      <c r="AA1" s="3" t="s">
        <v>85</v>
      </c>
      <c r="AB1" s="3" t="s">
        <v>23</v>
      </c>
      <c r="AC1" s="3" t="s">
        <v>85</v>
      </c>
      <c r="AD1" s="3" t="s">
        <v>24</v>
      </c>
      <c r="AE1" s="3" t="s">
        <v>85</v>
      </c>
      <c r="AF1" s="3" t="s">
        <v>25</v>
      </c>
      <c r="AG1" s="3" t="s">
        <v>85</v>
      </c>
    </row>
    <row r="2" spans="1:33" x14ac:dyDescent="0.45">
      <c r="A2" s="1">
        <v>1</v>
      </c>
      <c r="B2" s="1" t="s">
        <v>1</v>
      </c>
      <c r="C2" s="1" t="s">
        <v>30</v>
      </c>
      <c r="D2" s="1" t="s">
        <v>3</v>
      </c>
      <c r="E2" s="1" t="s">
        <v>7</v>
      </c>
      <c r="F2" s="1" t="s">
        <v>40</v>
      </c>
      <c r="G2" s="1" t="s">
        <v>46</v>
      </c>
      <c r="H2" s="1">
        <v>15</v>
      </c>
      <c r="I2" s="1" t="s">
        <v>95</v>
      </c>
      <c r="J2" s="9">
        <v>45095</v>
      </c>
      <c r="L2" s="2">
        <v>45123</v>
      </c>
      <c r="M2" s="6">
        <v>45132</v>
      </c>
      <c r="N2" s="10">
        <v>45151</v>
      </c>
      <c r="O2" s="2">
        <v>45160</v>
      </c>
      <c r="P2" s="10">
        <v>45179</v>
      </c>
      <c r="R2" s="5">
        <v>45207</v>
      </c>
      <c r="T2" s="10">
        <v>45235</v>
      </c>
      <c r="V2" s="10">
        <v>45263</v>
      </c>
      <c r="X2" s="5">
        <v>45291</v>
      </c>
      <c r="Z2" s="10">
        <v>45319</v>
      </c>
      <c r="AB2" s="10">
        <v>45347</v>
      </c>
      <c r="AD2" s="2">
        <v>45375</v>
      </c>
      <c r="AF2" s="10">
        <v>45403</v>
      </c>
    </row>
    <row r="3" spans="1:33" x14ac:dyDescent="0.45">
      <c r="A3" s="1">
        <v>2</v>
      </c>
      <c r="B3" s="26" t="s">
        <v>8</v>
      </c>
      <c r="C3" s="26" t="s">
        <v>31</v>
      </c>
      <c r="D3" s="26" t="s">
        <v>3</v>
      </c>
      <c r="E3" s="26" t="s">
        <v>9</v>
      </c>
      <c r="F3" s="26" t="s">
        <v>64</v>
      </c>
      <c r="G3" s="26" t="s">
        <v>27</v>
      </c>
      <c r="H3" s="26">
        <v>24</v>
      </c>
      <c r="I3" s="23"/>
      <c r="J3" s="25">
        <v>45095</v>
      </c>
      <c r="K3" s="23"/>
      <c r="L3" s="24">
        <v>45123</v>
      </c>
      <c r="M3" s="23"/>
      <c r="N3" s="24">
        <v>45151</v>
      </c>
      <c r="P3" s="10">
        <v>45179</v>
      </c>
      <c r="R3" s="5">
        <v>45207</v>
      </c>
      <c r="T3" s="5">
        <v>45235</v>
      </c>
      <c r="V3" s="10">
        <v>45263</v>
      </c>
      <c r="X3" s="5">
        <v>45291</v>
      </c>
      <c r="Z3" s="5">
        <v>45319</v>
      </c>
      <c r="AB3" s="10">
        <v>45347</v>
      </c>
      <c r="AD3" s="5">
        <v>45375</v>
      </c>
      <c r="AF3" s="5">
        <v>45403</v>
      </c>
    </row>
    <row r="4" spans="1:33" x14ac:dyDescent="0.45">
      <c r="A4" s="1">
        <v>3</v>
      </c>
      <c r="B4" s="1" t="s">
        <v>10</v>
      </c>
      <c r="C4" s="1" t="s">
        <v>32</v>
      </c>
      <c r="D4" s="1" t="s">
        <v>3</v>
      </c>
      <c r="E4" s="1" t="s">
        <v>9</v>
      </c>
      <c r="F4" s="1" t="s">
        <v>69</v>
      </c>
      <c r="G4" s="1" t="s">
        <v>46</v>
      </c>
      <c r="H4" s="1">
        <v>10</v>
      </c>
      <c r="J4" s="9">
        <v>45094</v>
      </c>
      <c r="L4" s="6">
        <v>45122</v>
      </c>
      <c r="N4" s="5">
        <v>45150</v>
      </c>
      <c r="O4" s="2">
        <v>45161</v>
      </c>
      <c r="P4" s="10">
        <v>45178</v>
      </c>
      <c r="R4" s="5">
        <v>45206</v>
      </c>
      <c r="T4" s="5">
        <v>45234</v>
      </c>
      <c r="V4" s="10">
        <v>45262</v>
      </c>
      <c r="X4" s="5">
        <v>45290</v>
      </c>
      <c r="Z4" s="5">
        <v>45318</v>
      </c>
      <c r="AB4" s="10">
        <v>45346</v>
      </c>
      <c r="AD4" s="5">
        <v>45374</v>
      </c>
      <c r="AF4" s="5">
        <v>45402</v>
      </c>
    </row>
    <row r="5" spans="1:33" x14ac:dyDescent="0.45">
      <c r="A5" s="1">
        <v>4</v>
      </c>
      <c r="B5" s="1" t="s">
        <v>11</v>
      </c>
      <c r="C5" s="1" t="s">
        <v>33</v>
      </c>
      <c r="D5" s="1" t="s">
        <v>3</v>
      </c>
      <c r="E5" s="1" t="s">
        <v>9</v>
      </c>
      <c r="F5" s="1" t="s">
        <v>45</v>
      </c>
      <c r="G5" s="1" t="s">
        <v>46</v>
      </c>
      <c r="H5" s="1">
        <v>10</v>
      </c>
      <c r="I5" s="1" t="s">
        <v>95</v>
      </c>
      <c r="J5" s="9">
        <v>45070</v>
      </c>
      <c r="L5" s="6">
        <v>45098</v>
      </c>
      <c r="N5" s="2">
        <v>45126</v>
      </c>
      <c r="O5" s="6">
        <v>45138</v>
      </c>
      <c r="P5" s="10">
        <v>45154</v>
      </c>
      <c r="Q5" s="7"/>
      <c r="R5" s="5">
        <v>45182</v>
      </c>
      <c r="S5" s="7"/>
      <c r="T5" s="5">
        <v>45210</v>
      </c>
      <c r="U5" s="7"/>
      <c r="V5" s="10">
        <v>45238</v>
      </c>
      <c r="W5" s="7"/>
      <c r="X5" s="5">
        <v>45266</v>
      </c>
      <c r="Y5" s="7"/>
      <c r="Z5" s="5">
        <v>45294</v>
      </c>
      <c r="AA5" s="7"/>
      <c r="AB5" s="10">
        <v>45322</v>
      </c>
      <c r="AC5" s="7"/>
      <c r="AD5" s="5">
        <v>45350</v>
      </c>
      <c r="AE5" s="7"/>
      <c r="AF5" s="5">
        <v>45378</v>
      </c>
    </row>
    <row r="6" spans="1:33" x14ac:dyDescent="0.45">
      <c r="A6" s="1">
        <v>5</v>
      </c>
      <c r="B6" s="1" t="s">
        <v>12</v>
      </c>
      <c r="C6" s="1" t="s">
        <v>34</v>
      </c>
      <c r="D6" s="1" t="s">
        <v>3</v>
      </c>
      <c r="E6" s="1" t="s">
        <v>9</v>
      </c>
      <c r="F6" s="1" t="s">
        <v>107</v>
      </c>
      <c r="H6" s="1">
        <v>10</v>
      </c>
      <c r="I6" s="1" t="s">
        <v>95</v>
      </c>
      <c r="J6" s="9">
        <v>45064</v>
      </c>
      <c r="L6" s="17">
        <v>45092</v>
      </c>
      <c r="N6" s="17">
        <v>45120</v>
      </c>
      <c r="P6" s="5">
        <v>45148</v>
      </c>
      <c r="R6" s="10">
        <v>45176</v>
      </c>
      <c r="S6" s="7"/>
      <c r="T6" s="5">
        <v>45204</v>
      </c>
      <c r="U6" s="7"/>
      <c r="V6" s="5">
        <v>45232</v>
      </c>
      <c r="W6" s="7"/>
      <c r="X6" s="5">
        <v>45260</v>
      </c>
      <c r="Y6" s="7"/>
      <c r="Z6" s="10">
        <v>45288</v>
      </c>
      <c r="AA6" s="7"/>
      <c r="AB6" s="5">
        <v>45316</v>
      </c>
      <c r="AC6" s="7"/>
      <c r="AD6" s="5">
        <v>45344</v>
      </c>
      <c r="AE6" s="7"/>
      <c r="AF6" s="5">
        <v>45372</v>
      </c>
    </row>
    <row r="7" spans="1:33" x14ac:dyDescent="0.45">
      <c r="A7" s="1">
        <v>6</v>
      </c>
      <c r="B7" s="270" t="s">
        <v>26</v>
      </c>
      <c r="C7" s="270" t="s">
        <v>35</v>
      </c>
      <c r="D7" s="20" t="s">
        <v>3</v>
      </c>
      <c r="E7" s="20" t="s">
        <v>7</v>
      </c>
      <c r="F7" s="20" t="s">
        <v>44</v>
      </c>
      <c r="G7" s="20" t="s">
        <v>46</v>
      </c>
      <c r="H7" s="20">
        <v>15</v>
      </c>
      <c r="I7" s="1" t="s">
        <v>95</v>
      </c>
      <c r="J7" s="8">
        <v>45064</v>
      </c>
      <c r="L7" s="18"/>
      <c r="N7" s="19"/>
      <c r="P7" s="12">
        <v>45141</v>
      </c>
      <c r="R7" s="11">
        <v>45169</v>
      </c>
      <c r="S7" s="7"/>
      <c r="T7" s="12">
        <v>45197</v>
      </c>
      <c r="U7" s="7"/>
      <c r="V7" s="11">
        <v>45225</v>
      </c>
      <c r="W7" s="7"/>
      <c r="X7" s="12">
        <v>45253</v>
      </c>
      <c r="Y7" s="7"/>
      <c r="Z7" s="11">
        <v>45281</v>
      </c>
      <c r="AA7" s="7"/>
      <c r="AB7" s="12">
        <v>45309</v>
      </c>
      <c r="AC7" s="7"/>
      <c r="AD7" s="11">
        <v>45337</v>
      </c>
      <c r="AE7" s="7"/>
      <c r="AF7" s="12">
        <v>45365</v>
      </c>
    </row>
    <row r="8" spans="1:33" x14ac:dyDescent="0.45">
      <c r="A8" s="1">
        <v>7</v>
      </c>
      <c r="B8" s="270" t="s">
        <v>20</v>
      </c>
      <c r="C8" s="270" t="s">
        <v>36</v>
      </c>
      <c r="D8" s="1" t="s">
        <v>3</v>
      </c>
      <c r="E8" s="1" t="s">
        <v>7</v>
      </c>
      <c r="F8" s="1" t="s">
        <v>43</v>
      </c>
      <c r="G8" s="1" t="s">
        <v>46</v>
      </c>
      <c r="H8" s="1">
        <v>15</v>
      </c>
      <c r="I8" s="1" t="s">
        <v>95</v>
      </c>
      <c r="J8" s="9">
        <v>45062</v>
      </c>
      <c r="L8" s="6">
        <v>45090</v>
      </c>
      <c r="M8" s="6">
        <v>45130</v>
      </c>
      <c r="N8" s="10">
        <v>45118</v>
      </c>
      <c r="O8" s="2">
        <v>45161</v>
      </c>
      <c r="P8" s="10">
        <v>45146</v>
      </c>
      <c r="Q8" s="7"/>
      <c r="R8" s="5">
        <v>45174</v>
      </c>
      <c r="S8" s="7"/>
      <c r="T8" s="10">
        <v>45202</v>
      </c>
      <c r="U8" s="7"/>
      <c r="V8" s="10">
        <v>45230</v>
      </c>
      <c r="W8" s="7"/>
      <c r="X8" s="5">
        <v>45258</v>
      </c>
      <c r="Y8" s="7"/>
      <c r="Z8" s="10">
        <v>45286</v>
      </c>
      <c r="AA8" s="7"/>
      <c r="AB8" s="10">
        <v>45314</v>
      </c>
      <c r="AC8" s="7"/>
      <c r="AD8" s="5">
        <v>45342</v>
      </c>
      <c r="AE8" s="7"/>
      <c r="AF8" s="10">
        <v>45370</v>
      </c>
    </row>
    <row r="9" spans="1:33" x14ac:dyDescent="0.45">
      <c r="A9" s="1">
        <v>8</v>
      </c>
      <c r="B9" s="270" t="s">
        <v>28</v>
      </c>
      <c r="C9" s="270" t="s">
        <v>37</v>
      </c>
      <c r="D9" s="23" t="s">
        <v>29</v>
      </c>
      <c r="E9" s="23" t="s">
        <v>9</v>
      </c>
      <c r="F9" s="23" t="s">
        <v>71</v>
      </c>
      <c r="G9" s="1" t="s">
        <v>27</v>
      </c>
      <c r="H9" s="1">
        <v>24</v>
      </c>
      <c r="J9" s="6">
        <v>45099</v>
      </c>
      <c r="L9" s="6">
        <v>45127</v>
      </c>
      <c r="N9" s="6">
        <v>45155</v>
      </c>
      <c r="P9" s="5">
        <v>45183</v>
      </c>
      <c r="Q9" s="7"/>
      <c r="R9" s="5">
        <v>45211</v>
      </c>
      <c r="S9" s="7"/>
      <c r="T9" s="5">
        <v>45239</v>
      </c>
      <c r="U9" s="7"/>
      <c r="V9" s="5">
        <v>45267</v>
      </c>
      <c r="W9" s="7"/>
      <c r="X9" s="5">
        <v>45295</v>
      </c>
      <c r="Y9" s="7"/>
      <c r="Z9" s="5">
        <v>45323</v>
      </c>
      <c r="AA9" s="7"/>
      <c r="AB9" s="5">
        <v>45351</v>
      </c>
      <c r="AC9" s="7"/>
      <c r="AD9" s="5">
        <v>45379</v>
      </c>
      <c r="AE9" s="7"/>
      <c r="AF9" s="5">
        <v>45407</v>
      </c>
    </row>
    <row r="10" spans="1:33" x14ac:dyDescent="0.45">
      <c r="A10" s="1">
        <v>9</v>
      </c>
      <c r="B10" s="270" t="s">
        <v>10</v>
      </c>
      <c r="C10" s="270" t="s">
        <v>32</v>
      </c>
      <c r="D10" s="1" t="s">
        <v>29</v>
      </c>
      <c r="E10" s="1" t="s">
        <v>9</v>
      </c>
      <c r="F10" s="1" t="s">
        <v>70</v>
      </c>
      <c r="G10" s="1" t="s">
        <v>27</v>
      </c>
      <c r="H10" s="1">
        <v>15</v>
      </c>
      <c r="I10" s="1" t="s">
        <v>95</v>
      </c>
      <c r="J10" s="6">
        <v>45113</v>
      </c>
      <c r="L10" s="6">
        <v>45141</v>
      </c>
      <c r="M10" s="6">
        <v>45132</v>
      </c>
      <c r="N10" s="2">
        <v>45169</v>
      </c>
      <c r="P10" s="5">
        <v>45197</v>
      </c>
      <c r="Q10" s="7"/>
      <c r="R10" s="5">
        <v>45225</v>
      </c>
      <c r="S10" s="7"/>
      <c r="T10" s="5">
        <v>45253</v>
      </c>
      <c r="U10" s="7"/>
      <c r="V10" s="5">
        <v>45281</v>
      </c>
      <c r="W10" s="7"/>
      <c r="X10" s="5">
        <v>45309</v>
      </c>
      <c r="Y10" s="7"/>
      <c r="Z10" s="5">
        <v>45337</v>
      </c>
      <c r="AA10" s="7"/>
      <c r="AB10" s="5">
        <v>45365</v>
      </c>
      <c r="AC10" s="7"/>
      <c r="AD10" s="5">
        <v>45393</v>
      </c>
      <c r="AE10" s="7"/>
      <c r="AF10" s="5">
        <v>45421</v>
      </c>
    </row>
    <row r="11" spans="1:33" x14ac:dyDescent="0.45">
      <c r="A11" s="1">
        <v>10</v>
      </c>
      <c r="B11" s="512" t="s">
        <v>97</v>
      </c>
      <c r="C11" s="512" t="s">
        <v>56</v>
      </c>
      <c r="D11" s="7" t="s">
        <v>58</v>
      </c>
      <c r="E11" s="1" t="s">
        <v>9</v>
      </c>
      <c r="F11" s="1" t="s">
        <v>59</v>
      </c>
      <c r="G11" s="1" t="s">
        <v>27</v>
      </c>
      <c r="H11" s="1">
        <v>60</v>
      </c>
      <c r="I11" s="1" t="s">
        <v>96</v>
      </c>
      <c r="J11" s="6">
        <v>45138</v>
      </c>
      <c r="K11" s="6">
        <v>45111</v>
      </c>
      <c r="L11" s="6">
        <v>45169</v>
      </c>
      <c r="N11" s="6">
        <v>45197</v>
      </c>
      <c r="P11" s="5">
        <v>45211</v>
      </c>
      <c r="Q11" s="7"/>
      <c r="R11" s="5">
        <v>45239</v>
      </c>
      <c r="S11" s="7"/>
      <c r="T11" s="5">
        <v>45267</v>
      </c>
      <c r="U11" s="7"/>
      <c r="V11" s="5">
        <v>45295</v>
      </c>
      <c r="W11" s="7"/>
      <c r="X11" s="5">
        <v>45323</v>
      </c>
      <c r="Y11" s="7"/>
      <c r="Z11" s="5">
        <v>45351</v>
      </c>
      <c r="AA11" s="7"/>
      <c r="AB11" s="5">
        <v>45379</v>
      </c>
      <c r="AC11" s="7"/>
      <c r="AD11" s="5">
        <v>45407</v>
      </c>
      <c r="AE11" s="7"/>
      <c r="AF11" s="5">
        <v>45435</v>
      </c>
    </row>
    <row r="12" spans="1:33" x14ac:dyDescent="0.45">
      <c r="A12" s="1">
        <v>11</v>
      </c>
      <c r="B12" s="512" t="s">
        <v>93</v>
      </c>
      <c r="C12" s="512" t="s">
        <v>57</v>
      </c>
      <c r="D12" s="7" t="s">
        <v>58</v>
      </c>
      <c r="E12" s="1" t="s">
        <v>9</v>
      </c>
      <c r="F12" s="1" t="s">
        <v>59</v>
      </c>
      <c r="G12" s="1" t="s">
        <v>27</v>
      </c>
      <c r="H12" s="1">
        <v>60</v>
      </c>
      <c r="I12" s="1" t="s">
        <v>96</v>
      </c>
      <c r="J12" s="6">
        <v>45138</v>
      </c>
      <c r="K12" s="6">
        <v>45125</v>
      </c>
      <c r="L12" s="6">
        <v>45169</v>
      </c>
      <c r="N12" s="6">
        <v>45197</v>
      </c>
      <c r="P12" s="5">
        <v>45207</v>
      </c>
      <c r="Q12" s="7"/>
      <c r="R12" s="5">
        <v>45235</v>
      </c>
      <c r="S12" s="7"/>
      <c r="T12" s="5">
        <v>45263</v>
      </c>
      <c r="U12" s="7"/>
      <c r="V12" s="5">
        <v>45291</v>
      </c>
      <c r="W12" s="7"/>
      <c r="X12" s="5">
        <v>45319</v>
      </c>
      <c r="Y12" s="7"/>
      <c r="Z12" s="5">
        <v>45347</v>
      </c>
      <c r="AA12" s="7"/>
      <c r="AB12" s="5">
        <v>45375</v>
      </c>
      <c r="AC12" s="7"/>
      <c r="AD12" s="5">
        <v>45403</v>
      </c>
      <c r="AF12" s="2">
        <v>45431</v>
      </c>
    </row>
    <row r="13" spans="1:33" x14ac:dyDescent="0.45">
      <c r="A13" s="1">
        <v>12</v>
      </c>
      <c r="B13" s="270" t="s">
        <v>65</v>
      </c>
      <c r="C13" s="270" t="s">
        <v>66</v>
      </c>
      <c r="D13" s="20" t="s">
        <v>58</v>
      </c>
      <c r="E13" s="20" t="s">
        <v>9</v>
      </c>
      <c r="F13" s="21" t="s">
        <v>72</v>
      </c>
      <c r="G13" s="1" t="s">
        <v>46</v>
      </c>
      <c r="H13" s="1">
        <v>15</v>
      </c>
      <c r="I13" s="1" t="s">
        <v>95</v>
      </c>
      <c r="J13" s="6">
        <v>45119</v>
      </c>
      <c r="L13" s="13" t="s">
        <v>76</v>
      </c>
      <c r="N13" s="2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</row>
    <row r="14" spans="1:33" x14ac:dyDescent="0.45">
      <c r="A14" s="1">
        <v>13</v>
      </c>
      <c r="B14" s="270" t="s">
        <v>74</v>
      </c>
      <c r="C14" s="270" t="s">
        <v>75</v>
      </c>
      <c r="D14" s="1" t="s">
        <v>3</v>
      </c>
      <c r="E14" s="1" t="s">
        <v>7</v>
      </c>
      <c r="F14" s="1" t="s">
        <v>104</v>
      </c>
      <c r="G14" s="1" t="s">
        <v>46</v>
      </c>
      <c r="H14" s="1">
        <v>15</v>
      </c>
      <c r="I14" s="1" t="s">
        <v>95</v>
      </c>
      <c r="J14" s="6">
        <v>45123</v>
      </c>
      <c r="K14" s="6">
        <v>45123</v>
      </c>
      <c r="L14" s="2">
        <v>45151</v>
      </c>
      <c r="N14" s="2">
        <v>45179</v>
      </c>
      <c r="O14" s="7"/>
      <c r="P14" s="5">
        <v>45207</v>
      </c>
      <c r="Q14" s="7"/>
      <c r="R14" s="5">
        <v>45235</v>
      </c>
      <c r="S14" s="7"/>
      <c r="T14" s="5">
        <v>45263</v>
      </c>
      <c r="U14" s="7"/>
      <c r="V14" s="5">
        <v>45291</v>
      </c>
      <c r="W14" s="7"/>
      <c r="X14" s="5">
        <v>45319</v>
      </c>
      <c r="Y14" s="7"/>
      <c r="Z14" s="5">
        <v>45347</v>
      </c>
      <c r="AA14" s="7"/>
      <c r="AB14" s="5">
        <v>45375</v>
      </c>
      <c r="AC14" s="7"/>
      <c r="AD14" s="5">
        <v>45403</v>
      </c>
      <c r="AE14" s="7"/>
      <c r="AF14" s="5">
        <v>45431</v>
      </c>
    </row>
    <row r="15" spans="1:33" x14ac:dyDescent="0.45">
      <c r="A15" s="1">
        <v>14</v>
      </c>
      <c r="B15" s="270" t="s">
        <v>28</v>
      </c>
      <c r="C15" s="270"/>
      <c r="D15" s="23" t="s">
        <v>3</v>
      </c>
      <c r="E15" s="23" t="s">
        <v>9</v>
      </c>
      <c r="F15" s="23" t="s">
        <v>73</v>
      </c>
      <c r="G15" s="23" t="s">
        <v>27</v>
      </c>
      <c r="H15" s="23">
        <v>10</v>
      </c>
      <c r="I15" s="23" t="s">
        <v>95</v>
      </c>
      <c r="J15" s="24">
        <v>45126</v>
      </c>
      <c r="K15" s="24">
        <v>45126</v>
      </c>
      <c r="L15" s="24">
        <v>45154</v>
      </c>
      <c r="M15" s="23"/>
      <c r="N15" s="24">
        <v>45182</v>
      </c>
      <c r="O15" s="7"/>
      <c r="P15" s="5">
        <v>45210</v>
      </c>
      <c r="Q15" s="7"/>
      <c r="R15" s="5">
        <v>45238</v>
      </c>
      <c r="S15" s="7"/>
      <c r="T15" s="5">
        <v>45266</v>
      </c>
      <c r="U15" s="7"/>
      <c r="V15" s="5">
        <v>45294</v>
      </c>
      <c r="W15" s="7"/>
      <c r="X15" s="5">
        <v>45322</v>
      </c>
      <c r="Y15" s="7"/>
      <c r="Z15" s="5">
        <v>45350</v>
      </c>
      <c r="AA15" s="7"/>
      <c r="AB15" s="5">
        <v>45378</v>
      </c>
      <c r="AC15" s="7"/>
      <c r="AD15" s="5">
        <v>45406</v>
      </c>
      <c r="AE15" s="7"/>
      <c r="AF15" s="5">
        <v>45434</v>
      </c>
    </row>
    <row r="16" spans="1:33" x14ac:dyDescent="0.45">
      <c r="A16" s="1">
        <v>15</v>
      </c>
      <c r="B16" s="270" t="s">
        <v>89</v>
      </c>
      <c r="C16" s="270" t="s">
        <v>90</v>
      </c>
      <c r="D16" s="26" t="s">
        <v>3</v>
      </c>
      <c r="E16" s="26" t="s">
        <v>7</v>
      </c>
      <c r="F16" s="26" t="s">
        <v>105</v>
      </c>
      <c r="G16" s="1" t="s">
        <v>46</v>
      </c>
      <c r="H16" s="1">
        <v>15</v>
      </c>
      <c r="I16" s="1" t="s">
        <v>95</v>
      </c>
      <c r="J16" s="6">
        <v>45142</v>
      </c>
      <c r="K16" s="6">
        <v>45142</v>
      </c>
      <c r="L16" s="2">
        <v>45173</v>
      </c>
      <c r="N16" s="22"/>
      <c r="O16" s="7"/>
      <c r="P16" s="5">
        <v>45210</v>
      </c>
      <c r="Q16" s="7"/>
      <c r="R16" s="5">
        <v>45238</v>
      </c>
      <c r="S16" s="7"/>
      <c r="T16" s="5">
        <v>45266</v>
      </c>
      <c r="U16" s="7"/>
      <c r="V16" s="5">
        <v>45294</v>
      </c>
      <c r="W16" s="7"/>
      <c r="X16" s="5">
        <v>45322</v>
      </c>
      <c r="Y16" s="7"/>
      <c r="Z16" s="5">
        <v>45350</v>
      </c>
      <c r="AA16" s="7"/>
      <c r="AB16" s="5">
        <v>45378</v>
      </c>
      <c r="AC16" s="7"/>
      <c r="AD16" s="5">
        <v>45406</v>
      </c>
      <c r="AE16" s="7"/>
      <c r="AF16" s="5">
        <v>45434</v>
      </c>
    </row>
    <row r="17" spans="1:22" x14ac:dyDescent="0.45">
      <c r="A17" s="1">
        <v>16</v>
      </c>
      <c r="B17" s="270" t="s">
        <v>91</v>
      </c>
      <c r="C17" s="270" t="s">
        <v>92</v>
      </c>
      <c r="D17" s="23" t="s">
        <v>29</v>
      </c>
      <c r="E17" s="23" t="s">
        <v>9</v>
      </c>
      <c r="F17" s="23" t="s">
        <v>73</v>
      </c>
      <c r="G17" s="23" t="s">
        <v>27</v>
      </c>
      <c r="H17" s="23">
        <v>24</v>
      </c>
      <c r="I17" s="23" t="s">
        <v>95</v>
      </c>
      <c r="J17" s="24">
        <v>45140</v>
      </c>
      <c r="K17" s="24">
        <v>45146</v>
      </c>
    </row>
    <row r="18" spans="1:22" x14ac:dyDescent="0.45">
      <c r="A18" s="1">
        <v>17</v>
      </c>
      <c r="B18" s="270" t="s">
        <v>102</v>
      </c>
      <c r="C18" s="270"/>
      <c r="F18" s="1" t="s">
        <v>103</v>
      </c>
      <c r="G18" s="1" t="s">
        <v>46</v>
      </c>
      <c r="H18" s="1">
        <v>15</v>
      </c>
      <c r="I18" s="1" t="s">
        <v>110</v>
      </c>
      <c r="J18" s="6">
        <v>45142</v>
      </c>
      <c r="K18" s="2">
        <v>45142</v>
      </c>
    </row>
    <row r="19" spans="1:22" x14ac:dyDescent="0.45">
      <c r="A19" s="1">
        <v>18</v>
      </c>
      <c r="B19" s="270" t="s">
        <v>100</v>
      </c>
      <c r="C19" s="270" t="s">
        <v>101</v>
      </c>
      <c r="D19" s="1" t="s">
        <v>3</v>
      </c>
      <c r="E19" s="1" t="s">
        <v>7</v>
      </c>
      <c r="F19" s="1" t="s">
        <v>106</v>
      </c>
      <c r="G19" s="1" t="s">
        <v>46</v>
      </c>
      <c r="H19" s="1">
        <v>15</v>
      </c>
      <c r="I19" s="1" t="s">
        <v>110</v>
      </c>
      <c r="J19" s="6">
        <v>45216</v>
      </c>
      <c r="K19" s="6">
        <v>45209</v>
      </c>
      <c r="L19" s="2">
        <v>45237</v>
      </c>
      <c r="N19" s="2">
        <v>45265</v>
      </c>
    </row>
    <row r="20" spans="1:22" x14ac:dyDescent="0.45">
      <c r="A20" s="1">
        <v>19</v>
      </c>
      <c r="B20" s="270" t="s">
        <v>112</v>
      </c>
      <c r="C20" s="270" t="s">
        <v>108</v>
      </c>
      <c r="D20" s="1" t="s">
        <v>3</v>
      </c>
      <c r="E20" s="1" t="s">
        <v>7</v>
      </c>
      <c r="F20" s="1" t="s">
        <v>109</v>
      </c>
      <c r="G20" s="1" t="s">
        <v>67</v>
      </c>
      <c r="H20" s="1">
        <v>80</v>
      </c>
      <c r="I20" s="1" t="s">
        <v>110</v>
      </c>
      <c r="J20" s="6">
        <v>45239</v>
      </c>
      <c r="K20" s="6">
        <v>45239</v>
      </c>
    </row>
    <row r="21" spans="1:22" x14ac:dyDescent="0.45">
      <c r="A21" s="1">
        <v>20</v>
      </c>
      <c r="B21" s="270"/>
      <c r="C21" s="270"/>
      <c r="J21"/>
      <c r="K21"/>
    </row>
    <row r="22" spans="1:22" x14ac:dyDescent="0.45">
      <c r="A22" s="1">
        <v>21</v>
      </c>
    </row>
    <row r="23" spans="1:22" x14ac:dyDescent="0.45">
      <c r="A23" s="1">
        <v>22</v>
      </c>
    </row>
    <row r="24" spans="1:22" x14ac:dyDescent="0.45">
      <c r="A24" s="1">
        <v>23</v>
      </c>
    </row>
    <row r="25" spans="1:22" x14ac:dyDescent="0.45">
      <c r="A25" s="1">
        <v>24</v>
      </c>
      <c r="I25" s="7"/>
      <c r="J25" s="7"/>
      <c r="K25" s="7"/>
      <c r="L25" s="7"/>
      <c r="M25" s="7"/>
      <c r="N25" s="7"/>
      <c r="O25" s="7"/>
    </row>
    <row r="26" spans="1:22" x14ac:dyDescent="0.45">
      <c r="A26" s="1">
        <v>25</v>
      </c>
      <c r="I26" s="7"/>
      <c r="J26" s="7"/>
      <c r="K26" s="7"/>
      <c r="L26" s="7"/>
      <c r="M26" s="7"/>
      <c r="N26" s="7"/>
      <c r="O26" s="7"/>
    </row>
    <row r="27" spans="1:22" x14ac:dyDescent="0.45">
      <c r="A27" s="1">
        <v>26</v>
      </c>
      <c r="I27" s="7"/>
      <c r="J27" s="5"/>
      <c r="K27" s="7"/>
      <c r="L27" s="7"/>
      <c r="M27" s="7"/>
      <c r="N27" s="7"/>
      <c r="O27" s="7"/>
    </row>
    <row r="28" spans="1:22" x14ac:dyDescent="0.45">
      <c r="A28" s="1">
        <v>27</v>
      </c>
      <c r="I28" s="7"/>
      <c r="J28" s="5"/>
      <c r="K28" s="7"/>
      <c r="L28" s="5"/>
      <c r="M28" s="7"/>
      <c r="N28" s="5"/>
      <c r="O28" s="7"/>
      <c r="P28" s="5"/>
      <c r="Q28" s="7"/>
      <c r="R28" s="7"/>
      <c r="S28" s="7"/>
    </row>
    <row r="29" spans="1:22" x14ac:dyDescent="0.45">
      <c r="A29" s="1">
        <v>28</v>
      </c>
      <c r="B29" s="7"/>
      <c r="C29" s="7"/>
      <c r="D29" s="7"/>
      <c r="I29" s="7"/>
      <c r="J29" s="5"/>
      <c r="K29" s="7"/>
      <c r="L29" s="15"/>
      <c r="M29" s="7"/>
      <c r="N29" s="5"/>
      <c r="O29" s="7"/>
      <c r="P29" s="2"/>
      <c r="R29" s="2"/>
    </row>
    <row r="30" spans="1:22" x14ac:dyDescent="0.45">
      <c r="A30" s="1">
        <v>29</v>
      </c>
      <c r="B30" s="7"/>
      <c r="C30" s="7"/>
      <c r="D30" s="7"/>
      <c r="H30" s="2"/>
      <c r="I30" s="5"/>
      <c r="J30" s="5"/>
      <c r="K30" s="7"/>
      <c r="L30" s="5"/>
      <c r="M30" s="7"/>
      <c r="N30" s="5"/>
      <c r="O30" s="7"/>
      <c r="P30" s="2"/>
      <c r="T30" s="7"/>
      <c r="U30" s="7"/>
      <c r="V30" s="7"/>
    </row>
    <row r="31" spans="1:22" x14ac:dyDescent="0.45">
      <c r="A31" s="1">
        <v>30</v>
      </c>
      <c r="B31" s="7"/>
      <c r="C31" s="7"/>
      <c r="D31" s="7"/>
      <c r="I31" s="7"/>
      <c r="J31" s="5"/>
      <c r="K31" s="7"/>
      <c r="L31" s="5"/>
      <c r="M31" s="7"/>
      <c r="N31" s="5"/>
      <c r="O31" s="7"/>
      <c r="P31" s="2"/>
      <c r="T31" s="2"/>
      <c r="V31" s="2"/>
    </row>
    <row r="32" spans="1:22" x14ac:dyDescent="0.45">
      <c r="A32" s="1">
        <v>31</v>
      </c>
      <c r="B32" s="7"/>
      <c r="C32" s="7"/>
      <c r="D32" s="7"/>
      <c r="I32" s="7"/>
      <c r="J32" s="5"/>
      <c r="K32" s="7"/>
      <c r="L32" s="7"/>
      <c r="M32" s="7"/>
      <c r="N32" s="7"/>
      <c r="O32" s="7"/>
    </row>
    <row r="33" spans="1:15" x14ac:dyDescent="0.45">
      <c r="A33" s="1">
        <v>32</v>
      </c>
      <c r="I33" s="7"/>
      <c r="J33" s="7"/>
      <c r="K33" s="7"/>
      <c r="L33" s="7"/>
      <c r="M33" s="7"/>
      <c r="N33" s="7"/>
      <c r="O33" s="7"/>
    </row>
    <row r="34" spans="1:15" x14ac:dyDescent="0.45">
      <c r="A34" s="1">
        <v>33</v>
      </c>
      <c r="I34" s="7"/>
      <c r="J34" s="7"/>
      <c r="K34" s="7"/>
      <c r="L34" s="7"/>
      <c r="M34" s="7"/>
      <c r="N34" s="7"/>
      <c r="O34" s="7"/>
    </row>
    <row r="35" spans="1:15" x14ac:dyDescent="0.45">
      <c r="A35" s="1">
        <v>34</v>
      </c>
      <c r="I35" s="7"/>
      <c r="J35" s="7"/>
      <c r="K35" s="7"/>
      <c r="L35" s="7"/>
      <c r="M35" s="7"/>
      <c r="N35" s="7"/>
      <c r="O35" s="7"/>
    </row>
    <row r="36" spans="1:15" x14ac:dyDescent="0.45">
      <c r="A36" s="1">
        <v>35</v>
      </c>
      <c r="I36" s="7"/>
      <c r="J36" s="7"/>
      <c r="K36" s="7"/>
      <c r="L36" s="7"/>
      <c r="M36" s="7"/>
      <c r="N36" s="7"/>
      <c r="O36" s="7"/>
    </row>
    <row r="37" spans="1:15" x14ac:dyDescent="0.45">
      <c r="A37" s="1">
        <v>36</v>
      </c>
    </row>
    <row r="38" spans="1:15" x14ac:dyDescent="0.45">
      <c r="A38" s="1">
        <v>37</v>
      </c>
    </row>
    <row r="39" spans="1:15" x14ac:dyDescent="0.45">
      <c r="A39" s="1">
        <v>38</v>
      </c>
    </row>
    <row r="40" spans="1:15" x14ac:dyDescent="0.45">
      <c r="A40" s="1">
        <v>39</v>
      </c>
    </row>
    <row r="41" spans="1:15" x14ac:dyDescent="0.45">
      <c r="A41" s="1">
        <v>40</v>
      </c>
    </row>
    <row r="42" spans="1:15" x14ac:dyDescent="0.45">
      <c r="A42" s="1">
        <v>41</v>
      </c>
    </row>
    <row r="43" spans="1:15" x14ac:dyDescent="0.45">
      <c r="A43" s="1">
        <v>42</v>
      </c>
    </row>
    <row r="44" spans="1:15" x14ac:dyDescent="0.45">
      <c r="A44" s="1">
        <v>43</v>
      </c>
    </row>
    <row r="45" spans="1:15" x14ac:dyDescent="0.45">
      <c r="A45" s="1">
        <v>44</v>
      </c>
    </row>
    <row r="46" spans="1:15" x14ac:dyDescent="0.45">
      <c r="A46" s="1">
        <v>45</v>
      </c>
    </row>
    <row r="47" spans="1:15" x14ac:dyDescent="0.45">
      <c r="A47" s="1">
        <v>46</v>
      </c>
    </row>
    <row r="48" spans="1:15" x14ac:dyDescent="0.45">
      <c r="A48" s="1">
        <v>47</v>
      </c>
    </row>
    <row r="49" spans="1:1" x14ac:dyDescent="0.45">
      <c r="A49" s="1">
        <v>48</v>
      </c>
    </row>
    <row r="50" spans="1:1" x14ac:dyDescent="0.45">
      <c r="A50" s="1">
        <v>49</v>
      </c>
    </row>
    <row r="51" spans="1:1" x14ac:dyDescent="0.45">
      <c r="A51" s="1">
        <v>50</v>
      </c>
    </row>
    <row r="52" spans="1:1" x14ac:dyDescent="0.45">
      <c r="A52" s="1">
        <v>51</v>
      </c>
    </row>
    <row r="53" spans="1:1" x14ac:dyDescent="0.45">
      <c r="A53" s="1">
        <v>52</v>
      </c>
    </row>
    <row r="54" spans="1:1" x14ac:dyDescent="0.45">
      <c r="A54" s="1">
        <v>53</v>
      </c>
    </row>
    <row r="55" spans="1:1" x14ac:dyDescent="0.45">
      <c r="A55" s="1">
        <v>54</v>
      </c>
    </row>
    <row r="56" spans="1:1" x14ac:dyDescent="0.45">
      <c r="A56" s="1">
        <v>55</v>
      </c>
    </row>
    <row r="57" spans="1:1" x14ac:dyDescent="0.45">
      <c r="A57" s="1">
        <v>56</v>
      </c>
    </row>
    <row r="58" spans="1:1" x14ac:dyDescent="0.45">
      <c r="A58" s="1">
        <v>57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893E6-BC0B-4BC9-95C9-8E14D14BCBD2}">
  <sheetPr>
    <tabColor theme="5" tint="0.39997558519241921"/>
  </sheetPr>
  <dimension ref="A1:AO52"/>
  <sheetViews>
    <sheetView tabSelected="1" zoomScale="85" zoomScaleNormal="85" workbookViewId="0">
      <selection activeCell="AS17" sqref="AS17"/>
    </sheetView>
  </sheetViews>
  <sheetFormatPr defaultColWidth="9" defaultRowHeight="17" x14ac:dyDescent="0.45"/>
  <cols>
    <col min="1" max="1" width="7.08203125" style="1" customWidth="1"/>
    <col min="2" max="2" width="11.75" style="1" customWidth="1"/>
    <col min="3" max="3" width="14.08203125" style="1" customWidth="1"/>
    <col min="4" max="4" width="10.08203125" style="586" customWidth="1"/>
    <col min="5" max="5" width="9.75" style="1" customWidth="1"/>
    <col min="6" max="6" width="10.33203125" style="1" customWidth="1"/>
    <col min="7" max="7" width="1" style="1" customWidth="1"/>
    <col min="8" max="8" width="5" style="89" customWidth="1"/>
    <col min="9" max="9" width="8.58203125" style="96" customWidth="1"/>
    <col min="10" max="10" width="5" style="89" customWidth="1"/>
    <col min="11" max="11" width="8.58203125" style="96" customWidth="1"/>
    <col min="12" max="12" width="5" style="89" customWidth="1"/>
    <col min="13" max="13" width="8.58203125" style="96" customWidth="1"/>
    <col min="14" max="14" width="5" style="89" customWidth="1"/>
    <col min="15" max="15" width="8.58203125" style="96" customWidth="1"/>
    <col min="16" max="16" width="5" style="89" customWidth="1"/>
    <col min="17" max="17" width="8.58203125" style="96" customWidth="1"/>
    <col min="18" max="18" width="5" style="89" customWidth="1"/>
    <col min="19" max="19" width="8.58203125" style="96" customWidth="1"/>
    <col min="20" max="20" width="5" style="89" customWidth="1"/>
    <col min="21" max="21" width="8.58203125" style="96" customWidth="1"/>
    <col min="22" max="22" width="5" style="89" customWidth="1"/>
    <col min="23" max="23" width="8.58203125" style="96" customWidth="1"/>
    <col min="24" max="24" width="5" style="89" customWidth="1"/>
    <col min="25" max="25" width="8.58203125" style="96" customWidth="1"/>
    <col min="26" max="26" width="5" style="89" customWidth="1"/>
    <col min="27" max="27" width="8.58203125" style="96" customWidth="1"/>
    <col min="28" max="28" width="5" style="89" customWidth="1"/>
    <col min="29" max="29" width="8.58203125" style="96" customWidth="1"/>
    <col min="30" max="30" width="5" style="89" customWidth="1"/>
    <col min="31" max="31" width="8.33203125" style="96" customWidth="1"/>
    <col min="32" max="32" width="10.75" style="195" customWidth="1"/>
    <col min="33" max="41" width="9" style="37"/>
    <col min="42" max="16384" width="9" style="1"/>
  </cols>
  <sheetData>
    <row r="1" spans="1:41" s="29" customFormat="1" ht="18.75" customHeight="1" thickTop="1" thickBot="1" x14ac:dyDescent="0.5">
      <c r="A1" s="676" t="s">
        <v>85</v>
      </c>
      <c r="B1" s="678">
        <f>SUM(I3,K3,M3,O3,Q3,S3,U3,W3,Y3,AA3,AC3,AE3)</f>
        <v>1468</v>
      </c>
      <c r="C1" s="680" t="s">
        <v>156</v>
      </c>
      <c r="D1" s="682"/>
      <c r="E1" s="684" t="s">
        <v>397</v>
      </c>
      <c r="F1" s="689">
        <f>SUM(B1-D1,I5,K5,M5,O5,Q5,S5,U5,W5,Y5,AA5,AC5,AE5)</f>
        <v>1468</v>
      </c>
      <c r="G1" s="685"/>
      <c r="H1" s="89"/>
      <c r="I1" s="361">
        <f>I3</f>
        <v>0</v>
      </c>
      <c r="J1" s="181"/>
      <c r="K1" s="361">
        <f t="shared" ref="K1" si="0">K3</f>
        <v>0</v>
      </c>
      <c r="L1" s="181"/>
      <c r="M1" s="361">
        <f t="shared" ref="M1" si="1">M3</f>
        <v>0</v>
      </c>
      <c r="N1" s="181"/>
      <c r="O1" s="361">
        <f t="shared" ref="O1" si="2">O3</f>
        <v>0</v>
      </c>
      <c r="P1" s="181"/>
      <c r="Q1" s="361">
        <f t="shared" ref="Q1" si="3">Q3</f>
        <v>50</v>
      </c>
      <c r="R1" s="181"/>
      <c r="S1" s="361">
        <f t="shared" ref="S1" si="4">S3</f>
        <v>102</v>
      </c>
      <c r="T1" s="181"/>
      <c r="U1" s="361">
        <f t="shared" ref="U1" si="5">U3</f>
        <v>167</v>
      </c>
      <c r="V1" s="181"/>
      <c r="W1" s="361">
        <f t="shared" ref="W1" si="6">W3</f>
        <v>236</v>
      </c>
      <c r="X1" s="181"/>
      <c r="Y1" s="361">
        <f t="shared" ref="Y1" si="7">Y3</f>
        <v>197</v>
      </c>
      <c r="Z1" s="181"/>
      <c r="AA1" s="361">
        <f t="shared" ref="AA1" si="8">AA3</f>
        <v>212</v>
      </c>
      <c r="AB1" s="181"/>
      <c r="AC1" s="361">
        <f t="shared" ref="AC1" si="9">AC3</f>
        <v>292</v>
      </c>
      <c r="AD1" s="181"/>
      <c r="AE1" s="361">
        <f t="shared" ref="AE1" si="10">AE3</f>
        <v>212</v>
      </c>
      <c r="AF1" s="304"/>
      <c r="AG1" s="598"/>
      <c r="AH1" s="656"/>
      <c r="AI1" s="656"/>
      <c r="AJ1" s="656"/>
      <c r="AK1" s="656"/>
      <c r="AL1" s="656"/>
      <c r="AM1" s="656"/>
      <c r="AN1" s="656"/>
      <c r="AO1" s="656"/>
    </row>
    <row r="2" spans="1:41" s="27" customFormat="1" ht="18" customHeight="1" thickTop="1" x14ac:dyDescent="0.45">
      <c r="A2" s="677"/>
      <c r="B2" s="679"/>
      <c r="C2" s="681"/>
      <c r="D2" s="683"/>
      <c r="E2" s="684"/>
      <c r="F2" s="689"/>
      <c r="G2" s="685"/>
      <c r="H2" s="97" t="s">
        <v>113</v>
      </c>
      <c r="I2" s="303" t="s">
        <v>85</v>
      </c>
      <c r="J2" s="97" t="s">
        <v>114</v>
      </c>
      <c r="K2" s="303" t="s">
        <v>85</v>
      </c>
      <c r="L2" s="97" t="s">
        <v>115</v>
      </c>
      <c r="M2" s="303" t="s">
        <v>85</v>
      </c>
      <c r="N2" s="97" t="s">
        <v>116</v>
      </c>
      <c r="O2" s="303" t="s">
        <v>85</v>
      </c>
      <c r="P2" s="97" t="s">
        <v>117</v>
      </c>
      <c r="Q2" s="303" t="s">
        <v>85</v>
      </c>
      <c r="R2" s="97" t="s">
        <v>118</v>
      </c>
      <c r="S2" s="303" t="s">
        <v>85</v>
      </c>
      <c r="T2" s="97" t="s">
        <v>119</v>
      </c>
      <c r="U2" s="303" t="s">
        <v>85</v>
      </c>
      <c r="V2" s="97" t="s">
        <v>120</v>
      </c>
      <c r="W2" s="303" t="s">
        <v>85</v>
      </c>
      <c r="X2" s="97" t="s">
        <v>121</v>
      </c>
      <c r="Y2" s="303" t="s">
        <v>85</v>
      </c>
      <c r="Z2" s="97" t="s">
        <v>122</v>
      </c>
      <c r="AA2" s="303" t="s">
        <v>85</v>
      </c>
      <c r="AB2" s="97" t="s">
        <v>123</v>
      </c>
      <c r="AC2" s="303" t="s">
        <v>85</v>
      </c>
      <c r="AD2" s="97" t="s">
        <v>124</v>
      </c>
      <c r="AE2" s="303" t="s">
        <v>85</v>
      </c>
      <c r="AF2" s="434" t="s">
        <v>460</v>
      </c>
      <c r="AG2" s="517" t="s">
        <v>739</v>
      </c>
      <c r="AH2" s="656"/>
      <c r="AI2" s="656"/>
      <c r="AJ2" s="656"/>
      <c r="AK2" s="656"/>
      <c r="AL2" s="656"/>
      <c r="AM2" s="656"/>
      <c r="AN2" s="656"/>
      <c r="AO2" s="656"/>
    </row>
    <row r="3" spans="1:41" s="277" customFormat="1" ht="17.25" customHeight="1" thickBot="1" x14ac:dyDescent="0.5">
      <c r="A3" s="276" t="s">
        <v>2</v>
      </c>
      <c r="B3" s="276" t="s">
        <v>0</v>
      </c>
      <c r="C3" s="276" t="s">
        <v>4</v>
      </c>
      <c r="D3" s="533" t="s">
        <v>161</v>
      </c>
      <c r="E3" s="379"/>
      <c r="F3" s="345" t="str">
        <f>SUM(F22,F34) &amp; "만"</f>
        <v>229만</v>
      </c>
      <c r="G3" s="685"/>
      <c r="H3" s="306"/>
      <c r="I3" s="373">
        <f>SUM(I8:I30)</f>
        <v>0</v>
      </c>
      <c r="J3" s="374"/>
      <c r="K3" s="373">
        <f>SUM(K8:K30)</f>
        <v>0</v>
      </c>
      <c r="L3" s="374"/>
      <c r="M3" s="373">
        <f>SUM(M8:M30)</f>
        <v>0</v>
      </c>
      <c r="N3" s="374"/>
      <c r="O3" s="373">
        <f>SUM(O8:O30)</f>
        <v>0</v>
      </c>
      <c r="P3" s="374"/>
      <c r="Q3" s="373">
        <f>SUM(Q8:Q30)</f>
        <v>50</v>
      </c>
      <c r="R3" s="374"/>
      <c r="S3" s="373">
        <f>SUM(S8:S30)</f>
        <v>102</v>
      </c>
      <c r="T3" s="374"/>
      <c r="U3" s="373">
        <f>SUM(U8:U30)</f>
        <v>167</v>
      </c>
      <c r="V3" s="374"/>
      <c r="W3" s="373">
        <f>SUM(W8:W31)</f>
        <v>236</v>
      </c>
      <c r="X3" s="374"/>
      <c r="Y3" s="373">
        <f>SUM(Y8:Y30)</f>
        <v>197</v>
      </c>
      <c r="Z3" s="374"/>
      <c r="AA3" s="373">
        <f>SUM(AA8:AA30)</f>
        <v>212</v>
      </c>
      <c r="AB3" s="374"/>
      <c r="AC3" s="373">
        <f>SUM(AC8:AC32)</f>
        <v>292</v>
      </c>
      <c r="AD3" s="374"/>
      <c r="AE3" s="373">
        <f>SUM(AE5,AE8,AE9,AE13:AE21,AE25:AE33)</f>
        <v>212</v>
      </c>
      <c r="AF3" s="435">
        <f>AVERAGE(Q3,S3,U3,W3,Y3,AA3,AC3,AE3)</f>
        <v>183.5</v>
      </c>
      <c r="AG3" s="516">
        <f>SUM(B22,B34)</f>
        <v>18</v>
      </c>
      <c r="AH3" s="656"/>
      <c r="AI3" s="656"/>
      <c r="AJ3" s="656"/>
      <c r="AK3" s="656"/>
      <c r="AL3" s="656"/>
      <c r="AM3" s="656"/>
      <c r="AN3" s="656"/>
      <c r="AO3" s="656"/>
    </row>
    <row r="4" spans="1:41" s="43" customFormat="1" ht="17.25" customHeight="1" thickTop="1" thickBot="1" x14ac:dyDescent="0.5">
      <c r="A4" s="37"/>
      <c r="B4" s="38"/>
      <c r="C4" s="44"/>
      <c r="D4" s="572"/>
      <c r="E4" s="44"/>
      <c r="F4" s="44"/>
      <c r="G4" s="685"/>
      <c r="H4" s="307"/>
      <c r="I4" s="307"/>
      <c r="J4" s="307"/>
      <c r="K4" s="307"/>
      <c r="L4" s="308"/>
      <c r="M4" s="307"/>
      <c r="N4" s="307"/>
      <c r="O4" s="307"/>
      <c r="P4" s="307"/>
      <c r="Q4" s="307"/>
      <c r="R4" s="307"/>
      <c r="S4" s="307"/>
      <c r="T4" s="307"/>
      <c r="U4" s="307"/>
      <c r="V4" s="307"/>
      <c r="W4" s="307"/>
      <c r="X4" s="307"/>
      <c r="Y4" s="307"/>
      <c r="Z4" s="307"/>
      <c r="AA4" s="307"/>
      <c r="AB4" s="307"/>
      <c r="AC4" s="307"/>
      <c r="AD4" s="307"/>
      <c r="AE4" s="307"/>
      <c r="AF4" s="653"/>
      <c r="AG4" s="657"/>
      <c r="AH4" s="656"/>
      <c r="AI4" s="656"/>
      <c r="AJ4" s="656"/>
      <c r="AK4" s="656"/>
      <c r="AL4" s="656"/>
      <c r="AM4" s="656"/>
      <c r="AN4" s="656"/>
      <c r="AO4" s="656"/>
    </row>
    <row r="5" spans="1:41" s="172" customFormat="1" ht="21.75" customHeight="1" thickTop="1" thickBot="1" x14ac:dyDescent="0.5">
      <c r="A5" s="33" t="s">
        <v>205</v>
      </c>
      <c r="B5" s="169">
        <f>SUM(I5,K5,M5,O5,Q5,S5,U5,W5,Y5,AA5,AC5,AE5)</f>
        <v>0</v>
      </c>
      <c r="C5" s="171"/>
      <c r="D5" s="573"/>
      <c r="E5" s="171"/>
      <c r="F5" s="170"/>
      <c r="G5" s="685"/>
      <c r="H5" s="309"/>
      <c r="I5" s="368"/>
      <c r="J5" s="311"/>
      <c r="K5" s="368"/>
      <c r="L5" s="311"/>
      <c r="M5" s="368"/>
      <c r="N5" s="312"/>
      <c r="O5" s="310"/>
      <c r="P5" s="312"/>
      <c r="Q5" s="310"/>
      <c r="R5" s="312"/>
      <c r="S5" s="310"/>
      <c r="T5" s="312"/>
      <c r="U5" s="310"/>
      <c r="V5" s="312"/>
      <c r="W5" s="310"/>
      <c r="X5" s="312"/>
      <c r="Y5" s="310"/>
      <c r="Z5" s="312"/>
      <c r="AA5" s="310"/>
      <c r="AB5" s="312"/>
      <c r="AC5" s="310"/>
      <c r="AD5" s="312"/>
      <c r="AE5" s="310"/>
      <c r="AF5" s="654"/>
      <c r="AG5" s="656"/>
      <c r="AH5" s="656"/>
      <c r="AI5" s="656"/>
      <c r="AJ5" s="656"/>
      <c r="AK5" s="656"/>
      <c r="AL5" s="656"/>
      <c r="AM5" s="656"/>
      <c r="AN5" s="656"/>
      <c r="AO5" s="656"/>
    </row>
    <row r="6" spans="1:41" s="37" customFormat="1" ht="18" customHeight="1" thickTop="1" thickBot="1" x14ac:dyDescent="0.5">
      <c r="B6" s="686"/>
      <c r="C6" s="686"/>
      <c r="D6" s="686"/>
      <c r="E6" s="686"/>
      <c r="F6" s="686"/>
      <c r="G6" s="685"/>
      <c r="H6" s="688"/>
      <c r="I6" s="688"/>
      <c r="J6" s="688"/>
      <c r="K6" s="688"/>
      <c r="L6" s="688"/>
      <c r="M6" s="688"/>
      <c r="N6" s="688"/>
      <c r="O6" s="688"/>
      <c r="P6" s="688"/>
      <c r="Q6" s="688"/>
      <c r="R6" s="688"/>
      <c r="S6" s="688"/>
      <c r="T6" s="688"/>
      <c r="U6" s="688"/>
      <c r="V6" s="688"/>
      <c r="W6" s="688"/>
      <c r="X6" s="688"/>
      <c r="Y6" s="688"/>
      <c r="Z6" s="688"/>
      <c r="AA6" s="688"/>
      <c r="AB6" s="688"/>
      <c r="AC6" s="688"/>
      <c r="AD6" s="688"/>
      <c r="AE6" s="688"/>
      <c r="AF6" s="652"/>
      <c r="AG6" s="656"/>
      <c r="AH6" s="656"/>
      <c r="AI6" s="656"/>
      <c r="AJ6" s="656"/>
      <c r="AK6" s="656"/>
      <c r="AL6" s="656"/>
      <c r="AM6" s="656"/>
      <c r="AN6" s="656"/>
      <c r="AO6" s="656"/>
    </row>
    <row r="7" spans="1:41" s="77" customFormat="1" ht="21.75" customHeight="1" thickTop="1" thickBot="1" x14ac:dyDescent="0.5">
      <c r="A7" s="33" t="s">
        <v>177</v>
      </c>
      <c r="B7" s="687"/>
      <c r="C7" s="687"/>
      <c r="D7" s="687"/>
      <c r="E7" s="687"/>
      <c r="F7" s="687"/>
      <c r="G7" s="685"/>
      <c r="H7" s="666"/>
      <c r="I7" s="666"/>
      <c r="J7" s="666"/>
      <c r="K7" s="666"/>
      <c r="L7" s="666"/>
      <c r="M7" s="666"/>
      <c r="N7" s="666"/>
      <c r="O7" s="666"/>
      <c r="P7" s="666"/>
      <c r="Q7" s="666"/>
      <c r="R7" s="666"/>
      <c r="S7" s="666"/>
      <c r="T7" s="666"/>
      <c r="U7" s="666"/>
      <c r="V7" s="666"/>
      <c r="W7" s="666"/>
      <c r="X7" s="666"/>
      <c r="Y7" s="666"/>
      <c r="Z7" s="666"/>
      <c r="AA7" s="666"/>
      <c r="AB7" s="666"/>
      <c r="AC7" s="666"/>
      <c r="AD7" s="666"/>
      <c r="AE7" s="666"/>
      <c r="AF7" s="652"/>
      <c r="AG7" s="656"/>
      <c r="AH7" s="656"/>
      <c r="AI7" s="656"/>
      <c r="AJ7" s="656"/>
      <c r="AK7" s="656"/>
      <c r="AL7" s="656"/>
      <c r="AM7" s="656"/>
      <c r="AN7" s="656"/>
      <c r="AO7" s="656"/>
    </row>
    <row r="8" spans="1:41" s="28" customFormat="1" ht="17.5" customHeight="1" thickTop="1" x14ac:dyDescent="0.45">
      <c r="D8" s="535"/>
      <c r="E8" s="380"/>
      <c r="F8" s="108"/>
      <c r="G8" s="685"/>
      <c r="H8" s="313"/>
      <c r="I8" s="369"/>
      <c r="J8" s="370"/>
      <c r="K8" s="369"/>
      <c r="L8" s="370"/>
      <c r="M8" s="369"/>
      <c r="N8" s="370"/>
      <c r="O8" s="369"/>
      <c r="P8" s="371"/>
      <c r="Q8" s="369"/>
      <c r="R8" s="370"/>
      <c r="S8" s="369"/>
      <c r="T8" s="370"/>
      <c r="U8" s="369"/>
      <c r="V8" s="371"/>
      <c r="W8" s="369"/>
      <c r="X8" s="370"/>
      <c r="Y8" s="369"/>
      <c r="Z8" s="370"/>
      <c r="AA8" s="369"/>
      <c r="AB8" s="372"/>
      <c r="AC8" s="369"/>
      <c r="AD8" s="370"/>
      <c r="AE8" s="369"/>
      <c r="AF8" s="655"/>
      <c r="AG8" s="656"/>
      <c r="AH8" s="656"/>
      <c r="AI8" s="656"/>
      <c r="AJ8" s="656"/>
      <c r="AK8" s="656"/>
      <c r="AL8" s="656"/>
      <c r="AM8" s="656"/>
      <c r="AN8" s="656"/>
      <c r="AO8" s="656"/>
    </row>
    <row r="9" spans="1:41" s="28" customFormat="1" ht="17.5" customHeight="1" thickBot="1" x14ac:dyDescent="0.5">
      <c r="A9" s="1"/>
      <c r="B9" s="1"/>
      <c r="C9" s="1"/>
      <c r="D9" s="536"/>
      <c r="E9" s="380"/>
      <c r="F9" s="76"/>
      <c r="G9" s="685"/>
      <c r="H9" s="313"/>
      <c r="I9" s="314"/>
      <c r="J9" s="313"/>
      <c r="K9" s="314"/>
      <c r="L9" s="313"/>
      <c r="M9" s="314"/>
      <c r="N9" s="313"/>
      <c r="O9" s="314"/>
      <c r="P9" s="316"/>
      <c r="Q9" s="314"/>
      <c r="R9" s="313"/>
      <c r="S9" s="314"/>
      <c r="T9" s="313"/>
      <c r="U9" s="314"/>
      <c r="V9" s="316"/>
      <c r="W9" s="314"/>
      <c r="X9" s="313"/>
      <c r="Y9" s="314"/>
      <c r="Z9" s="313"/>
      <c r="AA9" s="314"/>
      <c r="AB9" s="317"/>
      <c r="AC9" s="314"/>
      <c r="AD9" s="313"/>
      <c r="AE9" s="314"/>
      <c r="AF9" s="435">
        <f>SUM(I8:I9,K8:K9,M8:M9,O8:O9,Q8:Q9,S8:S9,U8:U9,W8:W9,Y8:Y9,AA8:AA9,AC8:AC9,AE8:AE9)</f>
        <v>0</v>
      </c>
      <c r="AG9" s="656"/>
      <c r="AH9" s="656"/>
      <c r="AI9" s="656"/>
      <c r="AJ9" s="656"/>
      <c r="AK9" s="656"/>
      <c r="AL9" s="656"/>
      <c r="AM9" s="656"/>
      <c r="AN9" s="656"/>
      <c r="AO9" s="656"/>
    </row>
    <row r="10" spans="1:41" s="28" customFormat="1" ht="17.25" customHeight="1" thickTop="1" x14ac:dyDescent="0.45">
      <c r="A10" s="667"/>
      <c r="B10" s="667"/>
      <c r="C10" s="667"/>
      <c r="D10" s="667"/>
      <c r="E10" s="667"/>
      <c r="F10" s="121">
        <f>SUM(F8:F9)</f>
        <v>0</v>
      </c>
      <c r="G10" s="685"/>
      <c r="H10" s="665"/>
      <c r="I10" s="665"/>
      <c r="J10" s="665"/>
      <c r="K10" s="665"/>
      <c r="L10" s="665"/>
      <c r="M10" s="665"/>
      <c r="N10" s="665"/>
      <c r="O10" s="665"/>
      <c r="P10" s="665"/>
      <c r="Q10" s="665"/>
      <c r="R10" s="665"/>
      <c r="S10" s="665"/>
      <c r="T10" s="665"/>
      <c r="U10" s="665"/>
      <c r="V10" s="665"/>
      <c r="W10" s="665"/>
      <c r="X10" s="665"/>
      <c r="Y10" s="665"/>
      <c r="Z10" s="665"/>
      <c r="AA10" s="665"/>
      <c r="AB10" s="665"/>
      <c r="AC10" s="665"/>
      <c r="AD10" s="665"/>
      <c r="AE10" s="665"/>
      <c r="AF10" s="652"/>
      <c r="AG10" s="652"/>
      <c r="AH10" s="652"/>
      <c r="AI10" s="652"/>
      <c r="AJ10" s="652"/>
      <c r="AK10" s="652"/>
      <c r="AL10" s="652"/>
      <c r="AM10" s="652"/>
      <c r="AN10" s="652"/>
      <c r="AO10" s="652"/>
    </row>
    <row r="11" spans="1:41" s="27" customFormat="1" ht="17.5" customHeight="1" thickBot="1" x14ac:dyDescent="0.5">
      <c r="A11" s="668"/>
      <c r="B11" s="668"/>
      <c r="C11" s="668"/>
      <c r="D11" s="668"/>
      <c r="E11" s="668"/>
      <c r="F11" s="669"/>
      <c r="G11" s="37"/>
      <c r="H11" s="665"/>
      <c r="I11" s="665"/>
      <c r="J11" s="665"/>
      <c r="K11" s="665"/>
      <c r="L11" s="665"/>
      <c r="M11" s="665"/>
      <c r="N11" s="665"/>
      <c r="O11" s="665"/>
      <c r="P11" s="665"/>
      <c r="Q11" s="665"/>
      <c r="R11" s="665"/>
      <c r="S11" s="665"/>
      <c r="T11" s="665"/>
      <c r="U11" s="665"/>
      <c r="V11" s="665"/>
      <c r="W11" s="665"/>
      <c r="X11" s="665"/>
      <c r="Y11" s="665"/>
      <c r="Z11" s="665"/>
      <c r="AA11" s="665"/>
      <c r="AB11" s="665"/>
      <c r="AC11" s="665"/>
      <c r="AD11" s="665"/>
      <c r="AE11" s="665"/>
      <c r="AF11" s="652"/>
      <c r="AG11" s="652"/>
      <c r="AH11" s="652"/>
      <c r="AI11" s="652"/>
      <c r="AJ11" s="652"/>
      <c r="AK11" s="652"/>
      <c r="AL11" s="652"/>
      <c r="AM11" s="652"/>
      <c r="AN11" s="652"/>
      <c r="AO11" s="652"/>
    </row>
    <row r="12" spans="1:41" s="525" customFormat="1" ht="21.75" customHeight="1" thickTop="1" thickBot="1" x14ac:dyDescent="0.5">
      <c r="A12" s="658" t="s">
        <v>740</v>
      </c>
      <c r="B12" s="659"/>
      <c r="C12" s="671"/>
      <c r="D12" s="672"/>
      <c r="E12" s="672"/>
      <c r="F12" s="670"/>
      <c r="G12" s="37"/>
      <c r="H12" s="666"/>
      <c r="I12" s="666"/>
      <c r="J12" s="666"/>
      <c r="K12" s="666"/>
      <c r="L12" s="666"/>
      <c r="M12" s="666"/>
      <c r="N12" s="666"/>
      <c r="O12" s="666"/>
      <c r="P12" s="666"/>
      <c r="Q12" s="666"/>
      <c r="R12" s="666"/>
      <c r="S12" s="666"/>
      <c r="T12" s="666"/>
      <c r="U12" s="666"/>
      <c r="V12" s="666"/>
      <c r="W12" s="666"/>
      <c r="X12" s="666"/>
      <c r="Y12" s="666"/>
      <c r="Z12" s="666"/>
      <c r="AA12" s="666"/>
      <c r="AB12" s="666"/>
      <c r="AC12" s="666"/>
      <c r="AD12" s="666"/>
      <c r="AE12" s="666"/>
      <c r="AF12" s="652"/>
      <c r="AG12" s="652"/>
      <c r="AH12" s="652"/>
      <c r="AI12" s="652"/>
      <c r="AJ12" s="652"/>
      <c r="AK12" s="652"/>
      <c r="AL12" s="652"/>
      <c r="AM12" s="652"/>
      <c r="AN12" s="652"/>
      <c r="AO12" s="652"/>
    </row>
    <row r="13" spans="1:41" ht="17.5" customHeight="1" thickTop="1" x14ac:dyDescent="0.45">
      <c r="A13" s="1">
        <v>1</v>
      </c>
      <c r="B13" s="270" t="s">
        <v>20</v>
      </c>
      <c r="C13" s="270" t="s">
        <v>36</v>
      </c>
      <c r="D13" s="537" t="s">
        <v>749</v>
      </c>
      <c r="E13" s="399"/>
      <c r="F13" s="74">
        <v>15</v>
      </c>
      <c r="G13" s="523"/>
      <c r="H13" s="455"/>
      <c r="I13" s="456"/>
      <c r="J13" s="456"/>
      <c r="K13" s="360"/>
      <c r="L13" s="456"/>
      <c r="M13" s="360"/>
      <c r="N13" s="456"/>
      <c r="O13" s="360"/>
      <c r="P13" s="320">
        <v>16</v>
      </c>
      <c r="Q13" s="315">
        <v>15</v>
      </c>
      <c r="R13" s="320">
        <v>13</v>
      </c>
      <c r="S13" s="315">
        <v>15</v>
      </c>
      <c r="T13" s="320">
        <v>11</v>
      </c>
      <c r="U13" s="315">
        <v>15</v>
      </c>
      <c r="V13" s="320">
        <v>23</v>
      </c>
      <c r="W13" s="315">
        <v>15</v>
      </c>
      <c r="X13" s="320">
        <v>5</v>
      </c>
      <c r="Y13" s="315">
        <v>15</v>
      </c>
      <c r="Z13" s="320">
        <v>31</v>
      </c>
      <c r="AA13" s="315">
        <v>15</v>
      </c>
      <c r="AB13" s="320">
        <v>28</v>
      </c>
      <c r="AC13" s="315">
        <v>15</v>
      </c>
      <c r="AD13" s="320">
        <v>26</v>
      </c>
      <c r="AE13" s="600">
        <v>15</v>
      </c>
      <c r="AF13" s="652"/>
      <c r="AG13" s="652"/>
      <c r="AH13" s="652"/>
      <c r="AI13" s="652"/>
      <c r="AJ13" s="652"/>
      <c r="AK13" s="652"/>
      <c r="AL13" s="652"/>
      <c r="AM13" s="652"/>
      <c r="AN13" s="652"/>
      <c r="AO13" s="652"/>
    </row>
    <row r="14" spans="1:41" s="27" customFormat="1" ht="17.5" customHeight="1" x14ac:dyDescent="0.45">
      <c r="A14" s="1">
        <v>2</v>
      </c>
      <c r="B14" s="270" t="s">
        <v>1</v>
      </c>
      <c r="C14" s="270" t="s">
        <v>30</v>
      </c>
      <c r="D14" s="538" t="s">
        <v>749</v>
      </c>
      <c r="E14" s="400"/>
      <c r="F14" s="134">
        <v>15</v>
      </c>
      <c r="G14" s="523"/>
      <c r="H14" s="455"/>
      <c r="I14" s="456"/>
      <c r="J14" s="456"/>
      <c r="K14" s="360"/>
      <c r="L14" s="456"/>
      <c r="M14" s="360"/>
      <c r="N14" s="456"/>
      <c r="O14" s="360"/>
      <c r="P14" s="456"/>
      <c r="Q14" s="360"/>
      <c r="R14" s="320">
        <v>18</v>
      </c>
      <c r="S14" s="315">
        <v>15</v>
      </c>
      <c r="T14" s="320">
        <v>16</v>
      </c>
      <c r="U14" s="315">
        <v>15</v>
      </c>
      <c r="V14" s="320">
        <v>13</v>
      </c>
      <c r="W14" s="315">
        <v>15</v>
      </c>
      <c r="X14" s="320">
        <v>10</v>
      </c>
      <c r="Y14" s="315">
        <v>15</v>
      </c>
      <c r="Z14" s="332">
        <v>8</v>
      </c>
      <c r="AA14" s="315">
        <v>15</v>
      </c>
      <c r="AB14" s="320">
        <v>5</v>
      </c>
      <c r="AC14" s="315">
        <v>15</v>
      </c>
      <c r="AD14" s="320">
        <v>3</v>
      </c>
      <c r="AE14" s="601">
        <v>15</v>
      </c>
      <c r="AF14" s="652"/>
      <c r="AG14" s="652"/>
      <c r="AH14" s="652"/>
      <c r="AI14" s="652"/>
      <c r="AJ14" s="652"/>
      <c r="AK14" s="652"/>
      <c r="AL14" s="652"/>
      <c r="AM14" s="652"/>
      <c r="AN14" s="652"/>
      <c r="AO14" s="652"/>
    </row>
    <row r="15" spans="1:41" s="27" customFormat="1" ht="17.5" customHeight="1" x14ac:dyDescent="0.45">
      <c r="A15" s="271">
        <v>3</v>
      </c>
      <c r="B15" s="270" t="s">
        <v>74</v>
      </c>
      <c r="C15" s="270" t="s">
        <v>75</v>
      </c>
      <c r="D15" s="538" t="s">
        <v>749</v>
      </c>
      <c r="E15" s="398"/>
      <c r="F15" s="395">
        <v>15</v>
      </c>
      <c r="G15" s="523"/>
      <c r="H15" s="455"/>
      <c r="I15" s="456"/>
      <c r="J15" s="456"/>
      <c r="K15" s="360"/>
      <c r="L15" s="456"/>
      <c r="M15" s="360"/>
      <c r="N15" s="456"/>
      <c r="O15" s="360"/>
      <c r="P15" s="456"/>
      <c r="Q15" s="360"/>
      <c r="R15" s="456"/>
      <c r="S15" s="360"/>
      <c r="T15" s="320">
        <v>16</v>
      </c>
      <c r="U15" s="315">
        <v>15</v>
      </c>
      <c r="V15" s="320">
        <v>13</v>
      </c>
      <c r="W15" s="315">
        <v>15</v>
      </c>
      <c r="X15" s="320">
        <v>10</v>
      </c>
      <c r="Y15" s="315">
        <v>15</v>
      </c>
      <c r="Z15" s="332">
        <v>8</v>
      </c>
      <c r="AA15" s="315">
        <v>15</v>
      </c>
      <c r="AB15" s="320">
        <v>5</v>
      </c>
      <c r="AC15" s="315">
        <v>15</v>
      </c>
      <c r="AD15" s="320">
        <v>3</v>
      </c>
      <c r="AE15" s="601">
        <v>15</v>
      </c>
      <c r="AF15" s="652"/>
      <c r="AG15" s="652"/>
      <c r="AH15" s="652"/>
      <c r="AI15" s="652"/>
      <c r="AJ15" s="652"/>
      <c r="AK15" s="652"/>
      <c r="AL15" s="652"/>
      <c r="AM15" s="652"/>
      <c r="AN15" s="652"/>
      <c r="AO15" s="652"/>
    </row>
    <row r="16" spans="1:41" s="27" customFormat="1" ht="17.5" customHeight="1" x14ac:dyDescent="0.45">
      <c r="A16" s="271" t="s">
        <v>763</v>
      </c>
      <c r="B16" s="512" t="s">
        <v>389</v>
      </c>
      <c r="C16" s="512" t="s">
        <v>56</v>
      </c>
      <c r="D16" s="538" t="s">
        <v>749</v>
      </c>
      <c r="E16" s="398"/>
      <c r="F16" s="395">
        <v>20</v>
      </c>
      <c r="G16" s="523"/>
      <c r="H16" s="455"/>
      <c r="I16" s="456"/>
      <c r="J16" s="456"/>
      <c r="K16" s="360"/>
      <c r="L16" s="456"/>
      <c r="M16" s="360"/>
      <c r="N16" s="456"/>
      <c r="O16" s="360"/>
      <c r="P16" s="456"/>
      <c r="Q16" s="360"/>
      <c r="R16" s="456"/>
      <c r="S16" s="360"/>
      <c r="T16" s="320">
        <v>31</v>
      </c>
      <c r="U16" s="315">
        <v>20</v>
      </c>
      <c r="V16" s="320">
        <v>31</v>
      </c>
      <c r="W16" s="315">
        <v>20</v>
      </c>
      <c r="X16" s="320">
        <v>28</v>
      </c>
      <c r="Y16" s="315">
        <v>20</v>
      </c>
      <c r="Z16" s="332">
        <v>12</v>
      </c>
      <c r="AA16" s="315">
        <v>20</v>
      </c>
      <c r="AB16" s="320">
        <v>9</v>
      </c>
      <c r="AC16" s="315">
        <v>20</v>
      </c>
      <c r="AD16" s="320">
        <v>7</v>
      </c>
      <c r="AE16" s="601">
        <v>20</v>
      </c>
      <c r="AF16" s="652"/>
      <c r="AG16" s="652"/>
      <c r="AH16" s="652"/>
      <c r="AI16" s="652"/>
      <c r="AJ16" s="652"/>
      <c r="AK16" s="652"/>
      <c r="AL16" s="652"/>
      <c r="AM16" s="652"/>
      <c r="AN16" s="652"/>
      <c r="AO16" s="652"/>
    </row>
    <row r="17" spans="1:41" s="27" customFormat="1" ht="17.5" customHeight="1" x14ac:dyDescent="0.45">
      <c r="A17" s="271" t="s">
        <v>764</v>
      </c>
      <c r="B17" s="512" t="s">
        <v>728</v>
      </c>
      <c r="C17" s="512" t="s">
        <v>57</v>
      </c>
      <c r="D17" s="538" t="s">
        <v>749</v>
      </c>
      <c r="E17" s="398"/>
      <c r="F17" s="395">
        <v>20</v>
      </c>
      <c r="G17" s="523"/>
      <c r="H17" s="455"/>
      <c r="I17" s="456"/>
      <c r="J17" s="456"/>
      <c r="K17" s="360"/>
      <c r="L17" s="456"/>
      <c r="M17" s="360"/>
      <c r="N17" s="456"/>
      <c r="O17" s="360"/>
      <c r="P17" s="456"/>
      <c r="Q17" s="360"/>
      <c r="R17" s="456"/>
      <c r="S17" s="360"/>
      <c r="T17" s="320">
        <v>31</v>
      </c>
      <c r="U17" s="315">
        <v>20</v>
      </c>
      <c r="V17" s="320">
        <v>31</v>
      </c>
      <c r="W17" s="315">
        <v>20</v>
      </c>
      <c r="X17" s="320">
        <v>28</v>
      </c>
      <c r="Y17" s="315">
        <v>20</v>
      </c>
      <c r="Z17" s="332">
        <v>8</v>
      </c>
      <c r="AA17" s="315">
        <v>20</v>
      </c>
      <c r="AB17" s="320">
        <v>5</v>
      </c>
      <c r="AC17" s="315">
        <v>20</v>
      </c>
      <c r="AD17" s="320">
        <v>31</v>
      </c>
      <c r="AE17" s="601">
        <v>20</v>
      </c>
      <c r="AF17" s="652"/>
      <c r="AG17" s="652"/>
      <c r="AH17" s="652"/>
      <c r="AI17" s="652"/>
      <c r="AJ17" s="652"/>
      <c r="AK17" s="652"/>
      <c r="AL17" s="652"/>
      <c r="AM17" s="652"/>
      <c r="AN17" s="652"/>
      <c r="AO17" s="652"/>
    </row>
    <row r="18" spans="1:41" s="27" customFormat="1" ht="17.5" customHeight="1" x14ac:dyDescent="0.45">
      <c r="A18" s="271">
        <v>8</v>
      </c>
      <c r="B18" s="270" t="s">
        <v>89</v>
      </c>
      <c r="C18" s="270" t="s">
        <v>90</v>
      </c>
      <c r="D18" s="538" t="s">
        <v>749</v>
      </c>
      <c r="E18" s="398"/>
      <c r="F18" s="395">
        <v>15</v>
      </c>
      <c r="G18" s="523"/>
      <c r="H18" s="455"/>
      <c r="I18" s="456"/>
      <c r="J18" s="456"/>
      <c r="K18" s="360"/>
      <c r="L18" s="456"/>
      <c r="M18" s="360"/>
      <c r="N18" s="456"/>
      <c r="O18" s="360"/>
      <c r="P18" s="456"/>
      <c r="Q18" s="360"/>
      <c r="R18" s="456"/>
      <c r="S18" s="360"/>
      <c r="T18" s="456"/>
      <c r="U18" s="360"/>
      <c r="V18" s="320">
        <v>4</v>
      </c>
      <c r="W18" s="315">
        <v>15</v>
      </c>
      <c r="X18" s="320">
        <v>4</v>
      </c>
      <c r="Y18" s="315">
        <v>15</v>
      </c>
      <c r="Z18" s="332">
        <v>11</v>
      </c>
      <c r="AA18" s="315">
        <v>15</v>
      </c>
      <c r="AB18" s="320">
        <v>8</v>
      </c>
      <c r="AC18" s="315">
        <v>15</v>
      </c>
      <c r="AD18" s="320">
        <v>6</v>
      </c>
      <c r="AE18" s="601">
        <v>15</v>
      </c>
      <c r="AF18" s="652"/>
      <c r="AG18" s="652"/>
      <c r="AH18" s="652"/>
      <c r="AI18" s="652"/>
      <c r="AJ18" s="652"/>
      <c r="AK18" s="652"/>
      <c r="AL18" s="652"/>
      <c r="AM18" s="652"/>
      <c r="AN18" s="652"/>
      <c r="AO18" s="652"/>
    </row>
    <row r="19" spans="1:41" s="27" customFormat="1" ht="17.5" customHeight="1" x14ac:dyDescent="0.45">
      <c r="A19" s="271">
        <v>9</v>
      </c>
      <c r="B19" s="270" t="s">
        <v>125</v>
      </c>
      <c r="C19" s="275" t="s">
        <v>126</v>
      </c>
      <c r="D19" s="538" t="s">
        <v>749</v>
      </c>
      <c r="E19" s="398"/>
      <c r="F19" s="395">
        <v>15</v>
      </c>
      <c r="G19" s="523"/>
      <c r="H19" s="455"/>
      <c r="I19" s="456"/>
      <c r="J19" s="456"/>
      <c r="K19" s="360"/>
      <c r="L19" s="456"/>
      <c r="M19" s="360"/>
      <c r="N19" s="456"/>
      <c r="O19" s="360"/>
      <c r="P19" s="456"/>
      <c r="Q19" s="360"/>
      <c r="R19" s="456"/>
      <c r="S19" s="360"/>
      <c r="T19" s="456"/>
      <c r="U19" s="360"/>
      <c r="V19" s="320">
        <v>4</v>
      </c>
      <c r="W19" s="315">
        <v>15</v>
      </c>
      <c r="X19" s="456"/>
      <c r="Y19" s="360"/>
      <c r="Z19" s="456"/>
      <c r="AA19" s="360"/>
      <c r="AB19" s="456"/>
      <c r="AC19" s="360"/>
      <c r="AD19" s="456"/>
      <c r="AE19" s="602"/>
      <c r="AF19" s="652"/>
      <c r="AG19" s="652"/>
      <c r="AH19" s="652"/>
      <c r="AI19" s="652"/>
      <c r="AJ19" s="652"/>
      <c r="AK19" s="652"/>
      <c r="AL19" s="652"/>
      <c r="AM19" s="652"/>
      <c r="AN19" s="652"/>
      <c r="AO19" s="652"/>
    </row>
    <row r="20" spans="1:41" s="27" customFormat="1" ht="17.5" customHeight="1" x14ac:dyDescent="0.45">
      <c r="A20" s="271">
        <v>10</v>
      </c>
      <c r="B20" s="270" t="s">
        <v>100</v>
      </c>
      <c r="C20" s="270" t="s">
        <v>101</v>
      </c>
      <c r="D20" s="538" t="s">
        <v>749</v>
      </c>
      <c r="E20" s="398"/>
      <c r="F20" s="395">
        <v>15</v>
      </c>
      <c r="G20" s="523"/>
      <c r="H20" s="455"/>
      <c r="I20" s="456"/>
      <c r="J20" s="456"/>
      <c r="K20" s="360"/>
      <c r="L20" s="456"/>
      <c r="M20" s="360"/>
      <c r="N20" s="456"/>
      <c r="O20" s="360"/>
      <c r="P20" s="456"/>
      <c r="Q20" s="360"/>
      <c r="R20" s="456"/>
      <c r="S20" s="360"/>
      <c r="T20" s="456"/>
      <c r="U20" s="360"/>
      <c r="V20" s="456"/>
      <c r="W20" s="360"/>
      <c r="X20" s="456"/>
      <c r="Y20" s="360"/>
      <c r="Z20" s="332">
        <v>17</v>
      </c>
      <c r="AA20" s="315">
        <v>15</v>
      </c>
      <c r="AB20" s="320">
        <v>7</v>
      </c>
      <c r="AC20" s="315">
        <v>15</v>
      </c>
      <c r="AD20" s="320">
        <v>5</v>
      </c>
      <c r="AE20" s="601">
        <v>15</v>
      </c>
      <c r="AF20" s="652"/>
      <c r="AG20" s="652"/>
      <c r="AH20" s="652"/>
      <c r="AI20" s="652"/>
      <c r="AJ20" s="652"/>
      <c r="AK20" s="652"/>
      <c r="AL20" s="652"/>
      <c r="AM20" s="652"/>
      <c r="AN20" s="652"/>
      <c r="AO20" s="652"/>
    </row>
    <row r="21" spans="1:41" s="27" customFormat="1" ht="18" customHeight="1" thickBot="1" x14ac:dyDescent="0.5">
      <c r="D21" s="587"/>
      <c r="E21" s="384"/>
      <c r="F21" s="76"/>
      <c r="G21" s="523"/>
      <c r="H21" s="346"/>
      <c r="I21" s="347"/>
      <c r="J21" s="346"/>
      <c r="K21" s="347"/>
      <c r="L21" s="346"/>
      <c r="M21" s="347"/>
      <c r="N21" s="346"/>
      <c r="O21" s="348"/>
      <c r="P21" s="346"/>
      <c r="Q21" s="347"/>
      <c r="R21" s="346"/>
      <c r="S21" s="348"/>
      <c r="T21" s="346"/>
      <c r="U21" s="348"/>
      <c r="V21" s="346"/>
      <c r="W21" s="348"/>
      <c r="X21" s="346"/>
      <c r="Y21" s="348"/>
      <c r="Z21" s="346"/>
      <c r="AA21" s="347"/>
      <c r="AB21" s="346"/>
      <c r="AC21" s="347"/>
      <c r="AD21" s="346"/>
      <c r="AE21" s="604"/>
      <c r="AF21" s="652"/>
      <c r="AG21" s="652"/>
      <c r="AH21" s="652"/>
      <c r="AI21" s="652"/>
      <c r="AJ21" s="652"/>
      <c r="AK21" s="652"/>
      <c r="AL21" s="652"/>
      <c r="AM21" s="652"/>
      <c r="AN21" s="652"/>
      <c r="AO21" s="652"/>
    </row>
    <row r="22" spans="1:41" s="116" customFormat="1" ht="21.75" customHeight="1" thickTop="1" thickBot="1" x14ac:dyDescent="0.5">
      <c r="A22" s="273" t="s">
        <v>379</v>
      </c>
      <c r="B22" s="273">
        <v>10</v>
      </c>
      <c r="D22" s="597"/>
      <c r="E22" s="265"/>
      <c r="F22" s="274">
        <f>SUM(F13:F21)</f>
        <v>130</v>
      </c>
      <c r="G22" s="523"/>
      <c r="H22" s="667"/>
      <c r="I22" s="667"/>
      <c r="J22" s="667"/>
      <c r="K22" s="667"/>
      <c r="L22" s="667"/>
      <c r="M22" s="667"/>
      <c r="N22" s="667"/>
      <c r="O22" s="667"/>
      <c r="P22" s="667"/>
      <c r="Q22" s="667"/>
      <c r="R22" s="667"/>
      <c r="S22" s="667"/>
      <c r="T22" s="667"/>
      <c r="U22" s="667"/>
      <c r="V22" s="667"/>
      <c r="W22" s="667"/>
      <c r="X22" s="667"/>
      <c r="Y22" s="667"/>
      <c r="Z22" s="667"/>
      <c r="AA22" s="667"/>
      <c r="AB22" s="667"/>
      <c r="AC22" s="667"/>
      <c r="AD22" s="667"/>
      <c r="AE22" s="667"/>
      <c r="AF22" s="652"/>
      <c r="AG22" s="652"/>
      <c r="AH22" s="652"/>
      <c r="AI22" s="652"/>
      <c r="AJ22" s="652"/>
      <c r="AK22" s="652"/>
      <c r="AL22" s="652"/>
      <c r="AM22" s="652"/>
      <c r="AN22" s="652"/>
      <c r="AO22" s="652"/>
    </row>
    <row r="23" spans="1:41" s="571" customFormat="1" ht="17.5" customHeight="1" thickTop="1" thickBot="1" x14ac:dyDescent="0.5">
      <c r="A23" s="523"/>
      <c r="B23" s="523"/>
      <c r="C23" s="523"/>
      <c r="D23" s="584"/>
      <c r="E23" s="407"/>
      <c r="F23" s="524"/>
      <c r="G23" s="523"/>
      <c r="H23" s="668"/>
      <c r="I23" s="668"/>
      <c r="J23" s="668"/>
      <c r="K23" s="668"/>
      <c r="L23" s="668"/>
      <c r="M23" s="668"/>
      <c r="N23" s="668"/>
      <c r="O23" s="668"/>
      <c r="P23" s="668"/>
      <c r="Q23" s="668"/>
      <c r="R23" s="668"/>
      <c r="S23" s="668"/>
      <c r="T23" s="668"/>
      <c r="U23" s="668"/>
      <c r="V23" s="668"/>
      <c r="W23" s="668"/>
      <c r="X23" s="668"/>
      <c r="Y23" s="668"/>
      <c r="Z23" s="668"/>
      <c r="AA23" s="668"/>
      <c r="AB23" s="668"/>
      <c r="AC23" s="668"/>
      <c r="AD23" s="668"/>
      <c r="AE23" s="668"/>
      <c r="AF23" s="652"/>
      <c r="AG23" s="652"/>
      <c r="AH23" s="652"/>
      <c r="AI23" s="652"/>
      <c r="AJ23" s="652"/>
      <c r="AK23" s="652"/>
      <c r="AL23" s="652"/>
      <c r="AM23" s="652"/>
      <c r="AN23" s="652"/>
      <c r="AO23" s="652"/>
    </row>
    <row r="24" spans="1:41" customFormat="1" ht="22" thickTop="1" thickBot="1" x14ac:dyDescent="0.5">
      <c r="A24" s="660" t="s">
        <v>741</v>
      </c>
      <c r="B24" s="661"/>
      <c r="C24" s="523"/>
      <c r="D24" s="584"/>
      <c r="E24" s="407"/>
      <c r="F24" s="524"/>
      <c r="G24" s="523"/>
      <c r="H24" s="672"/>
      <c r="I24" s="672"/>
      <c r="J24" s="672"/>
      <c r="K24" s="672"/>
      <c r="L24" s="672"/>
      <c r="M24" s="672"/>
      <c r="N24" s="672"/>
      <c r="O24" s="672"/>
      <c r="P24" s="672"/>
      <c r="Q24" s="672"/>
      <c r="R24" s="672"/>
      <c r="S24" s="672"/>
      <c r="T24" s="672"/>
      <c r="U24" s="672"/>
      <c r="V24" s="672"/>
      <c r="W24" s="672"/>
      <c r="X24" s="672"/>
      <c r="Y24" s="672"/>
      <c r="Z24" s="672"/>
      <c r="AA24" s="672"/>
      <c r="AB24" s="672"/>
      <c r="AC24" s="672"/>
      <c r="AD24" s="672"/>
      <c r="AE24" s="672"/>
      <c r="AF24" s="652"/>
      <c r="AG24" s="652"/>
      <c r="AH24" s="652"/>
      <c r="AI24" s="652"/>
      <c r="AJ24" s="652"/>
      <c r="AK24" s="652"/>
      <c r="AL24" s="652"/>
      <c r="AM24" s="652"/>
      <c r="AN24" s="652"/>
      <c r="AO24" s="652"/>
    </row>
    <row r="25" spans="1:41" ht="17.5" customHeight="1" thickTop="1" x14ac:dyDescent="0.45">
      <c r="A25" s="68">
        <v>1</v>
      </c>
      <c r="B25" s="174" t="s">
        <v>11</v>
      </c>
      <c r="C25" s="174" t="s">
        <v>33</v>
      </c>
      <c r="D25" s="549" t="s">
        <v>752</v>
      </c>
      <c r="E25" s="569"/>
      <c r="F25" s="108">
        <v>10</v>
      </c>
      <c r="G25" s="37"/>
      <c r="H25" s="497"/>
      <c r="I25" s="506"/>
      <c r="J25" s="506"/>
      <c r="K25" s="506"/>
      <c r="L25" s="506"/>
      <c r="M25" s="506"/>
      <c r="N25" s="506"/>
      <c r="O25" s="506"/>
      <c r="P25" s="589">
        <v>24</v>
      </c>
      <c r="Q25" s="567">
        <v>10</v>
      </c>
      <c r="R25" s="589">
        <v>21</v>
      </c>
      <c r="S25" s="567">
        <v>10</v>
      </c>
      <c r="T25" s="589">
        <v>31</v>
      </c>
      <c r="U25" s="567">
        <v>10</v>
      </c>
      <c r="V25" s="589">
        <v>16</v>
      </c>
      <c r="W25" s="567">
        <v>10</v>
      </c>
      <c r="X25" s="589">
        <v>13</v>
      </c>
      <c r="Y25" s="567">
        <v>10</v>
      </c>
      <c r="Z25" s="589">
        <v>11</v>
      </c>
      <c r="AA25" s="567">
        <v>10</v>
      </c>
      <c r="AB25" s="589">
        <v>8</v>
      </c>
      <c r="AC25" s="567">
        <v>10</v>
      </c>
      <c r="AD25" s="589">
        <v>6</v>
      </c>
      <c r="AE25" s="600">
        <v>10</v>
      </c>
      <c r="AF25" s="652"/>
      <c r="AG25" s="652"/>
      <c r="AH25" s="652"/>
      <c r="AI25" s="652"/>
      <c r="AJ25" s="652"/>
      <c r="AK25" s="652"/>
      <c r="AL25" s="652"/>
      <c r="AM25" s="652"/>
      <c r="AN25" s="652"/>
      <c r="AO25" s="652"/>
    </row>
    <row r="26" spans="1:41" ht="17.5" customHeight="1" x14ac:dyDescent="0.45">
      <c r="A26" s="1">
        <v>2</v>
      </c>
      <c r="B26" s="270" t="s">
        <v>12</v>
      </c>
      <c r="C26" s="270" t="s">
        <v>34</v>
      </c>
      <c r="D26" s="537" t="s">
        <v>752</v>
      </c>
      <c r="E26" s="399"/>
      <c r="F26" s="74">
        <v>10</v>
      </c>
      <c r="G26" s="37"/>
      <c r="H26" s="455"/>
      <c r="I26" s="456"/>
      <c r="J26" s="456"/>
      <c r="K26" s="360"/>
      <c r="L26" s="456"/>
      <c r="M26" s="360"/>
      <c r="N26" s="456"/>
      <c r="O26" s="360"/>
      <c r="P26" s="320">
        <v>18</v>
      </c>
      <c r="Q26" s="315">
        <v>10</v>
      </c>
      <c r="R26" s="320">
        <v>15</v>
      </c>
      <c r="S26" s="315">
        <v>10</v>
      </c>
      <c r="T26" s="320">
        <v>13</v>
      </c>
      <c r="U26" s="315">
        <v>10</v>
      </c>
      <c r="V26" s="320">
        <v>10</v>
      </c>
      <c r="W26" s="315">
        <v>10</v>
      </c>
      <c r="X26" s="320">
        <v>7</v>
      </c>
      <c r="Y26" s="315">
        <v>10</v>
      </c>
      <c r="Z26" s="332">
        <v>5</v>
      </c>
      <c r="AA26" s="315">
        <v>10</v>
      </c>
      <c r="AB26" s="320">
        <v>30</v>
      </c>
      <c r="AC26" s="315">
        <v>10</v>
      </c>
      <c r="AD26" s="320">
        <v>28</v>
      </c>
      <c r="AE26" s="601">
        <v>10</v>
      </c>
      <c r="AF26" s="652"/>
      <c r="AG26" s="652"/>
      <c r="AH26" s="652"/>
      <c r="AI26" s="652"/>
      <c r="AJ26" s="652"/>
      <c r="AK26" s="652"/>
      <c r="AL26" s="652"/>
      <c r="AM26" s="652"/>
      <c r="AN26" s="652"/>
      <c r="AO26" s="652"/>
    </row>
    <row r="27" spans="1:41" ht="17.5" customHeight="1" x14ac:dyDescent="0.45">
      <c r="A27" s="1">
        <v>3</v>
      </c>
      <c r="B27" s="270" t="s">
        <v>26</v>
      </c>
      <c r="C27" s="270" t="s">
        <v>35</v>
      </c>
      <c r="D27" s="537" t="s">
        <v>752</v>
      </c>
      <c r="E27" s="400"/>
      <c r="F27" s="74">
        <v>15</v>
      </c>
      <c r="G27" s="37"/>
      <c r="H27" s="455"/>
      <c r="I27" s="456"/>
      <c r="J27" s="456"/>
      <c r="K27" s="360"/>
      <c r="L27" s="456"/>
      <c r="M27" s="360"/>
      <c r="N27" s="456"/>
      <c r="O27" s="360"/>
      <c r="P27" s="320">
        <v>18</v>
      </c>
      <c r="Q27" s="315">
        <v>15</v>
      </c>
      <c r="R27" s="456"/>
      <c r="S27" s="360"/>
      <c r="T27" s="456"/>
      <c r="U27" s="360"/>
      <c r="V27" s="320">
        <v>31</v>
      </c>
      <c r="W27" s="315">
        <v>15</v>
      </c>
      <c r="X27" s="320">
        <v>28</v>
      </c>
      <c r="Y27" s="315">
        <v>15</v>
      </c>
      <c r="Z27" s="332">
        <v>26</v>
      </c>
      <c r="AA27" s="315">
        <v>15</v>
      </c>
      <c r="AB27" s="320">
        <v>23</v>
      </c>
      <c r="AC27" s="315">
        <v>15</v>
      </c>
      <c r="AD27" s="320">
        <v>21</v>
      </c>
      <c r="AE27" s="601">
        <v>15</v>
      </c>
      <c r="AF27" s="652"/>
      <c r="AG27" s="652"/>
      <c r="AH27" s="652"/>
      <c r="AI27" s="652"/>
      <c r="AJ27" s="652"/>
      <c r="AK27" s="652"/>
      <c r="AL27" s="652"/>
      <c r="AM27" s="652"/>
      <c r="AN27" s="652"/>
      <c r="AO27" s="652"/>
    </row>
    <row r="28" spans="1:41" s="27" customFormat="1" ht="17.5" customHeight="1" x14ac:dyDescent="0.45">
      <c r="A28" s="1">
        <v>4</v>
      </c>
      <c r="B28" s="270" t="s">
        <v>10</v>
      </c>
      <c r="C28" s="270" t="s">
        <v>32</v>
      </c>
      <c r="D28" s="537" t="s">
        <v>752</v>
      </c>
      <c r="E28" s="400"/>
      <c r="F28" s="134">
        <v>10</v>
      </c>
      <c r="G28" s="37"/>
      <c r="H28" s="455"/>
      <c r="I28" s="456"/>
      <c r="J28" s="456"/>
      <c r="K28" s="360"/>
      <c r="L28" s="456"/>
      <c r="M28" s="360"/>
      <c r="N28" s="456"/>
      <c r="O28" s="360"/>
      <c r="P28" s="456"/>
      <c r="Q28" s="360"/>
      <c r="R28" s="320">
        <v>17</v>
      </c>
      <c r="S28" s="315">
        <v>20</v>
      </c>
      <c r="T28" s="320">
        <v>15</v>
      </c>
      <c r="U28" s="315">
        <v>20</v>
      </c>
      <c r="V28" s="320">
        <v>12</v>
      </c>
      <c r="W28" s="315">
        <v>20</v>
      </c>
      <c r="X28" s="320">
        <v>9</v>
      </c>
      <c r="Y28" s="315">
        <v>20</v>
      </c>
      <c r="Z28" s="332">
        <v>7</v>
      </c>
      <c r="AA28" s="315">
        <v>20</v>
      </c>
      <c r="AB28" s="320">
        <v>4</v>
      </c>
      <c r="AC28" s="315">
        <v>20</v>
      </c>
      <c r="AD28" s="320">
        <v>2</v>
      </c>
      <c r="AE28" s="601">
        <v>20</v>
      </c>
      <c r="AF28" s="652"/>
      <c r="AG28" s="652"/>
      <c r="AH28" s="652"/>
      <c r="AI28" s="652"/>
      <c r="AJ28" s="652"/>
      <c r="AK28" s="652"/>
      <c r="AL28" s="652"/>
      <c r="AM28" s="652"/>
      <c r="AN28" s="652"/>
      <c r="AO28" s="652"/>
    </row>
    <row r="29" spans="1:41" s="27" customFormat="1" ht="17.5" customHeight="1" x14ac:dyDescent="0.45">
      <c r="A29" s="271">
        <v>5</v>
      </c>
      <c r="B29" s="270" t="s">
        <v>8</v>
      </c>
      <c r="C29" s="270" t="s">
        <v>31</v>
      </c>
      <c r="D29" s="537" t="s">
        <v>752</v>
      </c>
      <c r="E29" s="398"/>
      <c r="F29" s="134">
        <v>8</v>
      </c>
      <c r="G29" s="37"/>
      <c r="H29" s="455"/>
      <c r="I29" s="456"/>
      <c r="J29" s="456"/>
      <c r="K29" s="360"/>
      <c r="L29" s="456"/>
      <c r="M29" s="360"/>
      <c r="N29" s="456"/>
      <c r="O29" s="360"/>
      <c r="P29" s="456"/>
      <c r="Q29" s="360"/>
      <c r="R29" s="320">
        <v>18</v>
      </c>
      <c r="S29" s="315">
        <v>24</v>
      </c>
      <c r="T29" s="320">
        <v>16</v>
      </c>
      <c r="U29" s="315">
        <v>24</v>
      </c>
      <c r="V29" s="320">
        <v>13</v>
      </c>
      <c r="W29" s="315">
        <v>24</v>
      </c>
      <c r="X29" s="320">
        <v>10</v>
      </c>
      <c r="Y29" s="315">
        <v>24</v>
      </c>
      <c r="Z29" s="332">
        <v>8</v>
      </c>
      <c r="AA29" s="315">
        <v>24</v>
      </c>
      <c r="AB29" s="320">
        <v>5</v>
      </c>
      <c r="AC29" s="315">
        <v>24</v>
      </c>
      <c r="AD29" s="320">
        <v>3</v>
      </c>
      <c r="AE29" s="601">
        <v>24</v>
      </c>
      <c r="AF29" s="652"/>
      <c r="AG29" s="652"/>
      <c r="AH29" s="652"/>
      <c r="AI29" s="652"/>
      <c r="AJ29" s="652"/>
      <c r="AK29" s="652"/>
      <c r="AL29" s="652"/>
      <c r="AM29" s="652"/>
      <c r="AN29" s="652"/>
      <c r="AO29" s="652"/>
    </row>
    <row r="30" spans="1:41" s="27" customFormat="1" ht="17.5" customHeight="1" x14ac:dyDescent="0.45">
      <c r="A30" s="271">
        <v>6</v>
      </c>
      <c r="B30" s="270" t="s">
        <v>28</v>
      </c>
      <c r="C30" s="270" t="s">
        <v>37</v>
      </c>
      <c r="D30" s="537" t="s">
        <v>752</v>
      </c>
      <c r="E30" s="398"/>
      <c r="F30" s="134">
        <v>18</v>
      </c>
      <c r="G30" s="37"/>
      <c r="H30" s="455"/>
      <c r="I30" s="456"/>
      <c r="J30" s="456"/>
      <c r="K30" s="360"/>
      <c r="L30" s="456"/>
      <c r="M30" s="360"/>
      <c r="N30" s="456"/>
      <c r="O30" s="360"/>
      <c r="P30" s="456"/>
      <c r="Q30" s="360"/>
      <c r="R30" s="320">
        <v>22</v>
      </c>
      <c r="S30" s="315">
        <v>8</v>
      </c>
      <c r="T30" s="320">
        <v>20</v>
      </c>
      <c r="U30" s="315">
        <v>18</v>
      </c>
      <c r="V30" s="320">
        <v>17</v>
      </c>
      <c r="W30" s="315">
        <v>18</v>
      </c>
      <c r="X30" s="320">
        <v>14</v>
      </c>
      <c r="Y30" s="315">
        <v>18</v>
      </c>
      <c r="Z30" s="332">
        <v>12</v>
      </c>
      <c r="AA30" s="315">
        <v>18</v>
      </c>
      <c r="AB30" s="320">
        <v>9</v>
      </c>
      <c r="AC30" s="315">
        <v>18</v>
      </c>
      <c r="AD30" s="320">
        <v>7</v>
      </c>
      <c r="AE30" s="601">
        <v>18</v>
      </c>
      <c r="AF30" s="652"/>
      <c r="AG30" s="652"/>
      <c r="AH30" s="652"/>
      <c r="AI30" s="652"/>
      <c r="AJ30" s="652"/>
      <c r="AK30" s="652"/>
      <c r="AL30" s="652"/>
      <c r="AM30" s="652"/>
      <c r="AN30" s="652"/>
      <c r="AO30" s="652"/>
    </row>
    <row r="31" spans="1:41" s="27" customFormat="1" ht="17.5" customHeight="1" x14ac:dyDescent="0.45">
      <c r="A31" s="271">
        <v>7</v>
      </c>
      <c r="B31" s="270" t="s">
        <v>91</v>
      </c>
      <c r="C31" s="270" t="s">
        <v>92</v>
      </c>
      <c r="D31" s="537" t="s">
        <v>752</v>
      </c>
      <c r="E31" s="398"/>
      <c r="F31" s="395">
        <v>8</v>
      </c>
      <c r="G31" s="37"/>
      <c r="H31" s="455"/>
      <c r="I31" s="456"/>
      <c r="J31" s="456"/>
      <c r="K31" s="360"/>
      <c r="L31" s="456"/>
      <c r="M31" s="360"/>
      <c r="N31" s="456"/>
      <c r="O31" s="360"/>
      <c r="P31" s="456"/>
      <c r="Q31" s="360"/>
      <c r="R31" s="456"/>
      <c r="S31" s="360"/>
      <c r="T31" s="456"/>
      <c r="U31" s="360"/>
      <c r="V31" s="320">
        <v>2</v>
      </c>
      <c r="W31" s="315">
        <v>24</v>
      </c>
      <c r="X31" s="456"/>
      <c r="Y31" s="360"/>
      <c r="Z31" s="456"/>
      <c r="AA31" s="360"/>
      <c r="AB31" s="456"/>
      <c r="AC31" s="360"/>
      <c r="AD31" s="456"/>
      <c r="AE31" s="602"/>
      <c r="AF31" s="652"/>
      <c r="AG31" s="652"/>
      <c r="AH31" s="652"/>
      <c r="AI31" s="652"/>
      <c r="AJ31" s="652"/>
      <c r="AK31" s="652"/>
      <c r="AL31" s="652"/>
      <c r="AM31" s="652"/>
      <c r="AN31" s="652"/>
      <c r="AO31" s="652"/>
    </row>
    <row r="32" spans="1:41" s="27" customFormat="1" ht="17.5" customHeight="1" x14ac:dyDescent="0.45">
      <c r="A32" s="271">
        <v>8</v>
      </c>
      <c r="B32" s="1" t="s">
        <v>112</v>
      </c>
      <c r="C32" s="1" t="s">
        <v>108</v>
      </c>
      <c r="D32" s="537" t="s">
        <v>752</v>
      </c>
      <c r="E32" s="398"/>
      <c r="F32" s="395">
        <v>20</v>
      </c>
      <c r="G32" s="37"/>
      <c r="H32" s="455"/>
      <c r="I32" s="456"/>
      <c r="J32" s="456"/>
      <c r="K32" s="360"/>
      <c r="L32" s="456"/>
      <c r="M32" s="360"/>
      <c r="N32" s="456"/>
      <c r="O32" s="360"/>
      <c r="P32" s="456"/>
      <c r="Q32" s="360"/>
      <c r="R32" s="456"/>
      <c r="S32" s="360"/>
      <c r="T32" s="456"/>
      <c r="U32" s="360"/>
      <c r="V32" s="456"/>
      <c r="W32" s="360"/>
      <c r="X32" s="456"/>
      <c r="Y32" s="360"/>
      <c r="Z32" s="456"/>
      <c r="AA32" s="360"/>
      <c r="AB32" s="320">
        <v>9</v>
      </c>
      <c r="AC32" s="315">
        <v>80</v>
      </c>
      <c r="AD32" s="456"/>
      <c r="AE32" s="602"/>
      <c r="AF32" s="652"/>
      <c r="AG32" s="652"/>
      <c r="AH32" s="652"/>
      <c r="AI32" s="652"/>
      <c r="AJ32" s="652"/>
      <c r="AK32" s="652"/>
      <c r="AL32" s="652"/>
      <c r="AM32" s="652"/>
      <c r="AN32" s="652"/>
      <c r="AO32" s="652"/>
    </row>
    <row r="33" spans="1:41" customFormat="1" ht="18" thickBot="1" x14ac:dyDescent="0.5">
      <c r="A33" s="27"/>
      <c r="B33" s="293"/>
      <c r="C33" s="293"/>
      <c r="D33" s="537"/>
      <c r="E33" s="505"/>
      <c r="F33" s="76"/>
      <c r="G33" s="37"/>
      <c r="H33" s="427"/>
      <c r="I33" s="518"/>
      <c r="J33" s="427"/>
      <c r="K33" s="518"/>
      <c r="L33" s="427"/>
      <c r="M33" s="519"/>
      <c r="N33" s="520"/>
      <c r="O33" s="518"/>
      <c r="P33" s="520"/>
      <c r="Q33" s="518"/>
      <c r="R33" s="520"/>
      <c r="S33" s="518"/>
      <c r="T33" s="521"/>
      <c r="U33" s="518"/>
      <c r="V33" s="521"/>
      <c r="W33" s="518"/>
      <c r="X33" s="521"/>
      <c r="Y33" s="518"/>
      <c r="Z33" s="521"/>
      <c r="AA33" s="518"/>
      <c r="AB33" s="521"/>
      <c r="AC33" s="518"/>
      <c r="AD33" s="521"/>
      <c r="AE33" s="603"/>
      <c r="AF33" s="652"/>
      <c r="AG33" s="652"/>
      <c r="AH33" s="652"/>
      <c r="AI33" s="652"/>
      <c r="AJ33" s="652"/>
      <c r="AK33" s="652"/>
      <c r="AL33" s="652"/>
      <c r="AM33" s="652"/>
      <c r="AN33" s="652"/>
      <c r="AO33" s="652"/>
    </row>
    <row r="34" spans="1:41" customFormat="1" ht="22" thickTop="1" thickBot="1" x14ac:dyDescent="0.5">
      <c r="A34" s="273" t="s">
        <v>379</v>
      </c>
      <c r="B34" s="273">
        <v>8</v>
      </c>
      <c r="C34" s="116"/>
      <c r="D34" s="597"/>
      <c r="E34" s="385"/>
      <c r="F34" s="274">
        <f>SUM(F25:F33)</f>
        <v>99</v>
      </c>
      <c r="G34" s="37"/>
      <c r="H34" s="673"/>
      <c r="I34" s="673"/>
      <c r="J34" s="673"/>
      <c r="K34" s="673"/>
      <c r="L34" s="673"/>
      <c r="M34" s="673"/>
      <c r="N34" s="673"/>
      <c r="O34" s="673"/>
      <c r="P34" s="673"/>
      <c r="Q34" s="673"/>
      <c r="R34" s="673"/>
      <c r="S34" s="673"/>
      <c r="T34" s="673"/>
      <c r="U34" s="673"/>
      <c r="V34" s="673"/>
      <c r="W34" s="673"/>
      <c r="X34" s="673"/>
      <c r="Y34" s="673"/>
      <c r="Z34" s="673"/>
      <c r="AA34" s="673"/>
      <c r="AB34" s="673"/>
      <c r="AC34" s="673"/>
      <c r="AD34" s="673"/>
      <c r="AE34" s="673"/>
      <c r="AF34" s="652"/>
      <c r="AG34" s="652"/>
      <c r="AH34" s="652"/>
      <c r="AI34" s="652"/>
      <c r="AJ34" s="652"/>
      <c r="AK34" s="652"/>
      <c r="AL34" s="652"/>
      <c r="AM34" s="652"/>
      <c r="AN34" s="652"/>
      <c r="AO34" s="652"/>
    </row>
    <row r="35" spans="1:41" customFormat="1" ht="18" customHeight="1" thickTop="1" x14ac:dyDescent="0.45">
      <c r="A35" s="662"/>
      <c r="B35" s="662"/>
      <c r="C35" s="662"/>
      <c r="D35" s="662"/>
      <c r="E35" s="662"/>
      <c r="F35" s="662"/>
      <c r="G35" s="37"/>
      <c r="H35" s="674"/>
      <c r="I35" s="674"/>
      <c r="J35" s="674"/>
      <c r="K35" s="674"/>
      <c r="L35" s="674"/>
      <c r="M35" s="674"/>
      <c r="N35" s="674"/>
      <c r="O35" s="674"/>
      <c r="P35" s="674"/>
      <c r="Q35" s="674"/>
      <c r="R35" s="674"/>
      <c r="S35" s="674"/>
      <c r="T35" s="674"/>
      <c r="U35" s="674"/>
      <c r="V35" s="674"/>
      <c r="W35" s="674"/>
      <c r="X35" s="674"/>
      <c r="Y35" s="674"/>
      <c r="Z35" s="674"/>
      <c r="AA35" s="674"/>
      <c r="AB35" s="674"/>
      <c r="AC35" s="674"/>
      <c r="AD35" s="674"/>
      <c r="AE35" s="674"/>
      <c r="AF35" s="652"/>
      <c r="AG35" s="652"/>
      <c r="AH35" s="652"/>
      <c r="AI35" s="652"/>
      <c r="AJ35" s="652"/>
      <c r="AK35" s="652"/>
      <c r="AL35" s="652"/>
      <c r="AM35" s="652"/>
      <c r="AN35" s="652"/>
      <c r="AO35" s="652"/>
    </row>
    <row r="36" spans="1:41" s="37" customFormat="1" ht="17.5" customHeight="1" x14ac:dyDescent="0.45">
      <c r="A36" s="663"/>
      <c r="B36" s="663"/>
      <c r="C36" s="663"/>
      <c r="D36" s="663"/>
      <c r="E36" s="663"/>
      <c r="F36" s="663"/>
      <c r="H36" s="674"/>
      <c r="I36" s="674"/>
      <c r="J36" s="674"/>
      <c r="K36" s="674"/>
      <c r="L36" s="674"/>
      <c r="M36" s="674"/>
      <c r="N36" s="674"/>
      <c r="O36" s="674"/>
      <c r="P36" s="674"/>
      <c r="Q36" s="674"/>
      <c r="R36" s="674"/>
      <c r="S36" s="674"/>
      <c r="T36" s="674"/>
      <c r="U36" s="674"/>
      <c r="V36" s="674"/>
      <c r="W36" s="674"/>
      <c r="X36" s="674"/>
      <c r="Y36" s="674"/>
      <c r="Z36" s="674"/>
      <c r="AA36" s="674"/>
      <c r="AB36" s="674"/>
      <c r="AC36" s="674"/>
      <c r="AD36" s="674"/>
      <c r="AE36" s="674"/>
      <c r="AF36" s="652"/>
      <c r="AG36" s="652"/>
      <c r="AH36" s="652"/>
      <c r="AI36" s="652"/>
      <c r="AJ36" s="652"/>
      <c r="AK36" s="652"/>
      <c r="AL36" s="652"/>
      <c r="AM36" s="652"/>
      <c r="AN36" s="652"/>
      <c r="AO36" s="652"/>
    </row>
    <row r="37" spans="1:41" s="37" customFormat="1" ht="17.5" customHeight="1" x14ac:dyDescent="0.45">
      <c r="A37" s="664"/>
      <c r="B37" s="664"/>
      <c r="C37" s="664"/>
      <c r="D37" s="664"/>
      <c r="E37" s="664"/>
      <c r="F37" s="664"/>
      <c r="H37" s="675"/>
      <c r="I37" s="675"/>
      <c r="J37" s="675"/>
      <c r="K37" s="675"/>
      <c r="L37" s="675"/>
      <c r="M37" s="675"/>
      <c r="N37" s="675"/>
      <c r="O37" s="675"/>
      <c r="P37" s="675"/>
      <c r="Q37" s="675"/>
      <c r="R37" s="675"/>
      <c r="S37" s="675"/>
      <c r="T37" s="675"/>
      <c r="U37" s="675"/>
      <c r="V37" s="675"/>
      <c r="W37" s="675"/>
      <c r="X37" s="675"/>
      <c r="Y37" s="675"/>
      <c r="Z37" s="675"/>
      <c r="AA37" s="675"/>
      <c r="AB37" s="675"/>
      <c r="AC37" s="675"/>
      <c r="AD37" s="675"/>
      <c r="AE37" s="675"/>
      <c r="AF37" s="652"/>
      <c r="AG37" s="652"/>
      <c r="AH37" s="652"/>
      <c r="AI37" s="652"/>
      <c r="AJ37" s="652"/>
      <c r="AK37" s="652"/>
      <c r="AL37" s="652"/>
      <c r="AM37" s="652"/>
      <c r="AN37" s="652"/>
      <c r="AO37" s="652"/>
    </row>
    <row r="38" spans="1:41" x14ac:dyDescent="0.45">
      <c r="AE38" s="599"/>
      <c r="AF38" s="652"/>
      <c r="AG38" s="652"/>
      <c r="AH38" s="652"/>
      <c r="AI38" s="652"/>
      <c r="AJ38" s="652"/>
      <c r="AK38" s="652"/>
      <c r="AL38" s="652"/>
      <c r="AM38" s="652"/>
      <c r="AN38" s="652"/>
      <c r="AO38" s="652"/>
    </row>
    <row r="39" spans="1:41" x14ac:dyDescent="0.45">
      <c r="AE39" s="599"/>
      <c r="AF39" s="652"/>
      <c r="AG39" s="652"/>
      <c r="AH39" s="652"/>
      <c r="AI39" s="652"/>
      <c r="AJ39" s="652"/>
      <c r="AK39" s="652"/>
      <c r="AL39" s="652"/>
      <c r="AM39" s="652"/>
      <c r="AN39" s="652"/>
      <c r="AO39" s="652"/>
    </row>
    <row r="40" spans="1:41" x14ac:dyDescent="0.45">
      <c r="AE40" s="599"/>
      <c r="AF40" s="652"/>
      <c r="AG40" s="652"/>
      <c r="AH40" s="652"/>
      <c r="AI40" s="652"/>
      <c r="AJ40" s="652"/>
      <c r="AK40" s="652"/>
      <c r="AL40" s="652"/>
      <c r="AM40" s="652"/>
      <c r="AN40" s="652"/>
      <c r="AO40" s="652"/>
    </row>
    <row r="41" spans="1:41" x14ac:dyDescent="0.45">
      <c r="AE41" s="599"/>
      <c r="AF41" s="652"/>
      <c r="AG41" s="652"/>
      <c r="AH41" s="652"/>
      <c r="AI41" s="652"/>
      <c r="AJ41" s="652"/>
      <c r="AK41" s="652"/>
      <c r="AL41" s="652"/>
      <c r="AM41" s="652"/>
      <c r="AN41" s="652"/>
      <c r="AO41" s="652"/>
    </row>
    <row r="42" spans="1:41" x14ac:dyDescent="0.45">
      <c r="AE42" s="599"/>
      <c r="AF42" s="652"/>
      <c r="AG42" s="652"/>
      <c r="AH42" s="652"/>
      <c r="AI42" s="652"/>
      <c r="AJ42" s="652"/>
      <c r="AK42" s="652"/>
      <c r="AL42" s="652"/>
      <c r="AM42" s="652"/>
      <c r="AN42" s="652"/>
      <c r="AO42" s="652"/>
    </row>
    <row r="43" spans="1:41" x14ac:dyDescent="0.45">
      <c r="AE43" s="599"/>
      <c r="AF43" s="652"/>
      <c r="AG43" s="652"/>
      <c r="AH43" s="652"/>
      <c r="AI43" s="652"/>
      <c r="AJ43" s="652"/>
      <c r="AK43" s="652"/>
      <c r="AL43" s="652"/>
      <c r="AM43" s="652"/>
      <c r="AN43" s="652"/>
      <c r="AO43" s="652"/>
    </row>
    <row r="44" spans="1:41" x14ac:dyDescent="0.45">
      <c r="AE44" s="599"/>
      <c r="AF44" s="652"/>
      <c r="AG44" s="652"/>
      <c r="AH44" s="652"/>
      <c r="AI44" s="652"/>
      <c r="AJ44" s="652"/>
      <c r="AK44" s="652"/>
      <c r="AL44" s="652"/>
      <c r="AM44" s="652"/>
      <c r="AN44" s="652"/>
      <c r="AO44" s="652"/>
    </row>
    <row r="45" spans="1:41" x14ac:dyDescent="0.45">
      <c r="AE45" s="599"/>
      <c r="AF45" s="652"/>
      <c r="AG45" s="652"/>
      <c r="AH45" s="652"/>
      <c r="AI45" s="652"/>
      <c r="AJ45" s="652"/>
      <c r="AK45" s="652"/>
      <c r="AL45" s="652"/>
      <c r="AM45" s="652"/>
      <c r="AN45" s="652"/>
      <c r="AO45" s="652"/>
    </row>
    <row r="46" spans="1:41" x14ac:dyDescent="0.45">
      <c r="AE46" s="599"/>
      <c r="AF46" s="652"/>
      <c r="AG46" s="652"/>
      <c r="AH46" s="652"/>
      <c r="AI46" s="652"/>
      <c r="AJ46" s="652"/>
      <c r="AK46" s="652"/>
      <c r="AL46" s="652"/>
      <c r="AM46" s="652"/>
      <c r="AN46" s="652"/>
      <c r="AO46" s="652"/>
    </row>
    <row r="47" spans="1:41" x14ac:dyDescent="0.45">
      <c r="AE47" s="599"/>
      <c r="AF47" s="652"/>
      <c r="AG47" s="652"/>
      <c r="AH47" s="652"/>
      <c r="AI47" s="652"/>
      <c r="AJ47" s="652"/>
      <c r="AK47" s="652"/>
      <c r="AL47" s="652"/>
      <c r="AM47" s="652"/>
      <c r="AN47" s="652"/>
      <c r="AO47" s="652"/>
    </row>
    <row r="48" spans="1:41" x14ac:dyDescent="0.45">
      <c r="AE48" s="599"/>
      <c r="AF48" s="652"/>
      <c r="AG48" s="652"/>
      <c r="AH48" s="652"/>
      <c r="AI48" s="652"/>
      <c r="AJ48" s="652"/>
      <c r="AK48" s="652"/>
      <c r="AL48" s="652"/>
      <c r="AM48" s="652"/>
      <c r="AN48" s="652"/>
      <c r="AO48" s="652"/>
    </row>
    <row r="49" spans="31:41" x14ac:dyDescent="0.45">
      <c r="AE49" s="599"/>
      <c r="AF49" s="652"/>
      <c r="AG49" s="652"/>
      <c r="AH49" s="652"/>
      <c r="AI49" s="652"/>
      <c r="AJ49" s="652"/>
      <c r="AK49" s="652"/>
      <c r="AL49" s="652"/>
      <c r="AM49" s="652"/>
      <c r="AN49" s="652"/>
      <c r="AO49" s="652"/>
    </row>
    <row r="50" spans="31:41" x14ac:dyDescent="0.45">
      <c r="AE50" s="599"/>
      <c r="AF50" s="652"/>
      <c r="AG50" s="652"/>
      <c r="AH50" s="652"/>
      <c r="AI50" s="652"/>
      <c r="AJ50" s="652"/>
      <c r="AK50" s="652"/>
      <c r="AL50" s="652"/>
      <c r="AM50" s="652"/>
      <c r="AN50" s="652"/>
      <c r="AO50" s="652"/>
    </row>
    <row r="51" spans="31:41" x14ac:dyDescent="0.45">
      <c r="AE51" s="599"/>
      <c r="AF51" s="652"/>
      <c r="AG51" s="652"/>
      <c r="AH51" s="652"/>
      <c r="AI51" s="652"/>
      <c r="AJ51" s="652"/>
      <c r="AK51" s="652"/>
      <c r="AL51" s="652"/>
      <c r="AM51" s="652"/>
      <c r="AN51" s="652"/>
      <c r="AO51" s="652"/>
    </row>
    <row r="52" spans="31:41" x14ac:dyDescent="0.45">
      <c r="AE52" s="599"/>
      <c r="AF52" s="652"/>
      <c r="AG52" s="652"/>
      <c r="AH52" s="652"/>
      <c r="AI52" s="652"/>
      <c r="AJ52" s="652"/>
      <c r="AK52" s="652"/>
      <c r="AL52" s="652"/>
      <c r="AM52" s="652"/>
      <c r="AN52" s="652"/>
      <c r="AO52" s="652"/>
    </row>
  </sheetData>
  <mergeCells count="22">
    <mergeCell ref="D1:D2"/>
    <mergeCell ref="E1:E2"/>
    <mergeCell ref="G1:G10"/>
    <mergeCell ref="B6:F7"/>
    <mergeCell ref="H6:AE7"/>
    <mergeCell ref="F1:F2"/>
    <mergeCell ref="AF10:AO52"/>
    <mergeCell ref="AF4:AF8"/>
    <mergeCell ref="AH1:AO9"/>
    <mergeCell ref="AG4:AG9"/>
    <mergeCell ref="A12:B12"/>
    <mergeCell ref="A24:B24"/>
    <mergeCell ref="A35:F37"/>
    <mergeCell ref="H10:AE12"/>
    <mergeCell ref="A10:E11"/>
    <mergeCell ref="F11:F12"/>
    <mergeCell ref="C12:E12"/>
    <mergeCell ref="H22:AE24"/>
    <mergeCell ref="H34:AE37"/>
    <mergeCell ref="A1:A2"/>
    <mergeCell ref="B1:B2"/>
    <mergeCell ref="C1:C2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F3F7E-CC16-4506-93AF-7636C7BA1790}">
  <sheetPr>
    <tabColor theme="5" tint="0.39997558519241921"/>
  </sheetPr>
  <dimension ref="A1:AU151"/>
  <sheetViews>
    <sheetView showGridLines="0" showZeros="0" zoomScale="85" zoomScaleNormal="85" workbookViewId="0">
      <pane ySplit="3" topLeftCell="A4" activePane="bottomLeft" state="frozen"/>
      <selection pane="bottomLeft" activeCell="D29" sqref="D29"/>
    </sheetView>
  </sheetViews>
  <sheetFormatPr defaultColWidth="9" defaultRowHeight="17" x14ac:dyDescent="0.45"/>
  <cols>
    <col min="1" max="1" width="7.08203125" style="1" customWidth="1"/>
    <col min="2" max="2" width="11.75" style="1" customWidth="1"/>
    <col min="3" max="3" width="14.08203125" style="1" customWidth="1"/>
    <col min="4" max="4" width="10.08203125" style="586" customWidth="1"/>
    <col min="5" max="5" width="9.75" style="1" customWidth="1"/>
    <col min="6" max="6" width="10.33203125" style="1" customWidth="1"/>
    <col min="7" max="7" width="1" style="1" customWidth="1"/>
    <col min="8" max="8" width="5" style="89" customWidth="1"/>
    <col min="9" max="9" width="8.58203125" style="96" customWidth="1"/>
    <col min="10" max="10" width="5" style="89" customWidth="1"/>
    <col min="11" max="11" width="8.58203125" style="96" customWidth="1"/>
    <col min="12" max="12" width="5" style="89" customWidth="1"/>
    <col min="13" max="13" width="8.58203125" style="96" customWidth="1"/>
    <col min="14" max="14" width="5" style="89" customWidth="1"/>
    <col min="15" max="15" width="8.58203125" style="96" customWidth="1"/>
    <col min="16" max="16" width="5" style="89" customWidth="1"/>
    <col min="17" max="17" width="8.58203125" style="96" customWidth="1"/>
    <col min="18" max="18" width="5" style="89" customWidth="1"/>
    <col min="19" max="19" width="8.58203125" style="96" customWidth="1"/>
    <col min="20" max="20" width="5" style="89" customWidth="1"/>
    <col min="21" max="21" width="8.58203125" style="96" customWidth="1"/>
    <col min="22" max="22" width="5" style="89" customWidth="1"/>
    <col min="23" max="23" width="8.58203125" style="96" customWidth="1"/>
    <col min="24" max="24" width="5" style="89" customWidth="1"/>
    <col min="25" max="25" width="8.58203125" style="96" customWidth="1"/>
    <col min="26" max="26" width="5" style="89" customWidth="1"/>
    <col min="27" max="27" width="8.58203125" style="96" customWidth="1"/>
    <col min="28" max="28" width="5" style="89" customWidth="1"/>
    <col min="29" max="29" width="8.58203125" style="96" customWidth="1"/>
    <col min="30" max="30" width="5" style="89" customWidth="1"/>
    <col min="31" max="31" width="8.58203125" style="96" customWidth="1"/>
    <col min="32" max="32" width="10.75" style="195" customWidth="1"/>
    <col min="33" max="41" width="9" style="37"/>
    <col min="42" max="16384" width="9" style="1"/>
  </cols>
  <sheetData>
    <row r="1" spans="1:41" s="29" customFormat="1" ht="18.75" customHeight="1" thickTop="1" thickBot="1" x14ac:dyDescent="0.5">
      <c r="A1" s="676" t="s">
        <v>85</v>
      </c>
      <c r="B1" s="678">
        <f>SUM(I3,K3,M3,O3,Q3,S3,U3,W3,Y3,AA3,AC3,AE3)</f>
        <v>5636.2999999999993</v>
      </c>
      <c r="C1" s="680" t="s">
        <v>156</v>
      </c>
      <c r="D1" s="700">
        <f>SUM(AE30,AE134)</f>
        <v>635</v>
      </c>
      <c r="E1" s="684" t="s">
        <v>397</v>
      </c>
      <c r="F1" s="689">
        <f>SUM(B1-D1,I5,K5,M5,O5,Q5,S5,U5,W5,Y5,AA5,AC5,AE5)</f>
        <v>4611.2999999999993</v>
      </c>
      <c r="G1" s="685"/>
      <c r="H1" s="89"/>
      <c r="I1" s="361">
        <f>I3</f>
        <v>390.2</v>
      </c>
      <c r="J1" s="181"/>
      <c r="K1" s="361">
        <f t="shared" ref="K1" si="0">K3</f>
        <v>388.4</v>
      </c>
      <c r="L1" s="181"/>
      <c r="M1" s="361">
        <f t="shared" ref="M1" si="1">M3</f>
        <v>472.6</v>
      </c>
      <c r="N1" s="181"/>
      <c r="O1" s="361">
        <f t="shared" ref="O1" si="2">O3</f>
        <v>731</v>
      </c>
      <c r="P1" s="181"/>
      <c r="Q1" s="361">
        <f t="shared" ref="Q1" si="3">Q3</f>
        <v>526.4</v>
      </c>
      <c r="R1" s="181"/>
      <c r="S1" s="361">
        <f t="shared" ref="S1" si="4">S3</f>
        <v>369.6</v>
      </c>
      <c r="T1" s="181"/>
      <c r="U1" s="361">
        <f t="shared" ref="U1" si="5">U3</f>
        <v>317.8</v>
      </c>
      <c r="V1" s="181"/>
      <c r="W1" s="361">
        <f t="shared" ref="W1" si="6">W3</f>
        <v>401.7</v>
      </c>
      <c r="X1" s="181"/>
      <c r="Y1" s="361">
        <f t="shared" ref="Y1" si="7">Y3</f>
        <v>577.4</v>
      </c>
      <c r="Z1" s="181"/>
      <c r="AA1" s="361">
        <f t="shared" ref="AA1" si="8">AA3</f>
        <v>656.9</v>
      </c>
      <c r="AB1" s="181"/>
      <c r="AC1" s="361">
        <f t="shared" ref="AC1" si="9">AC3</f>
        <v>505.3</v>
      </c>
      <c r="AD1" s="181"/>
      <c r="AE1" s="361">
        <f t="shared" ref="AE1" si="10">AE3</f>
        <v>299</v>
      </c>
      <c r="AF1" s="304"/>
      <c r="AG1" s="39"/>
      <c r="AH1" s="39"/>
      <c r="AI1" s="39"/>
      <c r="AJ1" s="39"/>
      <c r="AK1" s="39"/>
      <c r="AL1" s="39"/>
      <c r="AM1" s="39"/>
      <c r="AN1" s="39"/>
      <c r="AO1" s="39"/>
    </row>
    <row r="2" spans="1:41" s="27" customFormat="1" ht="18" customHeight="1" thickTop="1" x14ac:dyDescent="0.45">
      <c r="A2" s="677"/>
      <c r="B2" s="679"/>
      <c r="C2" s="681"/>
      <c r="D2" s="683"/>
      <c r="E2" s="684"/>
      <c r="F2" s="689"/>
      <c r="G2" s="685"/>
      <c r="H2" s="97" t="s">
        <v>113</v>
      </c>
      <c r="I2" s="303" t="s">
        <v>85</v>
      </c>
      <c r="J2" s="97" t="s">
        <v>114</v>
      </c>
      <c r="K2" s="303" t="s">
        <v>85</v>
      </c>
      <c r="L2" s="97" t="s">
        <v>115</v>
      </c>
      <c r="M2" s="303" t="s">
        <v>85</v>
      </c>
      <c r="N2" s="97" t="s">
        <v>116</v>
      </c>
      <c r="O2" s="303" t="s">
        <v>85</v>
      </c>
      <c r="P2" s="97" t="s">
        <v>117</v>
      </c>
      <c r="Q2" s="303" t="s">
        <v>85</v>
      </c>
      <c r="R2" s="97" t="s">
        <v>118</v>
      </c>
      <c r="S2" s="303" t="s">
        <v>85</v>
      </c>
      <c r="T2" s="97" t="s">
        <v>119</v>
      </c>
      <c r="U2" s="303" t="s">
        <v>85</v>
      </c>
      <c r="V2" s="97" t="s">
        <v>120</v>
      </c>
      <c r="W2" s="303" t="s">
        <v>85</v>
      </c>
      <c r="X2" s="97" t="s">
        <v>121</v>
      </c>
      <c r="Y2" s="303" t="s">
        <v>85</v>
      </c>
      <c r="Z2" s="97" t="s">
        <v>122</v>
      </c>
      <c r="AA2" s="303" t="s">
        <v>85</v>
      </c>
      <c r="AB2" s="97" t="s">
        <v>123</v>
      </c>
      <c r="AC2" s="303" t="s">
        <v>85</v>
      </c>
      <c r="AD2" s="97" t="s">
        <v>124</v>
      </c>
      <c r="AE2" s="303" t="s">
        <v>85</v>
      </c>
      <c r="AF2" s="434" t="s">
        <v>460</v>
      </c>
      <c r="AG2" s="517" t="s">
        <v>739</v>
      </c>
      <c r="AH2" s="37"/>
      <c r="AI2" s="37"/>
      <c r="AJ2" s="37"/>
      <c r="AK2" s="37"/>
      <c r="AL2" s="37"/>
      <c r="AM2" s="37"/>
      <c r="AN2" s="37"/>
      <c r="AO2" s="37"/>
    </row>
    <row r="3" spans="1:41" s="277" customFormat="1" ht="17.25" customHeight="1" thickBot="1" x14ac:dyDescent="0.5">
      <c r="A3" s="276" t="s">
        <v>2</v>
      </c>
      <c r="B3" s="276" t="s">
        <v>0</v>
      </c>
      <c r="C3" s="276" t="s">
        <v>4</v>
      </c>
      <c r="D3" s="533" t="s">
        <v>750</v>
      </c>
      <c r="E3" s="379"/>
      <c r="F3" s="345" t="str">
        <f>SUM(F22,F30,F36,F47,F56) &amp; "만"</f>
        <v>361만</v>
      </c>
      <c r="G3" s="685"/>
      <c r="H3" s="306"/>
      <c r="I3" s="373">
        <f>SUM(I8:I143)</f>
        <v>390.2</v>
      </c>
      <c r="J3" s="374"/>
      <c r="K3" s="373">
        <f>SUM(K8:K143)</f>
        <v>388.4</v>
      </c>
      <c r="L3" s="374"/>
      <c r="M3" s="373">
        <f>SUM(M8:M143)</f>
        <v>472.6</v>
      </c>
      <c r="N3" s="374"/>
      <c r="O3" s="373">
        <f>SUM(O8:O143)</f>
        <v>731</v>
      </c>
      <c r="P3" s="374"/>
      <c r="Q3" s="373">
        <f>SUM(Q8:Q143)</f>
        <v>526.4</v>
      </c>
      <c r="R3" s="374"/>
      <c r="S3" s="373">
        <f>SUM(S8:S143)</f>
        <v>369.6</v>
      </c>
      <c r="T3" s="374"/>
      <c r="U3" s="373">
        <f>SUM(U8:U143)</f>
        <v>317.8</v>
      </c>
      <c r="V3" s="374"/>
      <c r="W3" s="373">
        <f>SUM(W8:W143)</f>
        <v>401.7</v>
      </c>
      <c r="X3" s="374"/>
      <c r="Y3" s="373">
        <f>SUM(Y8:Y143)</f>
        <v>577.4</v>
      </c>
      <c r="Z3" s="374"/>
      <c r="AA3" s="373">
        <f>SUM(AA8:AA143)</f>
        <v>656.9</v>
      </c>
      <c r="AB3" s="374"/>
      <c r="AC3" s="373">
        <f>SUM(AC8:AC143)</f>
        <v>505.3</v>
      </c>
      <c r="AD3" s="374"/>
      <c r="AE3" s="373">
        <f>SUM(AE8:AE10,AE13:AE21,AE25:AE29,AE33:AE35,AE39:AE46,AE50:AE55,AE59:AE132)</f>
        <v>299</v>
      </c>
      <c r="AF3" s="435">
        <f>AVERAGE(I3,K3,M3,O3,Q3,S3,U3,W3,Y3,AA3,AC3,AE3)</f>
        <v>469.69166666666661</v>
      </c>
      <c r="AG3" s="516">
        <f>SUM(B56,B47,B36,B30,B22)</f>
        <v>28</v>
      </c>
      <c r="AH3" s="415"/>
      <c r="AI3" s="415"/>
      <c r="AJ3" s="415"/>
      <c r="AK3" s="415"/>
      <c r="AL3" s="415"/>
      <c r="AM3" s="415"/>
      <c r="AN3" s="415"/>
      <c r="AO3" s="415"/>
    </row>
    <row r="4" spans="1:41" s="43" customFormat="1" ht="17.25" customHeight="1" thickTop="1" thickBot="1" x14ac:dyDescent="0.5">
      <c r="A4" s="37"/>
      <c r="B4" s="38"/>
      <c r="C4" s="44"/>
      <c r="D4" s="572"/>
      <c r="E4" s="44"/>
      <c r="F4" s="44"/>
      <c r="G4" s="685"/>
      <c r="H4" s="307"/>
      <c r="I4" s="307"/>
      <c r="J4" s="307"/>
      <c r="K4" s="307"/>
      <c r="L4" s="308"/>
      <c r="M4" s="307"/>
      <c r="N4" s="307"/>
      <c r="O4" s="307"/>
      <c r="P4" s="307"/>
      <c r="Q4" s="307"/>
      <c r="R4" s="307"/>
      <c r="S4" s="307"/>
      <c r="T4" s="307"/>
      <c r="U4" s="307"/>
      <c r="V4" s="307"/>
      <c r="W4" s="307"/>
      <c r="X4" s="307"/>
      <c r="Y4" s="307"/>
      <c r="Z4" s="307"/>
      <c r="AA4" s="307"/>
      <c r="AB4" s="307"/>
      <c r="AC4" s="307"/>
      <c r="AD4" s="307"/>
      <c r="AE4" s="307"/>
      <c r="AF4" s="305"/>
      <c r="AG4" s="37"/>
      <c r="AH4" s="37"/>
      <c r="AI4" s="37"/>
      <c r="AJ4" s="37"/>
      <c r="AK4" s="37"/>
      <c r="AL4" s="37"/>
      <c r="AM4" s="37"/>
      <c r="AN4" s="37"/>
      <c r="AO4" s="37"/>
    </row>
    <row r="5" spans="1:41" s="172" customFormat="1" ht="21.75" customHeight="1" thickTop="1" thickBot="1" x14ac:dyDescent="0.5">
      <c r="A5" s="33" t="s">
        <v>205</v>
      </c>
      <c r="B5" s="169">
        <f>SUM(I5,K5,M5,O5,Q5,S5,U5,W5,Y5,AA5,AC5,AE5)</f>
        <v>-390</v>
      </c>
      <c r="C5" s="171"/>
      <c r="D5" s="573"/>
      <c r="E5" s="171"/>
      <c r="F5" s="170"/>
      <c r="G5" s="685"/>
      <c r="H5" s="309">
        <v>20</v>
      </c>
      <c r="I5" s="368">
        <v>-50</v>
      </c>
      <c r="J5" s="311">
        <v>25</v>
      </c>
      <c r="K5" s="368">
        <v>-20</v>
      </c>
      <c r="L5" s="311">
        <v>20</v>
      </c>
      <c r="M5" s="368">
        <v>-30</v>
      </c>
      <c r="N5" s="312">
        <v>20</v>
      </c>
      <c r="O5" s="310">
        <v>-20</v>
      </c>
      <c r="P5" s="312">
        <v>20</v>
      </c>
      <c r="Q5" s="310">
        <v>-20</v>
      </c>
      <c r="R5" s="312"/>
      <c r="S5" s="310"/>
      <c r="T5" s="312"/>
      <c r="U5" s="310"/>
      <c r="V5" s="312"/>
      <c r="W5" s="310"/>
      <c r="X5" s="312">
        <v>13</v>
      </c>
      <c r="Y5" s="310">
        <v>-150</v>
      </c>
      <c r="Z5" s="312"/>
      <c r="AA5" s="310"/>
      <c r="AB5" s="312">
        <v>16</v>
      </c>
      <c r="AC5" s="310">
        <v>-100</v>
      </c>
      <c r="AD5" s="312"/>
      <c r="AE5" s="310"/>
      <c r="AF5" s="305"/>
      <c r="AG5" s="37"/>
      <c r="AH5" s="37"/>
      <c r="AI5" s="37"/>
      <c r="AJ5" s="37"/>
      <c r="AK5" s="37"/>
      <c r="AL5" s="37"/>
      <c r="AM5" s="37"/>
      <c r="AN5" s="37"/>
      <c r="AO5" s="37"/>
    </row>
    <row r="6" spans="1:41" s="37" customFormat="1" ht="18" customHeight="1" thickTop="1" thickBot="1" x14ac:dyDescent="0.5">
      <c r="B6" s="686"/>
      <c r="C6" s="686"/>
      <c r="D6" s="686"/>
      <c r="E6" s="686"/>
      <c r="F6" s="686"/>
      <c r="G6" s="685"/>
      <c r="H6" s="688"/>
      <c r="I6" s="688"/>
      <c r="J6" s="688"/>
      <c r="K6" s="688"/>
      <c r="L6" s="688"/>
      <c r="M6" s="688"/>
      <c r="N6" s="688"/>
      <c r="O6" s="688"/>
      <c r="P6" s="688"/>
      <c r="Q6" s="688"/>
      <c r="R6" s="688"/>
      <c r="S6" s="688"/>
      <c r="T6" s="688"/>
      <c r="U6" s="688"/>
      <c r="V6" s="688"/>
      <c r="W6" s="688"/>
      <c r="X6" s="688"/>
      <c r="Y6" s="688"/>
      <c r="Z6" s="688"/>
      <c r="AA6" s="688"/>
      <c r="AB6" s="688"/>
      <c r="AC6" s="688"/>
      <c r="AD6" s="688"/>
      <c r="AE6" s="694"/>
      <c r="AF6" s="305"/>
    </row>
    <row r="7" spans="1:41" s="77" customFormat="1" ht="21.75" customHeight="1" thickTop="1" thickBot="1" x14ac:dyDescent="0.5">
      <c r="A7" s="33" t="s">
        <v>177</v>
      </c>
      <c r="B7" s="687"/>
      <c r="C7" s="687"/>
      <c r="D7" s="687"/>
      <c r="E7" s="687"/>
      <c r="F7" s="687"/>
      <c r="G7" s="685"/>
      <c r="H7" s="666"/>
      <c r="I7" s="666"/>
      <c r="J7" s="666"/>
      <c r="K7" s="666"/>
      <c r="L7" s="666"/>
      <c r="M7" s="666"/>
      <c r="N7" s="666"/>
      <c r="O7" s="666"/>
      <c r="P7" s="666"/>
      <c r="Q7" s="666"/>
      <c r="R7" s="666"/>
      <c r="S7" s="666"/>
      <c r="T7" s="666"/>
      <c r="U7" s="666"/>
      <c r="V7" s="666"/>
      <c r="W7" s="666"/>
      <c r="X7" s="666"/>
      <c r="Y7" s="666"/>
      <c r="Z7" s="666"/>
      <c r="AA7" s="666"/>
      <c r="AB7" s="666"/>
      <c r="AC7" s="666"/>
      <c r="AD7" s="666"/>
      <c r="AE7" s="695"/>
      <c r="AF7" s="195"/>
      <c r="AG7"/>
      <c r="AH7"/>
      <c r="AI7"/>
      <c r="AJ7"/>
      <c r="AK7"/>
      <c r="AL7"/>
      <c r="AM7"/>
      <c r="AN7"/>
      <c r="AO7"/>
    </row>
    <row r="8" spans="1:41" s="28" customFormat="1" ht="17.5" customHeight="1" thickTop="1" thickBot="1" x14ac:dyDescent="0.5">
      <c r="B8" s="28" t="s">
        <v>164</v>
      </c>
      <c r="D8" s="535"/>
      <c r="E8" s="380"/>
      <c r="F8" s="108"/>
      <c r="G8" s="685"/>
      <c r="H8" s="313"/>
      <c r="I8" s="369">
        <f>구로!D10</f>
        <v>3.2</v>
      </c>
      <c r="J8" s="370"/>
      <c r="K8" s="369">
        <f>구로!E10</f>
        <v>6.4</v>
      </c>
      <c r="L8" s="370"/>
      <c r="M8" s="369">
        <f>구로!F10</f>
        <v>31.6</v>
      </c>
      <c r="N8" s="370"/>
      <c r="O8" s="369">
        <f>구로!G10</f>
        <v>23</v>
      </c>
      <c r="P8" s="371"/>
      <c r="Q8" s="369">
        <f>구로!H10</f>
        <v>18.399999999999999</v>
      </c>
      <c r="R8" s="370"/>
      <c r="S8" s="369">
        <f>구로!I10</f>
        <v>13.6</v>
      </c>
      <c r="T8" s="370"/>
      <c r="U8" s="369">
        <f>구로!J10</f>
        <v>11.6</v>
      </c>
      <c r="V8" s="371"/>
      <c r="W8" s="369">
        <f>구로!K10</f>
        <v>9.6999999999999993</v>
      </c>
      <c r="X8" s="370"/>
      <c r="Y8" s="369">
        <f>구로!L10</f>
        <v>11.6</v>
      </c>
      <c r="Z8" s="370"/>
      <c r="AA8" s="369">
        <f>구로!M10</f>
        <v>11.6</v>
      </c>
      <c r="AB8" s="372"/>
      <c r="AC8" s="369">
        <f>구로!N10</f>
        <v>0</v>
      </c>
      <c r="AD8" s="370"/>
      <c r="AE8" s="369">
        <f>구로!O10</f>
        <v>0</v>
      </c>
      <c r="AF8" s="305"/>
      <c r="AG8" s="37"/>
      <c r="AH8" s="37"/>
      <c r="AI8" s="37"/>
      <c r="AJ8" s="37"/>
      <c r="AK8" s="37"/>
      <c r="AL8" s="37"/>
      <c r="AM8" s="37"/>
      <c r="AN8" s="37"/>
      <c r="AO8" s="37"/>
    </row>
    <row r="9" spans="1:41" s="28" customFormat="1" ht="17.5" customHeight="1" thickTop="1" x14ac:dyDescent="0.45">
      <c r="B9" s="28" t="s">
        <v>175</v>
      </c>
      <c r="D9" s="535"/>
      <c r="E9" s="380"/>
      <c r="F9" s="74"/>
      <c r="G9" s="685"/>
      <c r="H9" s="313"/>
      <c r="I9" s="314">
        <f>외부24년!L3</f>
        <v>16</v>
      </c>
      <c r="J9" s="313"/>
      <c r="K9" s="315">
        <f>외부24년!O3</f>
        <v>2</v>
      </c>
      <c r="L9" s="313"/>
      <c r="M9" s="315">
        <f>외부24년!R3</f>
        <v>26</v>
      </c>
      <c r="N9" s="313"/>
      <c r="O9" s="315">
        <f>외부24년!U3</f>
        <v>72</v>
      </c>
      <c r="P9" s="313"/>
      <c r="Q9" s="314">
        <f>외부24년!X3</f>
        <v>124</v>
      </c>
      <c r="R9" s="313"/>
      <c r="S9" s="315">
        <f>외부24년!AA3</f>
        <v>4</v>
      </c>
      <c r="T9" s="313"/>
      <c r="U9" s="315">
        <f>외부24년!AD3</f>
        <v>24.200000000000003</v>
      </c>
      <c r="V9" s="313"/>
      <c r="W9" s="315">
        <f>외부24년!AG3</f>
        <v>4</v>
      </c>
      <c r="X9" s="313"/>
      <c r="Y9" s="314">
        <f>외부24년!AJ3</f>
        <v>222.8</v>
      </c>
      <c r="Z9" s="313"/>
      <c r="AA9" s="315">
        <f>외부24년!AM3</f>
        <v>33.299999999999997</v>
      </c>
      <c r="AB9" s="313"/>
      <c r="AC9" s="315">
        <f>외부24년!AP3</f>
        <v>17.3</v>
      </c>
      <c r="AD9" s="313"/>
      <c r="AE9" s="315">
        <f>외부24년!AS3</f>
        <v>20</v>
      </c>
      <c r="AF9" s="434" t="s">
        <v>462</v>
      </c>
      <c r="AG9" s="37"/>
      <c r="AH9" s="37"/>
      <c r="AI9" s="37"/>
      <c r="AJ9" s="37"/>
      <c r="AK9" s="37"/>
      <c r="AL9" s="37"/>
      <c r="AM9" s="37"/>
      <c r="AN9" s="37"/>
      <c r="AO9" s="37"/>
    </row>
    <row r="10" spans="1:41" s="28" customFormat="1" ht="17.5" customHeight="1" thickBot="1" x14ac:dyDescent="0.5">
      <c r="A10" s="1"/>
      <c r="B10" s="1" t="s">
        <v>188</v>
      </c>
      <c r="C10" s="1"/>
      <c r="D10" s="536"/>
      <c r="E10" s="380"/>
      <c r="F10" s="76"/>
      <c r="G10" s="685"/>
      <c r="H10" s="313"/>
      <c r="I10" s="314">
        <f>악기24년!G3</f>
        <v>0</v>
      </c>
      <c r="J10" s="313"/>
      <c r="K10" s="314">
        <f>악기24년!I3</f>
        <v>0</v>
      </c>
      <c r="L10" s="313"/>
      <c r="M10" s="314">
        <f>악기24년!K3</f>
        <v>0</v>
      </c>
      <c r="N10" s="313"/>
      <c r="O10" s="314">
        <f>악기24년!M3</f>
        <v>0</v>
      </c>
      <c r="P10" s="316"/>
      <c r="Q10" s="314">
        <f>악기24년!O3</f>
        <v>3</v>
      </c>
      <c r="R10" s="313"/>
      <c r="S10" s="314">
        <f>악기24년!Q3</f>
        <v>0</v>
      </c>
      <c r="T10" s="313"/>
      <c r="U10" s="314">
        <f>악기24년!S3</f>
        <v>0</v>
      </c>
      <c r="V10" s="316"/>
      <c r="W10" s="314">
        <f>악기24년!U3</f>
        <v>0</v>
      </c>
      <c r="X10" s="313"/>
      <c r="Y10" s="314">
        <f>악기24년!W3</f>
        <v>0</v>
      </c>
      <c r="Z10" s="313"/>
      <c r="AA10" s="314">
        <f>악기24년!Y3</f>
        <v>0</v>
      </c>
      <c r="AB10" s="317"/>
      <c r="AC10" s="314">
        <f>악기24년!AA3</f>
        <v>0</v>
      </c>
      <c r="AD10" s="313"/>
      <c r="AE10" s="314">
        <f>악기24년!AC3</f>
        <v>0</v>
      </c>
      <c r="AF10" s="435">
        <f>SUM(I8:I10,K8:K10,M8:M10,O8:O10,Q8:Q10,S8:S10,U8:U10,W8:W10,Y8:Y10,AA8:AA10,AC8:AC10,AE8:AE10)</f>
        <v>709.30000000000007</v>
      </c>
      <c r="AG10" s="37"/>
      <c r="AH10" s="37"/>
      <c r="AI10" s="37"/>
      <c r="AJ10" s="37"/>
      <c r="AK10" s="37"/>
      <c r="AL10" s="37"/>
      <c r="AM10" s="37"/>
      <c r="AN10" s="37"/>
      <c r="AO10" s="37"/>
    </row>
    <row r="11" spans="1:41" s="28" customFormat="1" ht="17.25" customHeight="1" thickTop="1" thickBot="1" x14ac:dyDescent="0.5">
      <c r="A11" s="40"/>
      <c r="B11" s="531"/>
      <c r="C11" s="531"/>
      <c r="D11" s="574"/>
      <c r="E11" s="37"/>
      <c r="F11" s="121">
        <f>SUM(F8:F10)</f>
        <v>0</v>
      </c>
      <c r="G11" s="685"/>
      <c r="H11" s="665"/>
      <c r="I11" s="665"/>
      <c r="J11" s="665"/>
      <c r="K11" s="665"/>
      <c r="L11" s="665"/>
      <c r="M11" s="665"/>
      <c r="N11" s="665"/>
      <c r="O11" s="665"/>
      <c r="P11" s="665"/>
      <c r="Q11" s="665"/>
      <c r="R11" s="665"/>
      <c r="S11" s="665"/>
      <c r="T11" s="665"/>
      <c r="U11" s="665"/>
      <c r="V11" s="665"/>
      <c r="W11" s="665"/>
      <c r="X11" s="665"/>
      <c r="Y11" s="665"/>
      <c r="Z11" s="665"/>
      <c r="AA11" s="665"/>
      <c r="AB11" s="665"/>
      <c r="AC11" s="665"/>
      <c r="AD11" s="665"/>
      <c r="AE11" s="696"/>
      <c r="AF11" s="305"/>
      <c r="AG11" s="37"/>
      <c r="AH11" s="37"/>
      <c r="AI11" s="37"/>
      <c r="AJ11" s="37"/>
      <c r="AK11" s="37"/>
      <c r="AL11" s="37"/>
      <c r="AM11" s="37"/>
      <c r="AN11" s="37"/>
      <c r="AO11" s="37"/>
    </row>
    <row r="12" spans="1:41" s="77" customFormat="1" ht="21.75" customHeight="1" thickTop="1" thickBot="1" x14ac:dyDescent="0.5">
      <c r="A12" s="658" t="s">
        <v>740</v>
      </c>
      <c r="B12" s="659"/>
      <c r="C12" s="532"/>
      <c r="D12" s="575"/>
      <c r="E12" s="43"/>
      <c r="F12" s="44"/>
      <c r="G12" s="685"/>
      <c r="H12" s="666"/>
      <c r="I12" s="666"/>
      <c r="J12" s="666"/>
      <c r="K12" s="666"/>
      <c r="L12" s="666"/>
      <c r="M12" s="666"/>
      <c r="N12" s="666"/>
      <c r="O12" s="666"/>
      <c r="P12" s="666"/>
      <c r="Q12" s="666"/>
      <c r="R12" s="666"/>
      <c r="S12" s="666"/>
      <c r="T12" s="666"/>
      <c r="U12" s="666"/>
      <c r="V12" s="666"/>
      <c r="W12" s="666"/>
      <c r="X12" s="666"/>
      <c r="Y12" s="666"/>
      <c r="Z12" s="666"/>
      <c r="AA12" s="666"/>
      <c r="AB12" s="666"/>
      <c r="AC12" s="666"/>
      <c r="AD12" s="666"/>
      <c r="AE12" s="695"/>
      <c r="AF12" s="195"/>
      <c r="AG12"/>
      <c r="AH12"/>
      <c r="AI12"/>
      <c r="AJ12"/>
      <c r="AK12"/>
      <c r="AL12"/>
      <c r="AM12"/>
      <c r="AN12"/>
      <c r="AO12"/>
    </row>
    <row r="13" spans="1:41" ht="17.5" customHeight="1" thickTop="1" x14ac:dyDescent="0.45">
      <c r="A13" s="1">
        <v>1</v>
      </c>
      <c r="B13" s="1" t="s">
        <v>20</v>
      </c>
      <c r="C13" s="1" t="s">
        <v>36</v>
      </c>
      <c r="D13" s="537" t="s">
        <v>749</v>
      </c>
      <c r="E13" s="399"/>
      <c r="F13" s="74">
        <v>20</v>
      </c>
      <c r="G13" s="685"/>
      <c r="H13" s="329">
        <v>24</v>
      </c>
      <c r="I13" s="314">
        <v>15</v>
      </c>
      <c r="J13" s="329">
        <v>23</v>
      </c>
      <c r="K13" s="315">
        <v>15</v>
      </c>
      <c r="L13" s="320">
        <v>23</v>
      </c>
      <c r="M13" s="315">
        <v>15</v>
      </c>
      <c r="N13" s="320">
        <v>23</v>
      </c>
      <c r="O13" s="315">
        <v>15</v>
      </c>
      <c r="P13" s="320">
        <v>23</v>
      </c>
      <c r="Q13" s="315">
        <v>15</v>
      </c>
      <c r="R13" s="320">
        <v>24</v>
      </c>
      <c r="S13" s="315">
        <v>15</v>
      </c>
      <c r="T13" s="320">
        <v>23</v>
      </c>
      <c r="U13" s="315">
        <v>15</v>
      </c>
      <c r="V13" s="320">
        <v>23</v>
      </c>
      <c r="W13" s="315">
        <v>15</v>
      </c>
      <c r="X13" s="320">
        <v>24</v>
      </c>
      <c r="Y13" s="315">
        <v>15</v>
      </c>
      <c r="Z13" s="320">
        <v>23</v>
      </c>
      <c r="AA13" s="315">
        <v>15</v>
      </c>
      <c r="AB13" s="320">
        <v>23</v>
      </c>
      <c r="AC13" s="315">
        <v>15</v>
      </c>
      <c r="AD13" s="320">
        <v>23</v>
      </c>
      <c r="AE13" s="315">
        <v>20</v>
      </c>
      <c r="AF13" s="305"/>
    </row>
    <row r="14" spans="1:41" ht="17.5" customHeight="1" x14ac:dyDescent="0.45">
      <c r="A14" s="1">
        <v>2</v>
      </c>
      <c r="B14" s="1" t="s">
        <v>74</v>
      </c>
      <c r="C14" s="1" t="s">
        <v>75</v>
      </c>
      <c r="D14" s="537" t="s">
        <v>749</v>
      </c>
      <c r="E14" s="399"/>
      <c r="F14" s="74">
        <v>20</v>
      </c>
      <c r="G14" s="685"/>
      <c r="H14" s="320">
        <v>20</v>
      </c>
      <c r="I14" s="314">
        <v>15</v>
      </c>
      <c r="J14" s="320">
        <v>25</v>
      </c>
      <c r="K14" s="315">
        <v>15</v>
      </c>
      <c r="L14" s="320">
        <v>5</v>
      </c>
      <c r="M14" s="315">
        <v>15</v>
      </c>
      <c r="N14" s="332">
        <v>15</v>
      </c>
      <c r="O14" s="315">
        <v>15</v>
      </c>
      <c r="P14" s="327"/>
      <c r="Q14" s="327"/>
      <c r="R14" s="320">
        <v>1</v>
      </c>
      <c r="S14" s="315">
        <v>15</v>
      </c>
      <c r="T14" s="322"/>
      <c r="U14" s="322"/>
      <c r="V14" s="320">
        <v>15</v>
      </c>
      <c r="W14" s="315">
        <v>30</v>
      </c>
      <c r="X14" s="322"/>
      <c r="Y14" s="322"/>
      <c r="Z14" s="332">
        <v>9</v>
      </c>
      <c r="AA14" s="315">
        <v>15</v>
      </c>
      <c r="AB14" s="320">
        <v>30</v>
      </c>
      <c r="AC14" s="315">
        <v>15</v>
      </c>
      <c r="AD14" s="320">
        <v>18</v>
      </c>
      <c r="AE14" s="315">
        <v>20</v>
      </c>
      <c r="AF14" s="305"/>
    </row>
    <row r="15" spans="1:41" ht="17.5" customHeight="1" x14ac:dyDescent="0.45">
      <c r="A15" s="1">
        <v>3</v>
      </c>
      <c r="B15" s="1" t="s">
        <v>173</v>
      </c>
      <c r="C15" s="1" t="s">
        <v>174</v>
      </c>
      <c r="D15" s="537" t="s">
        <v>749</v>
      </c>
      <c r="E15" s="400"/>
      <c r="F15" s="74">
        <v>20</v>
      </c>
      <c r="G15" s="685"/>
      <c r="H15" s="318"/>
      <c r="I15" s="319"/>
      <c r="J15" s="320">
        <v>29</v>
      </c>
      <c r="K15" s="315">
        <v>15</v>
      </c>
      <c r="L15" s="327"/>
      <c r="M15" s="327"/>
      <c r="N15" s="320">
        <v>1</v>
      </c>
      <c r="O15" s="315">
        <v>15</v>
      </c>
      <c r="P15" s="320">
        <v>21</v>
      </c>
      <c r="Q15" s="315">
        <v>30</v>
      </c>
      <c r="R15" s="320">
        <v>18</v>
      </c>
      <c r="S15" s="315">
        <v>15</v>
      </c>
      <c r="T15" s="320">
        <v>17</v>
      </c>
      <c r="U15" s="315">
        <v>15</v>
      </c>
      <c r="V15" s="320">
        <v>29</v>
      </c>
      <c r="W15" s="315">
        <v>20</v>
      </c>
      <c r="X15" s="322"/>
      <c r="Y15" s="322"/>
      <c r="Z15" s="320">
        <v>12</v>
      </c>
      <c r="AA15" s="315">
        <v>15</v>
      </c>
      <c r="AB15" s="320">
        <v>12</v>
      </c>
      <c r="AC15" s="315">
        <v>15</v>
      </c>
      <c r="AD15" s="320">
        <v>12</v>
      </c>
      <c r="AE15" s="315">
        <v>20</v>
      </c>
      <c r="AF15" s="305"/>
    </row>
    <row r="16" spans="1:41" s="27" customFormat="1" ht="17.5" customHeight="1" x14ac:dyDescent="0.45">
      <c r="A16" s="1">
        <v>4</v>
      </c>
      <c r="B16" s="27" t="s">
        <v>381</v>
      </c>
      <c r="C16" s="27" t="s">
        <v>382</v>
      </c>
      <c r="D16" s="537" t="s">
        <v>749</v>
      </c>
      <c r="E16" s="400"/>
      <c r="F16" s="134">
        <v>20</v>
      </c>
      <c r="G16" s="685"/>
      <c r="H16" s="318"/>
      <c r="I16" s="319"/>
      <c r="J16" s="318"/>
      <c r="K16" s="319"/>
      <c r="L16" s="318"/>
      <c r="M16" s="319"/>
      <c r="N16" s="318"/>
      <c r="O16" s="319"/>
      <c r="P16" s="318"/>
      <c r="Q16" s="319"/>
      <c r="R16" s="318"/>
      <c r="S16" s="319"/>
      <c r="T16" s="325">
        <v>17</v>
      </c>
      <c r="U16" s="315">
        <v>15</v>
      </c>
      <c r="V16" s="325">
        <v>16</v>
      </c>
      <c r="W16" s="315">
        <v>15</v>
      </c>
      <c r="X16" s="325">
        <v>16</v>
      </c>
      <c r="Y16" s="315">
        <v>15</v>
      </c>
      <c r="Z16" s="325">
        <v>17</v>
      </c>
      <c r="AA16" s="315">
        <v>15</v>
      </c>
      <c r="AB16" s="325">
        <v>17</v>
      </c>
      <c r="AC16" s="315">
        <v>15</v>
      </c>
      <c r="AD16" s="325">
        <v>19</v>
      </c>
      <c r="AE16" s="315">
        <v>20</v>
      </c>
      <c r="AF16" s="305"/>
      <c r="AG16" s="37"/>
      <c r="AH16" s="37"/>
      <c r="AI16" s="37"/>
      <c r="AJ16" s="37"/>
      <c r="AK16" s="37"/>
      <c r="AL16" s="37"/>
      <c r="AM16" s="37"/>
      <c r="AN16" s="37"/>
      <c r="AO16" s="37"/>
    </row>
    <row r="17" spans="1:47" s="27" customFormat="1" ht="17.5" customHeight="1" x14ac:dyDescent="0.45">
      <c r="A17" s="1">
        <v>5</v>
      </c>
      <c r="B17" s="27" t="s">
        <v>384</v>
      </c>
      <c r="C17" s="27" t="s">
        <v>385</v>
      </c>
      <c r="D17" s="537" t="s">
        <v>749</v>
      </c>
      <c r="E17" s="400"/>
      <c r="F17" s="134">
        <v>20</v>
      </c>
      <c r="G17" s="685"/>
      <c r="H17" s="318"/>
      <c r="I17" s="319"/>
      <c r="J17" s="318"/>
      <c r="K17" s="319"/>
      <c r="L17" s="318"/>
      <c r="M17" s="319"/>
      <c r="N17" s="318"/>
      <c r="O17" s="319"/>
      <c r="P17" s="318"/>
      <c r="Q17" s="319"/>
      <c r="R17" s="318"/>
      <c r="S17" s="319"/>
      <c r="T17" s="325">
        <v>24</v>
      </c>
      <c r="U17" s="315">
        <v>15</v>
      </c>
      <c r="V17" s="360"/>
      <c r="W17" s="360"/>
      <c r="X17" s="325">
        <v>3</v>
      </c>
      <c r="Y17" s="315">
        <v>15</v>
      </c>
      <c r="Z17" s="325">
        <v>3</v>
      </c>
      <c r="AA17" s="315">
        <v>15</v>
      </c>
      <c r="AB17" s="325">
        <v>4</v>
      </c>
      <c r="AC17" s="315">
        <v>15</v>
      </c>
      <c r="AD17" s="325">
        <v>10</v>
      </c>
      <c r="AE17" s="315">
        <v>20</v>
      </c>
      <c r="AF17" s="305"/>
      <c r="AG17" s="37"/>
      <c r="AH17" s="37"/>
      <c r="AI17" s="37"/>
      <c r="AJ17" s="37"/>
      <c r="AK17" s="37"/>
      <c r="AL17" s="37"/>
      <c r="AM17" s="37"/>
      <c r="AN17" s="37"/>
      <c r="AO17" s="37"/>
    </row>
    <row r="18" spans="1:47" s="27" customFormat="1" ht="17.5" customHeight="1" x14ac:dyDescent="0.45">
      <c r="A18" s="271">
        <v>6</v>
      </c>
      <c r="B18" s="293" t="s">
        <v>396</v>
      </c>
      <c r="C18" s="27" t="s">
        <v>412</v>
      </c>
      <c r="D18" s="537" t="s">
        <v>749</v>
      </c>
      <c r="E18" s="398" t="s">
        <v>442</v>
      </c>
      <c r="F18" s="134">
        <v>20</v>
      </c>
      <c r="G18" s="685"/>
      <c r="H18" s="318"/>
      <c r="I18" s="319"/>
      <c r="J18" s="318"/>
      <c r="K18" s="319"/>
      <c r="L18" s="318"/>
      <c r="M18" s="319"/>
      <c r="N18" s="318"/>
      <c r="O18" s="319"/>
      <c r="P18" s="318"/>
      <c r="Q18" s="319"/>
      <c r="R18" s="318"/>
      <c r="S18" s="319"/>
      <c r="T18" s="318"/>
      <c r="U18" s="319"/>
      <c r="V18" s="318"/>
      <c r="W18" s="319"/>
      <c r="X18" s="325">
        <v>2</v>
      </c>
      <c r="Y18" s="315">
        <v>15</v>
      </c>
      <c r="Z18" s="325">
        <v>2</v>
      </c>
      <c r="AA18" s="315">
        <v>15</v>
      </c>
      <c r="AB18" s="325">
        <v>2</v>
      </c>
      <c r="AC18" s="315">
        <v>15</v>
      </c>
      <c r="AD18" s="325">
        <v>3</v>
      </c>
      <c r="AE18" s="315">
        <v>20</v>
      </c>
      <c r="AF18" s="305"/>
      <c r="AG18" s="37"/>
      <c r="AH18" s="37"/>
      <c r="AI18" s="37"/>
      <c r="AJ18" s="37"/>
      <c r="AK18" s="37"/>
      <c r="AL18" s="37"/>
      <c r="AM18" s="37"/>
      <c r="AN18" s="37"/>
      <c r="AO18" s="37"/>
    </row>
    <row r="19" spans="1:47" s="27" customFormat="1" ht="17.5" customHeight="1" x14ac:dyDescent="0.45">
      <c r="A19" s="271">
        <v>8</v>
      </c>
      <c r="B19" s="293" t="s">
        <v>424</v>
      </c>
      <c r="C19" s="27" t="s">
        <v>432</v>
      </c>
      <c r="D19" s="537" t="s">
        <v>749</v>
      </c>
      <c r="E19" s="398" t="s">
        <v>444</v>
      </c>
      <c r="F19" s="395">
        <v>20</v>
      </c>
      <c r="G19" s="685"/>
      <c r="H19" s="318"/>
      <c r="I19" s="319"/>
      <c r="J19" s="318"/>
      <c r="K19" s="319"/>
      <c r="L19" s="318"/>
      <c r="M19" s="319"/>
      <c r="N19" s="318"/>
      <c r="O19" s="319"/>
      <c r="P19" s="318"/>
      <c r="Q19" s="319"/>
      <c r="R19" s="318"/>
      <c r="S19" s="319"/>
      <c r="T19" s="318"/>
      <c r="U19" s="319"/>
      <c r="V19" s="318"/>
      <c r="W19" s="319"/>
      <c r="X19" s="318"/>
      <c r="Y19" s="319"/>
      <c r="Z19" s="325">
        <v>27</v>
      </c>
      <c r="AA19" s="315">
        <v>15</v>
      </c>
      <c r="AB19" s="403"/>
      <c r="AC19" s="315"/>
      <c r="AD19" s="325">
        <v>3</v>
      </c>
      <c r="AE19" s="315">
        <v>20</v>
      </c>
      <c r="AF19" s="305"/>
      <c r="AG19" s="37"/>
      <c r="AH19" s="37"/>
      <c r="AI19" s="37"/>
      <c r="AJ19" s="37"/>
      <c r="AK19" s="37"/>
      <c r="AL19" s="37"/>
      <c r="AM19" s="37"/>
      <c r="AN19" s="37"/>
      <c r="AO19" s="37"/>
    </row>
    <row r="20" spans="1:47" s="27" customFormat="1" ht="17.5" customHeight="1" x14ac:dyDescent="0.45">
      <c r="A20" s="271">
        <v>9</v>
      </c>
      <c r="B20" s="293" t="s">
        <v>426</v>
      </c>
      <c r="C20" s="27" t="s">
        <v>429</v>
      </c>
      <c r="D20" s="537" t="s">
        <v>749</v>
      </c>
      <c r="E20" s="398" t="s">
        <v>447</v>
      </c>
      <c r="F20" s="395">
        <v>20</v>
      </c>
      <c r="G20" s="685"/>
      <c r="H20" s="318"/>
      <c r="I20" s="319"/>
      <c r="J20" s="318"/>
      <c r="K20" s="319"/>
      <c r="L20" s="318"/>
      <c r="M20" s="319"/>
      <c r="N20" s="318"/>
      <c r="O20" s="319"/>
      <c r="P20" s="318"/>
      <c r="Q20" s="319"/>
      <c r="R20" s="318"/>
      <c r="S20" s="319"/>
      <c r="T20" s="318"/>
      <c r="U20" s="319"/>
      <c r="V20" s="318"/>
      <c r="W20" s="319"/>
      <c r="X20" s="318"/>
      <c r="Y20" s="319"/>
      <c r="Z20" s="325">
        <v>31</v>
      </c>
      <c r="AA20" s="315">
        <v>15</v>
      </c>
      <c r="AB20" s="325">
        <v>28</v>
      </c>
      <c r="AC20" s="315">
        <v>15</v>
      </c>
      <c r="AD20" s="322"/>
      <c r="AE20" s="322"/>
      <c r="AF20" s="305"/>
      <c r="AG20" s="37"/>
      <c r="AH20" s="37"/>
      <c r="AI20" s="37"/>
      <c r="AJ20" s="37"/>
      <c r="AK20" s="37"/>
      <c r="AL20" s="37"/>
      <c r="AM20" s="37"/>
      <c r="AN20" s="37"/>
      <c r="AO20" s="37"/>
    </row>
    <row r="21" spans="1:47" s="27" customFormat="1" ht="18" customHeight="1" thickBot="1" x14ac:dyDescent="0.5">
      <c r="D21" s="587"/>
      <c r="E21" s="384"/>
      <c r="F21" s="76"/>
      <c r="G21" s="685"/>
      <c r="H21" s="346"/>
      <c r="I21" s="347"/>
      <c r="J21" s="346"/>
      <c r="K21" s="347"/>
      <c r="L21" s="346"/>
      <c r="M21" s="347"/>
      <c r="N21" s="346"/>
      <c r="O21" s="348"/>
      <c r="P21" s="346"/>
      <c r="Q21" s="347"/>
      <c r="R21" s="346"/>
      <c r="S21" s="348"/>
      <c r="T21" s="346"/>
      <c r="U21" s="348"/>
      <c r="V21" s="346"/>
      <c r="W21" s="348"/>
      <c r="X21" s="346"/>
      <c r="Y21" s="348"/>
      <c r="Z21" s="346"/>
      <c r="AA21" s="347"/>
      <c r="AB21" s="346"/>
      <c r="AC21" s="347"/>
      <c r="AD21" s="346"/>
      <c r="AE21" s="347"/>
      <c r="AF21" s="195"/>
      <c r="AG21" s="37"/>
      <c r="AH21" s="37"/>
      <c r="AI21" s="37"/>
      <c r="AJ21" s="37"/>
      <c r="AK21" s="37"/>
      <c r="AL21" s="37"/>
      <c r="AM21" s="37"/>
      <c r="AN21" s="37"/>
      <c r="AO21" s="37"/>
    </row>
    <row r="22" spans="1:47" s="116" customFormat="1" ht="21.75" customHeight="1" thickTop="1" thickBot="1" x14ac:dyDescent="0.5">
      <c r="A22" s="273" t="s">
        <v>379</v>
      </c>
      <c r="B22" s="273">
        <v>9</v>
      </c>
      <c r="D22" s="539"/>
      <c r="E22" s="265"/>
      <c r="F22" s="274">
        <f>SUM(F13:F21)</f>
        <v>160</v>
      </c>
      <c r="G22" s="685"/>
      <c r="H22" s="531"/>
      <c r="I22" s="531"/>
      <c r="J22" s="531"/>
      <c r="K22" s="531"/>
      <c r="L22" s="531"/>
      <c r="M22" s="531"/>
      <c r="N22" s="531"/>
      <c r="O22" s="531"/>
      <c r="P22" s="531"/>
      <c r="Q22" s="531"/>
      <c r="R22" s="531"/>
      <c r="S22" s="531"/>
      <c r="T22" s="531"/>
      <c r="U22" s="531"/>
      <c r="V22" s="531"/>
      <c r="W22" s="531"/>
      <c r="X22" s="531"/>
      <c r="Y22" s="531"/>
      <c r="Z22" s="531"/>
      <c r="AA22" s="531"/>
      <c r="AB22" s="531"/>
      <c r="AC22" s="531"/>
      <c r="AD22" s="531"/>
      <c r="AE22" s="531"/>
      <c r="AF22" s="39"/>
      <c r="AG22" s="37"/>
      <c r="AH22" s="37"/>
      <c r="AI22" s="37"/>
      <c r="AJ22" s="37"/>
      <c r="AK22" s="37"/>
      <c r="AL22" s="37"/>
      <c r="AM22" s="37"/>
      <c r="AN22" s="37"/>
      <c r="AO22" s="37"/>
    </row>
    <row r="23" spans="1:47" s="37" customFormat="1" ht="18" customHeight="1" thickTop="1" thickBot="1" x14ac:dyDescent="0.5">
      <c r="B23" s="365"/>
      <c r="C23" s="365"/>
      <c r="D23" s="576"/>
      <c r="E23" s="365"/>
      <c r="F23" s="365"/>
      <c r="G23" s="685"/>
      <c r="H23" s="515"/>
      <c r="I23" s="515"/>
      <c r="J23" s="515"/>
      <c r="K23" s="515"/>
      <c r="L23" s="515"/>
      <c r="M23" s="515"/>
      <c r="N23" s="515"/>
      <c r="O23" s="515"/>
      <c r="P23" s="515"/>
      <c r="Q23" s="515"/>
      <c r="R23" s="515"/>
      <c r="S23" s="515"/>
      <c r="T23" s="515"/>
      <c r="U23" s="515"/>
      <c r="V23" s="515"/>
      <c r="W23" s="515"/>
      <c r="X23" s="515"/>
      <c r="Y23" s="515"/>
      <c r="Z23" s="515"/>
      <c r="AA23" s="515"/>
      <c r="AB23" s="515"/>
      <c r="AC23" s="515"/>
      <c r="AD23" s="515"/>
      <c r="AE23" s="515"/>
      <c r="AF23" s="39"/>
    </row>
    <row r="24" spans="1:47" s="27" customFormat="1" ht="17.5" customHeight="1" thickTop="1" thickBot="1" x14ac:dyDescent="0.5">
      <c r="A24" s="660" t="s">
        <v>466</v>
      </c>
      <c r="B24" s="661"/>
      <c r="C24" s="562"/>
      <c r="D24" s="577"/>
      <c r="E24" s="562"/>
      <c r="F24" s="562"/>
      <c r="G24" s="685"/>
      <c r="H24" s="515"/>
      <c r="I24" s="515"/>
      <c r="J24" s="515"/>
      <c r="K24" s="515"/>
      <c r="L24" s="515"/>
      <c r="M24" s="515"/>
      <c r="N24" s="515"/>
      <c r="O24" s="515"/>
      <c r="P24" s="515"/>
      <c r="Q24" s="515"/>
      <c r="R24" s="515"/>
      <c r="S24" s="515"/>
      <c r="T24" s="515"/>
      <c r="U24" s="515"/>
      <c r="V24" s="515"/>
      <c r="W24" s="515"/>
      <c r="X24" s="515"/>
      <c r="Y24" s="515"/>
      <c r="Z24" s="515"/>
      <c r="AA24" s="515"/>
      <c r="AB24" s="515"/>
      <c r="AC24" s="515"/>
      <c r="AD24" s="515"/>
      <c r="AE24" s="515"/>
      <c r="AF24"/>
      <c r="AG24" s="523"/>
      <c r="AH24" s="523"/>
      <c r="AI24" s="523"/>
      <c r="AJ24" s="523"/>
      <c r="AK24" s="523"/>
      <c r="AL24" s="523"/>
      <c r="AM24" s="523"/>
      <c r="AN24" s="523"/>
      <c r="AO24" s="523"/>
      <c r="AP24" s="523"/>
      <c r="AQ24" s="523"/>
      <c r="AR24" s="523"/>
      <c r="AS24" s="523"/>
      <c r="AT24" s="523"/>
      <c r="AU24" s="523"/>
    </row>
    <row r="25" spans="1:47" s="27" customFormat="1" ht="17.5" customHeight="1" thickTop="1" x14ac:dyDescent="0.45">
      <c r="A25" s="68" t="s">
        <v>296</v>
      </c>
      <c r="B25" s="68" t="s">
        <v>388</v>
      </c>
      <c r="C25" s="68" t="s">
        <v>374</v>
      </c>
      <c r="D25" s="549" t="s">
        <v>751</v>
      </c>
      <c r="E25" s="569"/>
      <c r="F25" s="513">
        <v>20</v>
      </c>
      <c r="G25" s="685"/>
      <c r="H25" s="564"/>
      <c r="I25" s="565"/>
      <c r="J25" s="564"/>
      <c r="K25" s="565"/>
      <c r="L25" s="564"/>
      <c r="M25" s="565"/>
      <c r="N25" s="564"/>
      <c r="O25" s="565"/>
      <c r="P25" s="564"/>
      <c r="Q25" s="565"/>
      <c r="R25" s="564"/>
      <c r="S25" s="565"/>
      <c r="T25" s="566">
        <v>23</v>
      </c>
      <c r="U25" s="567">
        <v>10</v>
      </c>
      <c r="V25" s="570"/>
      <c r="W25" s="570"/>
      <c r="X25" s="566">
        <v>5</v>
      </c>
      <c r="Y25" s="567">
        <v>10</v>
      </c>
      <c r="Z25" s="566">
        <v>29</v>
      </c>
      <c r="AA25" s="567">
        <v>10</v>
      </c>
      <c r="AB25" s="566">
        <v>25</v>
      </c>
      <c r="AC25" s="567">
        <v>10</v>
      </c>
      <c r="AD25" s="566">
        <v>2</v>
      </c>
      <c r="AE25" s="568">
        <v>20</v>
      </c>
      <c r="AF25" s="305"/>
      <c r="AG25" s="523"/>
      <c r="AH25" s="523"/>
      <c r="AI25" s="523"/>
      <c r="AJ25" s="523"/>
      <c r="AK25" s="523"/>
      <c r="AL25" s="523"/>
      <c r="AM25" s="523"/>
      <c r="AN25" s="523"/>
      <c r="AO25" s="523"/>
    </row>
    <row r="26" spans="1:47" s="27" customFormat="1" ht="17.5" customHeight="1" x14ac:dyDescent="0.45">
      <c r="A26" s="27">
        <v>3</v>
      </c>
      <c r="B26" s="293" t="s">
        <v>438</v>
      </c>
      <c r="C26" s="27" t="s">
        <v>415</v>
      </c>
      <c r="D26" s="537" t="s">
        <v>751</v>
      </c>
      <c r="E26" s="400"/>
      <c r="F26" s="364">
        <v>20</v>
      </c>
      <c r="G26" s="685"/>
      <c r="H26" s="318"/>
      <c r="I26" s="319"/>
      <c r="J26" s="318"/>
      <c r="K26" s="319"/>
      <c r="L26" s="318"/>
      <c r="M26" s="319"/>
      <c r="N26" s="318"/>
      <c r="O26" s="319"/>
      <c r="P26" s="318"/>
      <c r="Q26" s="319"/>
      <c r="R26" s="318"/>
      <c r="S26" s="319"/>
      <c r="T26" s="318"/>
      <c r="U26" s="319"/>
      <c r="V26" s="318"/>
      <c r="W26" s="319"/>
      <c r="X26" s="318"/>
      <c r="Y26" s="319"/>
      <c r="Z26" s="325">
        <v>9</v>
      </c>
      <c r="AA26" s="315">
        <v>10</v>
      </c>
      <c r="AB26" s="325">
        <v>8</v>
      </c>
      <c r="AC26" s="315">
        <v>10</v>
      </c>
      <c r="AD26" s="322"/>
      <c r="AE26" s="322"/>
      <c r="AF26" s="305"/>
      <c r="AG26" s="523"/>
      <c r="AH26" s="523"/>
      <c r="AI26" s="523"/>
      <c r="AJ26" s="523"/>
      <c r="AK26" s="523"/>
      <c r="AL26" s="523"/>
      <c r="AM26" s="523"/>
      <c r="AN26" s="523"/>
      <c r="AO26" s="523"/>
    </row>
    <row r="27" spans="1:47" s="27" customFormat="1" ht="17.5" customHeight="1" x14ac:dyDescent="0.45">
      <c r="A27" s="27">
        <v>4</v>
      </c>
      <c r="B27" s="293" t="s">
        <v>425</v>
      </c>
      <c r="C27" s="27" t="s">
        <v>427</v>
      </c>
      <c r="D27" s="537" t="s">
        <v>751</v>
      </c>
      <c r="E27" s="400"/>
      <c r="F27" s="364">
        <v>10</v>
      </c>
      <c r="G27" s="685"/>
      <c r="H27" s="318"/>
      <c r="I27" s="319"/>
      <c r="J27" s="318"/>
      <c r="K27" s="319"/>
      <c r="L27" s="318"/>
      <c r="M27" s="319"/>
      <c r="N27" s="318"/>
      <c r="O27" s="319"/>
      <c r="P27" s="318"/>
      <c r="Q27" s="319"/>
      <c r="R27" s="318"/>
      <c r="S27" s="319"/>
      <c r="T27" s="318"/>
      <c r="U27" s="319"/>
      <c r="V27" s="318"/>
      <c r="W27" s="319"/>
      <c r="X27" s="337"/>
      <c r="Y27" s="362"/>
      <c r="Z27" s="325">
        <v>31</v>
      </c>
      <c r="AA27" s="315">
        <v>5</v>
      </c>
      <c r="AB27" s="325">
        <v>2</v>
      </c>
      <c r="AC27" s="315">
        <v>5</v>
      </c>
      <c r="AD27" s="322"/>
      <c r="AE27" s="322"/>
      <c r="AF27" s="305"/>
      <c r="AG27" s="523"/>
      <c r="AH27" s="523"/>
      <c r="AI27" s="523"/>
      <c r="AJ27" s="523"/>
      <c r="AK27" s="523"/>
      <c r="AL27" s="523"/>
      <c r="AM27" s="523"/>
      <c r="AN27" s="523"/>
      <c r="AO27" s="523"/>
    </row>
    <row r="28" spans="1:47" customFormat="1" x14ac:dyDescent="0.45">
      <c r="A28" s="271"/>
      <c r="B28" s="293"/>
      <c r="C28" s="27"/>
      <c r="D28" s="537"/>
      <c r="E28" s="398"/>
      <c r="F28" s="364"/>
      <c r="G28" s="685"/>
      <c r="H28" s="455"/>
      <c r="I28" s="456"/>
      <c r="J28" s="456"/>
      <c r="K28" s="360"/>
      <c r="L28" s="456"/>
      <c r="M28" s="360"/>
      <c r="N28" s="456"/>
      <c r="O28" s="360"/>
      <c r="P28" s="456"/>
      <c r="Q28" s="360"/>
      <c r="R28" s="456"/>
      <c r="S28" s="360"/>
      <c r="T28" s="456"/>
      <c r="U28" s="360"/>
      <c r="V28" s="456"/>
      <c r="W28" s="360"/>
      <c r="X28" s="456"/>
      <c r="Y28" s="360"/>
      <c r="Z28" s="456"/>
      <c r="AA28" s="360"/>
      <c r="AB28" s="456"/>
      <c r="AC28" s="360"/>
      <c r="AD28" s="322"/>
      <c r="AE28" s="322"/>
      <c r="AF28" s="305"/>
      <c r="AG28" s="523"/>
      <c r="AH28" s="523"/>
      <c r="AI28" s="523"/>
      <c r="AJ28" s="523"/>
      <c r="AK28" s="523"/>
      <c r="AL28" s="523"/>
      <c r="AM28" s="523"/>
      <c r="AN28" s="523"/>
      <c r="AO28" s="523"/>
    </row>
    <row r="29" spans="1:47" customFormat="1" ht="18" thickBot="1" x14ac:dyDescent="0.5">
      <c r="A29" s="27"/>
      <c r="B29" s="293"/>
      <c r="C29" s="293"/>
      <c r="D29" s="541"/>
      <c r="E29" s="392"/>
      <c r="F29" s="76"/>
      <c r="G29" s="685"/>
      <c r="H29" s="427"/>
      <c r="I29" s="438"/>
      <c r="J29" s="427"/>
      <c r="K29" s="438"/>
      <c r="L29" s="427"/>
      <c r="M29" s="438"/>
      <c r="N29" s="427"/>
      <c r="O29" s="438"/>
      <c r="P29" s="427"/>
      <c r="Q29" s="438"/>
      <c r="R29" s="427"/>
      <c r="S29" s="438"/>
      <c r="T29" s="427"/>
      <c r="U29" s="438"/>
      <c r="V29" s="427"/>
      <c r="W29" s="438"/>
      <c r="X29" s="427"/>
      <c r="Y29" s="438"/>
      <c r="Z29" s="427"/>
      <c r="AA29" s="438"/>
      <c r="AB29" s="427"/>
      <c r="AC29" s="438"/>
      <c r="AD29" s="427"/>
      <c r="AE29" s="438"/>
      <c r="AF29" s="305"/>
      <c r="AG29" s="523"/>
      <c r="AH29" s="523"/>
      <c r="AI29" s="523"/>
      <c r="AJ29" s="523"/>
      <c r="AK29" s="523"/>
      <c r="AL29" s="523"/>
      <c r="AM29" s="523"/>
      <c r="AN29" s="523"/>
      <c r="AO29" s="523"/>
    </row>
    <row r="30" spans="1:47" customFormat="1" ht="26.5" thickTop="1" thickBot="1" x14ac:dyDescent="0.5">
      <c r="A30" s="273" t="s">
        <v>379</v>
      </c>
      <c r="B30" s="273">
        <v>5</v>
      </c>
      <c r="C30" s="116"/>
      <c r="D30" s="539"/>
      <c r="E30" s="385"/>
      <c r="F30" s="274">
        <f>SUM(F25:F29)</f>
        <v>50</v>
      </c>
      <c r="G30" s="685"/>
      <c r="H30" s="546"/>
      <c r="I30" s="515"/>
      <c r="J30" s="546"/>
      <c r="K30" s="515"/>
      <c r="L30" s="546"/>
      <c r="M30" s="515"/>
      <c r="N30" s="546"/>
      <c r="O30" s="515"/>
      <c r="P30" s="546"/>
      <c r="Q30" s="515"/>
      <c r="R30" s="546"/>
      <c r="S30" s="515"/>
      <c r="T30" s="546"/>
      <c r="U30" s="515"/>
      <c r="V30" s="546"/>
      <c r="W30" s="515"/>
      <c r="X30" s="546"/>
      <c r="Y30" s="515"/>
      <c r="Z30" s="546"/>
      <c r="AA30" s="515"/>
      <c r="AB30" s="546"/>
      <c r="AC30" s="515"/>
      <c r="AD30" s="546"/>
      <c r="AE30" s="444">
        <f>SUM(I25:I29,K25:K29,M25:M29,O25:O29,Q25:Q29,S25:S29,U25:U29,W25:W29,Y25:Y29,AA25:AA29,AC25:AC29,AE25:AE29)</f>
        <v>90</v>
      </c>
      <c r="AF30" s="305"/>
      <c r="AG30" s="523"/>
      <c r="AH30" s="523"/>
      <c r="AI30" s="523"/>
      <c r="AJ30" s="523"/>
      <c r="AK30" s="523"/>
      <c r="AL30" s="523"/>
      <c r="AM30" s="523"/>
      <c r="AN30" s="523"/>
      <c r="AO30" s="523"/>
    </row>
    <row r="31" spans="1:47" customFormat="1" ht="18" thickTop="1" thickBot="1" x14ac:dyDescent="0.5">
      <c r="A31" s="523"/>
      <c r="B31" s="543"/>
      <c r="C31" s="543"/>
      <c r="D31" s="578"/>
      <c r="E31" s="543"/>
      <c r="F31" s="543"/>
      <c r="G31" s="685"/>
      <c r="H31" s="546"/>
      <c r="I31" s="515"/>
      <c r="J31" s="546"/>
      <c r="K31" s="515"/>
      <c r="L31" s="546"/>
      <c r="M31" s="515"/>
      <c r="N31" s="546"/>
      <c r="O31" s="515"/>
      <c r="P31" s="546"/>
      <c r="Q31" s="515"/>
      <c r="R31" s="546"/>
      <c r="S31" s="515"/>
      <c r="T31" s="546"/>
      <c r="U31" s="515"/>
      <c r="V31" s="546"/>
      <c r="W31" s="515"/>
      <c r="X31" s="546"/>
      <c r="Y31" s="515"/>
      <c r="Z31" s="546"/>
      <c r="AA31" s="515"/>
      <c r="AB31" s="546"/>
      <c r="AC31" s="515"/>
      <c r="AD31" s="546"/>
      <c r="AE31" s="550"/>
      <c r="AG31" s="523"/>
      <c r="AH31" s="523"/>
      <c r="AI31" s="523"/>
      <c r="AJ31" s="523"/>
      <c r="AK31" s="523"/>
      <c r="AL31" s="523"/>
      <c r="AM31" s="523"/>
      <c r="AN31" s="523"/>
      <c r="AO31" s="523"/>
    </row>
    <row r="32" spans="1:47" customFormat="1" ht="22" thickTop="1" thickBot="1" x14ac:dyDescent="0.5">
      <c r="A32" s="660" t="s">
        <v>741</v>
      </c>
      <c r="B32" s="661"/>
      <c r="C32" s="545"/>
      <c r="D32" s="579"/>
      <c r="E32" s="545"/>
      <c r="F32" s="545"/>
      <c r="G32" s="685"/>
      <c r="H32" s="546"/>
      <c r="I32" s="515"/>
      <c r="J32" s="546"/>
      <c r="K32" s="515"/>
      <c r="L32" s="546"/>
      <c r="M32" s="515"/>
      <c r="N32" s="546"/>
      <c r="O32" s="515"/>
      <c r="P32" s="546"/>
      <c r="Q32" s="515"/>
      <c r="R32" s="546"/>
      <c r="S32" s="515"/>
      <c r="T32" s="546"/>
      <c r="U32" s="515"/>
      <c r="V32" s="546"/>
      <c r="W32" s="515"/>
      <c r="X32" s="546"/>
      <c r="Y32" s="515"/>
      <c r="Z32" s="546"/>
      <c r="AA32" s="515"/>
      <c r="AB32" s="546"/>
      <c r="AC32" s="515"/>
      <c r="AD32" s="546"/>
      <c r="AE32" s="551"/>
      <c r="AG32" s="523"/>
      <c r="AH32" s="523"/>
      <c r="AI32" s="523"/>
      <c r="AJ32" s="523"/>
      <c r="AK32" s="523"/>
      <c r="AL32" s="523"/>
      <c r="AM32" s="523"/>
      <c r="AN32" s="523"/>
      <c r="AO32" s="523"/>
    </row>
    <row r="33" spans="1:41" s="27" customFormat="1" ht="17.5" customHeight="1" thickTop="1" x14ac:dyDescent="0.45">
      <c r="A33" s="174">
        <v>1</v>
      </c>
      <c r="B33" s="548" t="s">
        <v>413</v>
      </c>
      <c r="C33" s="68" t="s">
        <v>414</v>
      </c>
      <c r="D33" s="549" t="s">
        <v>752</v>
      </c>
      <c r="E33" s="563" t="s">
        <v>443</v>
      </c>
      <c r="F33" s="513">
        <v>20</v>
      </c>
      <c r="G33" s="685"/>
      <c r="H33" s="564"/>
      <c r="I33" s="565"/>
      <c r="J33" s="564"/>
      <c r="K33" s="565"/>
      <c r="L33" s="564"/>
      <c r="M33" s="565"/>
      <c r="N33" s="564"/>
      <c r="O33" s="565"/>
      <c r="P33" s="564"/>
      <c r="Q33" s="565"/>
      <c r="R33" s="564"/>
      <c r="S33" s="565"/>
      <c r="T33" s="564"/>
      <c r="U33" s="565"/>
      <c r="V33" s="564"/>
      <c r="W33" s="565"/>
      <c r="X33" s="564"/>
      <c r="Y33" s="565"/>
      <c r="Z33" s="566">
        <v>4</v>
      </c>
      <c r="AA33" s="567">
        <v>20</v>
      </c>
      <c r="AB33" s="566">
        <v>4</v>
      </c>
      <c r="AC33" s="567">
        <v>20</v>
      </c>
      <c r="AD33" s="566">
        <v>5</v>
      </c>
      <c r="AE33" s="568">
        <v>20</v>
      </c>
      <c r="AF33" s="305"/>
      <c r="AG33" s="523"/>
      <c r="AH33" s="523"/>
      <c r="AI33" s="523"/>
      <c r="AJ33" s="523"/>
      <c r="AK33" s="523"/>
      <c r="AL33" s="523"/>
      <c r="AM33" s="523"/>
      <c r="AN33" s="523"/>
      <c r="AO33" s="523"/>
    </row>
    <row r="34" spans="1:41" s="27" customFormat="1" ht="17.5" customHeight="1" x14ac:dyDescent="0.45">
      <c r="A34" s="271">
        <v>2</v>
      </c>
      <c r="B34" s="418" t="s">
        <v>431</v>
      </c>
      <c r="C34" s="27" t="s">
        <v>430</v>
      </c>
      <c r="D34" s="552" t="s">
        <v>752</v>
      </c>
      <c r="E34" s="398"/>
      <c r="F34" s="134">
        <v>20</v>
      </c>
      <c r="G34" s="685"/>
      <c r="H34" s="318"/>
      <c r="I34" s="319"/>
      <c r="J34" s="318"/>
      <c r="K34" s="319"/>
      <c r="L34" s="318"/>
      <c r="M34" s="319"/>
      <c r="N34" s="318"/>
      <c r="O34" s="319"/>
      <c r="P34" s="318"/>
      <c r="Q34" s="319"/>
      <c r="R34" s="318"/>
      <c r="S34" s="319"/>
      <c r="T34" s="318"/>
      <c r="U34" s="319"/>
      <c r="V34" s="318"/>
      <c r="W34" s="319"/>
      <c r="X34" s="318"/>
      <c r="Y34" s="319"/>
      <c r="Z34" s="325">
        <v>30</v>
      </c>
      <c r="AA34" s="315">
        <v>20</v>
      </c>
      <c r="AB34" s="325">
        <v>11</v>
      </c>
      <c r="AC34" s="315">
        <v>20</v>
      </c>
      <c r="AD34" s="322"/>
      <c r="AE34" s="322"/>
      <c r="AF34" s="305"/>
      <c r="AG34" s="523"/>
      <c r="AH34" s="523"/>
      <c r="AI34" s="523"/>
      <c r="AJ34" s="523"/>
      <c r="AK34" s="523"/>
      <c r="AL34" s="523"/>
      <c r="AM34" s="523"/>
      <c r="AN34" s="523"/>
      <c r="AO34" s="523"/>
    </row>
    <row r="35" spans="1:41" customFormat="1" ht="18" thickBot="1" x14ac:dyDescent="0.5">
      <c r="A35" s="27"/>
      <c r="B35" s="293"/>
      <c r="C35" s="293"/>
      <c r="D35" s="537"/>
      <c r="E35" s="505"/>
      <c r="F35" s="76"/>
      <c r="G35" s="685"/>
      <c r="H35" s="427"/>
      <c r="I35" s="518"/>
      <c r="J35" s="427"/>
      <c r="K35" s="518"/>
      <c r="L35" s="427"/>
      <c r="M35" s="519"/>
      <c r="N35" s="520"/>
      <c r="O35" s="518"/>
      <c r="P35" s="520"/>
      <c r="Q35" s="518"/>
      <c r="R35" s="520"/>
      <c r="S35" s="518"/>
      <c r="T35" s="521"/>
      <c r="U35" s="518"/>
      <c r="V35" s="521"/>
      <c r="W35" s="518"/>
      <c r="X35" s="521"/>
      <c r="Y35" s="518"/>
      <c r="Z35" s="521"/>
      <c r="AA35" s="518"/>
      <c r="AB35" s="521"/>
      <c r="AC35" s="518"/>
      <c r="AD35" s="521"/>
      <c r="AE35" s="518"/>
      <c r="AF35" s="305"/>
      <c r="AG35" s="523"/>
      <c r="AH35" s="523"/>
      <c r="AI35" s="523"/>
      <c r="AJ35" s="523"/>
      <c r="AK35" s="523"/>
      <c r="AL35" s="523"/>
      <c r="AM35" s="523"/>
      <c r="AN35" s="523"/>
      <c r="AO35" s="523"/>
    </row>
    <row r="36" spans="1:41" customFormat="1" ht="22" thickTop="1" thickBot="1" x14ac:dyDescent="0.5">
      <c r="A36" s="273" t="s">
        <v>379</v>
      </c>
      <c r="B36" s="273">
        <v>2</v>
      </c>
      <c r="C36" s="116"/>
      <c r="D36" s="539"/>
      <c r="E36" s="385"/>
      <c r="F36" s="274">
        <f>SUM(F33:F35)</f>
        <v>40</v>
      </c>
      <c r="G36" s="685"/>
      <c r="H36" s="697"/>
      <c r="I36" s="697"/>
      <c r="J36" s="697"/>
      <c r="K36" s="697"/>
      <c r="L36" s="697"/>
      <c r="M36" s="697"/>
      <c r="N36" s="697"/>
      <c r="O36" s="697"/>
      <c r="P36" s="697"/>
      <c r="Q36" s="697"/>
      <c r="R36" s="697"/>
      <c r="S36" s="697"/>
      <c r="T36" s="697"/>
      <c r="U36" s="697"/>
      <c r="V36" s="697"/>
      <c r="W36" s="697"/>
      <c r="X36" s="697"/>
      <c r="Y36" s="697"/>
      <c r="Z36" s="697"/>
      <c r="AA36" s="697"/>
      <c r="AB36" s="697"/>
      <c r="AC36" s="697"/>
      <c r="AD36" s="697"/>
      <c r="AE36" s="697"/>
      <c r="AG36" s="523"/>
      <c r="AH36" s="523"/>
      <c r="AI36" s="523"/>
      <c r="AJ36" s="523"/>
      <c r="AK36" s="523"/>
      <c r="AL36" s="523"/>
      <c r="AM36" s="523"/>
      <c r="AN36" s="523"/>
      <c r="AO36" s="523"/>
    </row>
    <row r="37" spans="1:41" s="37" customFormat="1" ht="18" customHeight="1" thickTop="1" thickBot="1" x14ac:dyDescent="0.5">
      <c r="B37" s="367"/>
      <c r="C37" s="367"/>
      <c r="D37" s="580"/>
      <c r="E37" s="367"/>
      <c r="F37" s="367"/>
      <c r="G37" s="685"/>
      <c r="H37" s="698"/>
      <c r="I37" s="698"/>
      <c r="J37" s="698"/>
      <c r="K37" s="698"/>
      <c r="L37" s="698"/>
      <c r="M37" s="698"/>
      <c r="N37" s="698"/>
      <c r="O37" s="698"/>
      <c r="P37" s="698"/>
      <c r="Q37" s="698"/>
      <c r="R37" s="698"/>
      <c r="S37" s="698"/>
      <c r="T37" s="698"/>
      <c r="U37" s="698"/>
      <c r="V37" s="698"/>
      <c r="W37" s="698"/>
      <c r="X37" s="698"/>
      <c r="Y37" s="698"/>
      <c r="Z37" s="698"/>
      <c r="AA37" s="698"/>
      <c r="AB37" s="698"/>
      <c r="AC37" s="698"/>
      <c r="AD37" s="698"/>
      <c r="AE37" s="698"/>
      <c r="AF37" s="39"/>
    </row>
    <row r="38" spans="1:41" s="43" customFormat="1" ht="21.75" customHeight="1" thickTop="1" thickBot="1" x14ac:dyDescent="0.5">
      <c r="A38" s="658" t="s">
        <v>710</v>
      </c>
      <c r="B38" s="659"/>
      <c r="C38" s="366"/>
      <c r="D38" s="581"/>
      <c r="E38" s="366"/>
      <c r="F38" s="366"/>
      <c r="G38" s="685"/>
      <c r="H38" s="699"/>
      <c r="I38" s="699"/>
      <c r="J38" s="699"/>
      <c r="K38" s="699"/>
      <c r="L38" s="699"/>
      <c r="M38" s="699"/>
      <c r="N38" s="699"/>
      <c r="O38" s="699"/>
      <c r="P38" s="699"/>
      <c r="Q38" s="699"/>
      <c r="R38" s="699"/>
      <c r="S38" s="699"/>
      <c r="T38" s="699"/>
      <c r="U38" s="699"/>
      <c r="V38" s="699"/>
      <c r="W38" s="699"/>
      <c r="X38" s="699"/>
      <c r="Y38" s="699"/>
      <c r="Z38" s="699"/>
      <c r="AA38" s="699"/>
      <c r="AB38" s="699"/>
      <c r="AC38" s="699"/>
      <c r="AD38" s="699"/>
      <c r="AE38" s="699"/>
      <c r="AF38" s="39"/>
      <c r="AG38" s="37"/>
      <c r="AH38" s="37"/>
      <c r="AI38" s="37"/>
      <c r="AJ38" s="37"/>
      <c r="AK38" s="37"/>
      <c r="AL38" s="37"/>
      <c r="AM38" s="37"/>
      <c r="AN38" s="37"/>
      <c r="AO38" s="37"/>
    </row>
    <row r="39" spans="1:41" s="28" customFormat="1" ht="17.5" customHeight="1" thickTop="1" x14ac:dyDescent="0.45">
      <c r="A39" s="174">
        <v>1</v>
      </c>
      <c r="B39" s="421" t="s">
        <v>10</v>
      </c>
      <c r="C39" s="1" t="s">
        <v>32</v>
      </c>
      <c r="D39" s="537" t="s">
        <v>753</v>
      </c>
      <c r="E39" s="387"/>
      <c r="F39" s="108">
        <v>8</v>
      </c>
      <c r="G39" s="685"/>
      <c r="H39" s="313">
        <v>2</v>
      </c>
      <c r="I39" s="315">
        <v>24</v>
      </c>
      <c r="J39" s="335"/>
      <c r="K39" s="322"/>
      <c r="L39" s="335"/>
      <c r="M39" s="322"/>
      <c r="N39" s="317">
        <v>1</v>
      </c>
      <c r="O39" s="315">
        <v>24</v>
      </c>
      <c r="P39" s="322"/>
      <c r="Q39" s="322"/>
      <c r="R39" s="322"/>
      <c r="S39" s="322"/>
      <c r="T39" s="317">
        <v>1</v>
      </c>
      <c r="U39" s="315">
        <v>24</v>
      </c>
      <c r="V39" s="322"/>
      <c r="W39" s="322"/>
      <c r="X39" s="322"/>
      <c r="Y39" s="322"/>
      <c r="Z39" s="317">
        <v>2</v>
      </c>
      <c r="AA39" s="315">
        <v>24</v>
      </c>
      <c r="AB39" s="322"/>
      <c r="AC39" s="322"/>
      <c r="AD39" s="404" t="s">
        <v>452</v>
      </c>
      <c r="AE39" s="404">
        <v>24</v>
      </c>
      <c r="AF39" s="305"/>
      <c r="AG39" s="37"/>
      <c r="AH39" s="37"/>
      <c r="AI39" s="37"/>
      <c r="AJ39" s="37"/>
      <c r="AK39" s="37"/>
      <c r="AL39" s="37"/>
      <c r="AM39" s="37"/>
      <c r="AN39" s="37"/>
      <c r="AO39" s="37"/>
    </row>
    <row r="40" spans="1:41" s="27" customFormat="1" ht="17.5" customHeight="1" x14ac:dyDescent="0.45">
      <c r="A40" s="271">
        <v>2</v>
      </c>
      <c r="B40" s="418" t="s">
        <v>247</v>
      </c>
      <c r="C40" s="27" t="s">
        <v>279</v>
      </c>
      <c r="D40" s="538" t="s">
        <v>753</v>
      </c>
      <c r="E40" s="382"/>
      <c r="F40" s="134">
        <v>10</v>
      </c>
      <c r="G40" s="685"/>
      <c r="H40" s="324">
        <v>25</v>
      </c>
      <c r="I40" s="315">
        <v>10</v>
      </c>
      <c r="J40" s="324">
        <v>22</v>
      </c>
      <c r="K40" s="315">
        <v>10</v>
      </c>
      <c r="L40" s="324">
        <v>21</v>
      </c>
      <c r="M40" s="315">
        <v>10</v>
      </c>
      <c r="N40" s="325">
        <v>1</v>
      </c>
      <c r="O40" s="315">
        <v>10</v>
      </c>
      <c r="P40" s="325">
        <v>1</v>
      </c>
      <c r="Q40" s="315">
        <v>10</v>
      </c>
      <c r="R40" s="322"/>
      <c r="S40" s="322"/>
      <c r="T40" s="325">
        <v>17</v>
      </c>
      <c r="U40" s="315">
        <v>10</v>
      </c>
      <c r="V40" s="325">
        <v>16</v>
      </c>
      <c r="W40" s="315">
        <v>10</v>
      </c>
      <c r="X40" s="325">
        <v>17</v>
      </c>
      <c r="Y40" s="315">
        <v>10</v>
      </c>
      <c r="Z40" s="325">
        <v>30</v>
      </c>
      <c r="AA40" s="315">
        <v>10</v>
      </c>
      <c r="AB40" s="325">
        <v>18</v>
      </c>
      <c r="AC40" s="315">
        <v>10</v>
      </c>
      <c r="AD40" s="322"/>
      <c r="AE40" s="322"/>
      <c r="AF40" s="305"/>
      <c r="AG40" s="37"/>
      <c r="AH40" s="37"/>
      <c r="AI40" s="37"/>
      <c r="AJ40" s="37"/>
      <c r="AK40" s="37"/>
      <c r="AL40" s="37"/>
      <c r="AM40" s="37"/>
      <c r="AN40" s="37"/>
      <c r="AO40" s="37"/>
    </row>
    <row r="41" spans="1:41" ht="17.5" x14ac:dyDescent="0.45">
      <c r="A41" s="270">
        <v>3</v>
      </c>
      <c r="B41" s="417" t="s">
        <v>127</v>
      </c>
      <c r="C41" s="1" t="s">
        <v>128</v>
      </c>
      <c r="D41" s="538" t="s">
        <v>753</v>
      </c>
      <c r="E41" s="381"/>
      <c r="F41" s="74">
        <v>5</v>
      </c>
      <c r="G41" s="685"/>
      <c r="H41" s="330">
        <v>2</v>
      </c>
      <c r="I41" s="315">
        <v>5</v>
      </c>
      <c r="J41" s="320">
        <v>1</v>
      </c>
      <c r="K41" s="315">
        <v>5</v>
      </c>
      <c r="L41" s="320">
        <v>1</v>
      </c>
      <c r="M41" s="315">
        <v>5</v>
      </c>
      <c r="N41" s="330">
        <v>1</v>
      </c>
      <c r="O41" s="315">
        <v>5</v>
      </c>
      <c r="P41" s="330">
        <v>1</v>
      </c>
      <c r="Q41" s="315">
        <v>5</v>
      </c>
      <c r="R41" s="330">
        <v>1</v>
      </c>
      <c r="S41" s="315">
        <v>5</v>
      </c>
      <c r="T41" s="330">
        <v>1</v>
      </c>
      <c r="U41" s="315">
        <v>5</v>
      </c>
      <c r="V41" s="330">
        <v>1</v>
      </c>
      <c r="W41" s="315">
        <v>5</v>
      </c>
      <c r="X41" s="330">
        <v>1</v>
      </c>
      <c r="Y41" s="315">
        <v>5</v>
      </c>
      <c r="Z41" s="330">
        <v>1</v>
      </c>
      <c r="AA41" s="315">
        <v>5</v>
      </c>
      <c r="AB41" s="330">
        <v>1</v>
      </c>
      <c r="AC41" s="315">
        <v>5</v>
      </c>
      <c r="AD41" s="330">
        <v>1</v>
      </c>
      <c r="AE41" s="315">
        <v>5</v>
      </c>
      <c r="AF41" s="305"/>
    </row>
    <row r="42" spans="1:41" ht="17.5" customHeight="1" x14ac:dyDescent="0.45">
      <c r="A42" s="270">
        <v>4</v>
      </c>
      <c r="B42" s="417" t="s">
        <v>129</v>
      </c>
      <c r="C42" s="1" t="s">
        <v>130</v>
      </c>
      <c r="D42" s="538" t="s">
        <v>753</v>
      </c>
      <c r="E42" s="381"/>
      <c r="F42" s="74">
        <v>10</v>
      </c>
      <c r="G42" s="685"/>
      <c r="H42" s="320">
        <v>8</v>
      </c>
      <c r="I42" s="314">
        <v>15</v>
      </c>
      <c r="J42" s="322"/>
      <c r="K42" s="322"/>
      <c r="L42" s="320">
        <v>22</v>
      </c>
      <c r="M42" s="315">
        <v>10</v>
      </c>
      <c r="N42" s="322"/>
      <c r="O42" s="322"/>
      <c r="P42" s="322"/>
      <c r="Q42" s="322"/>
      <c r="R42" s="320">
        <v>6</v>
      </c>
      <c r="S42" s="315">
        <v>10</v>
      </c>
      <c r="T42" s="322"/>
      <c r="U42" s="322"/>
      <c r="V42" s="322"/>
      <c r="W42" s="322"/>
      <c r="X42" s="332">
        <v>3</v>
      </c>
      <c r="Y42" s="315">
        <v>10</v>
      </c>
      <c r="Z42" s="320">
        <v>9</v>
      </c>
      <c r="AA42" s="315">
        <v>10</v>
      </c>
      <c r="AB42" s="320">
        <v>13</v>
      </c>
      <c r="AC42" s="315">
        <v>10</v>
      </c>
      <c r="AD42" s="322"/>
      <c r="AE42" s="322"/>
      <c r="AF42" s="305"/>
    </row>
    <row r="43" spans="1:41" ht="17.5" customHeight="1" x14ac:dyDescent="0.45">
      <c r="A43" s="270">
        <v>5</v>
      </c>
      <c r="B43" s="417" t="s">
        <v>135</v>
      </c>
      <c r="C43" s="1" t="s">
        <v>136</v>
      </c>
      <c r="D43" s="538" t="s">
        <v>753</v>
      </c>
      <c r="E43" s="381"/>
      <c r="F43" s="74">
        <v>8</v>
      </c>
      <c r="G43" s="685"/>
      <c r="H43" s="318"/>
      <c r="I43" s="319"/>
      <c r="J43" s="320">
        <v>7</v>
      </c>
      <c r="K43" s="315">
        <v>8</v>
      </c>
      <c r="L43" s="320">
        <v>1</v>
      </c>
      <c r="M43" s="315">
        <v>8</v>
      </c>
      <c r="N43" s="330">
        <v>1</v>
      </c>
      <c r="O43" s="315">
        <v>8</v>
      </c>
      <c r="P43" s="330">
        <v>1</v>
      </c>
      <c r="Q43" s="315">
        <v>8</v>
      </c>
      <c r="R43" s="330">
        <v>3</v>
      </c>
      <c r="S43" s="315">
        <v>8</v>
      </c>
      <c r="T43" s="330">
        <v>1</v>
      </c>
      <c r="U43" s="315">
        <v>8</v>
      </c>
      <c r="V43" s="330">
        <v>1</v>
      </c>
      <c r="W43" s="315">
        <v>8</v>
      </c>
      <c r="X43" s="330">
        <v>1</v>
      </c>
      <c r="Y43" s="315">
        <v>8</v>
      </c>
      <c r="Z43" s="330">
        <v>1</v>
      </c>
      <c r="AA43" s="315">
        <v>8</v>
      </c>
      <c r="AB43" s="330">
        <v>1</v>
      </c>
      <c r="AC43" s="315">
        <v>8</v>
      </c>
      <c r="AD43" s="322"/>
      <c r="AE43" s="322"/>
      <c r="AF43" s="305"/>
    </row>
    <row r="44" spans="1:41" s="27" customFormat="1" ht="17.5" customHeight="1" x14ac:dyDescent="0.45">
      <c r="A44" s="271">
        <v>6</v>
      </c>
      <c r="B44" s="418" t="s">
        <v>206</v>
      </c>
      <c r="C44" s="27" t="s">
        <v>209</v>
      </c>
      <c r="D44" s="538" t="s">
        <v>753</v>
      </c>
      <c r="E44" s="382"/>
      <c r="F44" s="74">
        <v>10</v>
      </c>
      <c r="G44" s="685"/>
      <c r="H44" s="323"/>
      <c r="I44" s="323"/>
      <c r="J44" s="318"/>
      <c r="K44" s="319"/>
      <c r="L44" s="324">
        <v>13</v>
      </c>
      <c r="M44" s="315">
        <v>10</v>
      </c>
      <c r="N44" s="325">
        <v>3</v>
      </c>
      <c r="O44" s="315">
        <v>10</v>
      </c>
      <c r="P44" s="325">
        <v>8</v>
      </c>
      <c r="Q44" s="315">
        <v>10</v>
      </c>
      <c r="R44" s="325">
        <v>5</v>
      </c>
      <c r="S44" s="315">
        <v>10</v>
      </c>
      <c r="T44" s="325">
        <v>17</v>
      </c>
      <c r="U44" s="315">
        <v>10</v>
      </c>
      <c r="V44" s="325">
        <v>7</v>
      </c>
      <c r="W44" s="315">
        <v>10</v>
      </c>
      <c r="X44" s="325">
        <v>4</v>
      </c>
      <c r="Y44" s="315">
        <v>10</v>
      </c>
      <c r="Z44" s="325">
        <v>5</v>
      </c>
      <c r="AA44" s="315">
        <v>10</v>
      </c>
      <c r="AB44" s="325">
        <v>4</v>
      </c>
      <c r="AC44" s="315">
        <v>10</v>
      </c>
      <c r="AD44" s="325">
        <v>1</v>
      </c>
      <c r="AE44" s="315">
        <v>10</v>
      </c>
      <c r="AF44" s="305"/>
      <c r="AG44" s="37"/>
      <c r="AH44" s="37"/>
      <c r="AI44" s="37"/>
      <c r="AJ44" s="37"/>
      <c r="AK44" s="37"/>
      <c r="AL44" s="37"/>
      <c r="AM44" s="37"/>
      <c r="AN44" s="37"/>
      <c r="AO44" s="37"/>
    </row>
    <row r="45" spans="1:41" s="27" customFormat="1" ht="17.5" customHeight="1" x14ac:dyDescent="0.45">
      <c r="A45" s="271">
        <v>7</v>
      </c>
      <c r="B45" s="418" t="s">
        <v>210</v>
      </c>
      <c r="C45" s="27" t="s">
        <v>211</v>
      </c>
      <c r="D45" s="538" t="s">
        <v>753</v>
      </c>
      <c r="E45" s="382"/>
      <c r="F45" s="134">
        <v>10</v>
      </c>
      <c r="G45" s="685"/>
      <c r="H45" s="323"/>
      <c r="I45" s="323"/>
      <c r="J45" s="318"/>
      <c r="K45" s="319"/>
      <c r="L45" s="324">
        <v>20</v>
      </c>
      <c r="M45" s="315">
        <v>10</v>
      </c>
      <c r="N45" s="325">
        <v>20</v>
      </c>
      <c r="O45" s="315">
        <v>10</v>
      </c>
      <c r="P45" s="325">
        <v>20</v>
      </c>
      <c r="Q45" s="315">
        <v>10</v>
      </c>
      <c r="R45" s="322"/>
      <c r="S45" s="322"/>
      <c r="T45" s="322"/>
      <c r="U45" s="322"/>
      <c r="V45" s="325">
        <v>7</v>
      </c>
      <c r="W45" s="315">
        <v>10</v>
      </c>
      <c r="X45" s="325">
        <v>4</v>
      </c>
      <c r="Y45" s="315">
        <v>10</v>
      </c>
      <c r="Z45" s="325">
        <v>2</v>
      </c>
      <c r="AA45" s="315">
        <v>10</v>
      </c>
      <c r="AB45" s="325">
        <v>3</v>
      </c>
      <c r="AC45" s="315">
        <v>10</v>
      </c>
      <c r="AD45" s="325">
        <v>5</v>
      </c>
      <c r="AE45" s="315">
        <v>10</v>
      </c>
      <c r="AF45" s="305"/>
      <c r="AG45" s="37"/>
      <c r="AH45" s="37"/>
      <c r="AI45" s="37"/>
      <c r="AJ45" s="37"/>
      <c r="AK45" s="37"/>
      <c r="AL45" s="37"/>
      <c r="AM45" s="37"/>
      <c r="AN45" s="37"/>
      <c r="AO45" s="37"/>
    </row>
    <row r="46" spans="1:41" s="27" customFormat="1" ht="17.5" customHeight="1" thickBot="1" x14ac:dyDescent="0.5">
      <c r="D46" s="587"/>
      <c r="E46" s="391"/>
      <c r="F46" s="135"/>
      <c r="G46" s="685"/>
      <c r="H46" s="270"/>
      <c r="I46" s="349"/>
      <c r="J46" s="320"/>
      <c r="K46" s="348"/>
      <c r="L46" s="320"/>
      <c r="M46" s="348"/>
      <c r="N46" s="330"/>
      <c r="O46" s="348"/>
      <c r="P46" s="330"/>
      <c r="Q46" s="348"/>
      <c r="R46" s="330"/>
      <c r="S46" s="348"/>
      <c r="T46" s="330"/>
      <c r="U46" s="348"/>
      <c r="V46" s="330"/>
      <c r="W46" s="348"/>
      <c r="X46" s="330"/>
      <c r="Y46" s="348"/>
      <c r="Z46" s="330"/>
      <c r="AA46" s="348"/>
      <c r="AB46" s="330"/>
      <c r="AC46" s="348"/>
      <c r="AD46" s="330"/>
      <c r="AE46" s="348"/>
      <c r="AF46" s="305"/>
      <c r="AG46" s="37"/>
      <c r="AH46" s="37"/>
      <c r="AI46" s="37"/>
      <c r="AJ46" s="37"/>
      <c r="AK46" s="37"/>
      <c r="AL46" s="37"/>
      <c r="AM46" s="37"/>
      <c r="AN46" s="37"/>
      <c r="AO46" s="37"/>
    </row>
    <row r="47" spans="1:41" s="116" customFormat="1" ht="21.75" customHeight="1" thickTop="1" thickBot="1" x14ac:dyDescent="0.5">
      <c r="A47" s="273" t="s">
        <v>379</v>
      </c>
      <c r="B47" s="273">
        <v>7</v>
      </c>
      <c r="D47" s="539"/>
      <c r="E47" s="385"/>
      <c r="F47" s="274">
        <f>SUM(F39:F46)</f>
        <v>61</v>
      </c>
      <c r="G47" s="685"/>
      <c r="H47" s="692"/>
      <c r="I47" s="692"/>
      <c r="J47" s="692"/>
      <c r="K47" s="692"/>
      <c r="L47" s="692"/>
      <c r="M47" s="692"/>
      <c r="N47" s="692"/>
      <c r="O47" s="692"/>
      <c r="P47" s="692"/>
      <c r="Q47" s="692"/>
      <c r="R47" s="692"/>
      <c r="S47" s="692"/>
      <c r="T47" s="692"/>
      <c r="U47" s="692"/>
      <c r="V47" s="692"/>
      <c r="W47" s="692"/>
      <c r="X47" s="692"/>
      <c r="Y47" s="692"/>
      <c r="Z47" s="692"/>
      <c r="AA47" s="692"/>
      <c r="AB47" s="692"/>
      <c r="AC47" s="692"/>
      <c r="AD47" s="692"/>
      <c r="AE47" s="692"/>
      <c r="AF47" s="39"/>
      <c r="AG47" s="37"/>
      <c r="AH47" s="37"/>
      <c r="AI47" s="37"/>
      <c r="AJ47" s="37"/>
      <c r="AK47" s="37"/>
      <c r="AL47" s="37"/>
      <c r="AM47" s="37"/>
      <c r="AN47" s="37"/>
      <c r="AO47" s="37"/>
    </row>
    <row r="48" spans="1:41" s="37" customFormat="1" ht="18" customHeight="1" thickTop="1" thickBot="1" x14ac:dyDescent="0.5">
      <c r="B48" s="662"/>
      <c r="C48" s="662"/>
      <c r="D48" s="662"/>
      <c r="E48" s="662"/>
      <c r="F48" s="662"/>
      <c r="G48" s="685"/>
      <c r="H48" s="665"/>
      <c r="I48" s="665"/>
      <c r="J48" s="665"/>
      <c r="K48" s="665"/>
      <c r="L48" s="665"/>
      <c r="M48" s="665"/>
      <c r="N48" s="665"/>
      <c r="O48" s="665"/>
      <c r="P48" s="665"/>
      <c r="Q48" s="665"/>
      <c r="R48" s="665"/>
      <c r="S48" s="665"/>
      <c r="T48" s="665"/>
      <c r="U48" s="665"/>
      <c r="V48" s="665"/>
      <c r="W48" s="665"/>
      <c r="X48" s="665"/>
      <c r="Y48" s="665"/>
      <c r="Z48" s="665"/>
      <c r="AA48" s="665"/>
      <c r="AB48" s="665"/>
      <c r="AC48" s="665"/>
      <c r="AD48" s="665"/>
      <c r="AE48" s="665"/>
      <c r="AF48" s="39"/>
    </row>
    <row r="49" spans="1:41" s="43" customFormat="1" ht="21.75" customHeight="1" thickTop="1" thickBot="1" x14ac:dyDescent="0.5">
      <c r="A49" s="33" t="s">
        <v>204</v>
      </c>
      <c r="B49" s="687"/>
      <c r="C49" s="687"/>
      <c r="D49" s="687"/>
      <c r="E49" s="687"/>
      <c r="F49" s="687"/>
      <c r="G49" s="685"/>
      <c r="H49" s="666"/>
      <c r="I49" s="666"/>
      <c r="J49" s="666"/>
      <c r="K49" s="666"/>
      <c r="L49" s="666"/>
      <c r="M49" s="666"/>
      <c r="N49" s="666"/>
      <c r="O49" s="666"/>
      <c r="P49" s="666"/>
      <c r="Q49" s="666"/>
      <c r="R49" s="666"/>
      <c r="S49" s="666"/>
      <c r="T49" s="666"/>
      <c r="U49" s="666"/>
      <c r="V49" s="666"/>
      <c r="W49" s="666"/>
      <c r="X49" s="666"/>
      <c r="Y49" s="666"/>
      <c r="Z49" s="666"/>
      <c r="AA49" s="666"/>
      <c r="AB49" s="666"/>
      <c r="AC49" s="666"/>
      <c r="AD49" s="666"/>
      <c r="AE49" s="666"/>
      <c r="AF49" s="39"/>
      <c r="AG49" s="37"/>
      <c r="AH49" s="37"/>
      <c r="AI49" s="37"/>
      <c r="AJ49" s="37"/>
      <c r="AK49" s="37"/>
      <c r="AL49" s="37"/>
      <c r="AM49" s="37"/>
      <c r="AN49" s="37"/>
      <c r="AO49" s="37"/>
    </row>
    <row r="50" spans="1:41" ht="17.5" customHeight="1" thickTop="1" x14ac:dyDescent="0.45">
      <c r="A50" s="28">
        <v>1</v>
      </c>
      <c r="B50" s="1" t="s">
        <v>20</v>
      </c>
      <c r="C50" s="1" t="s">
        <v>36</v>
      </c>
      <c r="D50" s="537" t="s">
        <v>749</v>
      </c>
      <c r="E50" s="393"/>
      <c r="F50" s="74">
        <v>10</v>
      </c>
      <c r="G50" s="685"/>
      <c r="H50" s="318"/>
      <c r="I50" s="319"/>
      <c r="J50" s="341">
        <v>20</v>
      </c>
      <c r="K50" s="315">
        <v>10</v>
      </c>
      <c r="L50" s="320">
        <v>19</v>
      </c>
      <c r="M50" s="315">
        <v>10</v>
      </c>
      <c r="N50" s="330">
        <v>19</v>
      </c>
      <c r="O50" s="315">
        <v>10</v>
      </c>
      <c r="P50" s="360"/>
      <c r="Q50" s="360"/>
      <c r="R50" s="360"/>
      <c r="S50" s="360"/>
      <c r="T50" s="330">
        <v>23</v>
      </c>
      <c r="U50" s="315">
        <v>10</v>
      </c>
      <c r="V50" s="330">
        <v>23</v>
      </c>
      <c r="W50" s="315">
        <v>10</v>
      </c>
      <c r="X50" s="330">
        <v>24</v>
      </c>
      <c r="Y50" s="315">
        <v>10</v>
      </c>
      <c r="Z50" s="330">
        <v>23</v>
      </c>
      <c r="AA50" s="315">
        <v>10</v>
      </c>
      <c r="AB50" s="330">
        <v>23</v>
      </c>
      <c r="AC50" s="315">
        <v>10</v>
      </c>
      <c r="AD50" s="330">
        <v>23</v>
      </c>
      <c r="AE50" s="315">
        <v>10</v>
      </c>
      <c r="AF50" s="305"/>
    </row>
    <row r="51" spans="1:41" s="27" customFormat="1" ht="17.5" customHeight="1" x14ac:dyDescent="0.45">
      <c r="A51" s="1">
        <v>2</v>
      </c>
      <c r="B51" s="27" t="s">
        <v>418</v>
      </c>
      <c r="C51" s="27" t="s">
        <v>419</v>
      </c>
      <c r="D51" s="538" t="s">
        <v>749</v>
      </c>
      <c r="E51" s="387"/>
      <c r="F51" s="74">
        <v>10</v>
      </c>
      <c r="G51" s="685"/>
      <c r="H51" s="394"/>
      <c r="I51" s="362"/>
      <c r="J51" s="318"/>
      <c r="K51" s="362"/>
      <c r="L51" s="394"/>
      <c r="M51" s="362"/>
      <c r="N51" s="318"/>
      <c r="O51" s="362"/>
      <c r="P51" s="394"/>
      <c r="Q51" s="362"/>
      <c r="R51" s="318"/>
      <c r="S51" s="362"/>
      <c r="T51" s="318"/>
      <c r="U51" s="362"/>
      <c r="V51" s="394"/>
      <c r="W51" s="362"/>
      <c r="X51" s="318"/>
      <c r="Y51" s="362"/>
      <c r="Z51" s="330">
        <v>26</v>
      </c>
      <c r="AA51" s="315">
        <v>10</v>
      </c>
      <c r="AB51" s="330">
        <v>9</v>
      </c>
      <c r="AC51" s="315">
        <v>10</v>
      </c>
      <c r="AD51" s="330">
        <v>11</v>
      </c>
      <c r="AE51" s="315">
        <v>10</v>
      </c>
      <c r="AF51" s="305"/>
      <c r="AG51" s="37"/>
      <c r="AH51" s="37"/>
      <c r="AI51" s="37"/>
      <c r="AJ51" s="37"/>
      <c r="AK51" s="37"/>
      <c r="AL51" s="37"/>
      <c r="AM51" s="37"/>
      <c r="AN51" s="37"/>
      <c r="AO51" s="37"/>
    </row>
    <row r="52" spans="1:41" s="27" customFormat="1" ht="17.5" customHeight="1" x14ac:dyDescent="0.45">
      <c r="A52" s="1">
        <v>3</v>
      </c>
      <c r="B52" s="27" t="s">
        <v>440</v>
      </c>
      <c r="C52" s="27" t="s">
        <v>441</v>
      </c>
      <c r="D52" s="538" t="s">
        <v>749</v>
      </c>
      <c r="E52" s="387"/>
      <c r="F52" s="74">
        <v>10</v>
      </c>
      <c r="G52" s="685"/>
      <c r="H52" s="394"/>
      <c r="I52" s="362"/>
      <c r="J52" s="318"/>
      <c r="K52" s="362"/>
      <c r="L52" s="394"/>
      <c r="M52" s="362"/>
      <c r="N52" s="318"/>
      <c r="O52" s="362"/>
      <c r="P52" s="394"/>
      <c r="Q52" s="362"/>
      <c r="R52" s="318"/>
      <c r="S52" s="362"/>
      <c r="T52" s="318"/>
      <c r="U52" s="362"/>
      <c r="V52" s="394"/>
      <c r="W52" s="362"/>
      <c r="X52" s="318"/>
      <c r="Y52" s="362"/>
      <c r="Z52" s="318"/>
      <c r="AA52" s="362"/>
      <c r="AB52" s="330">
        <v>5</v>
      </c>
      <c r="AC52" s="315">
        <v>10</v>
      </c>
      <c r="AD52" s="330">
        <v>5</v>
      </c>
      <c r="AE52" s="315">
        <v>10</v>
      </c>
      <c r="AF52" s="305"/>
      <c r="AG52" s="37"/>
      <c r="AH52" s="37"/>
      <c r="AI52" s="37"/>
      <c r="AJ52" s="37"/>
      <c r="AK52" s="37"/>
      <c r="AL52" s="37"/>
      <c r="AM52" s="37"/>
      <c r="AN52" s="37"/>
      <c r="AO52" s="37"/>
    </row>
    <row r="53" spans="1:41" s="27" customFormat="1" ht="17.5" customHeight="1" x14ac:dyDescent="0.45">
      <c r="A53" s="1">
        <v>4</v>
      </c>
      <c r="B53" s="27" t="s">
        <v>384</v>
      </c>
      <c r="C53" s="27" t="s">
        <v>419</v>
      </c>
      <c r="D53" s="538" t="s">
        <v>749</v>
      </c>
      <c r="E53" s="387"/>
      <c r="F53" s="74">
        <v>10</v>
      </c>
      <c r="G53" s="685"/>
      <c r="H53" s="394"/>
      <c r="I53" s="362"/>
      <c r="J53" s="318"/>
      <c r="K53" s="362"/>
      <c r="L53" s="394"/>
      <c r="M53" s="362"/>
      <c r="N53" s="318"/>
      <c r="O53" s="362"/>
      <c r="P53" s="394"/>
      <c r="Q53" s="362"/>
      <c r="R53" s="318"/>
      <c r="S53" s="362"/>
      <c r="T53" s="318"/>
      <c r="U53" s="362"/>
      <c r="V53" s="394"/>
      <c r="W53" s="362"/>
      <c r="X53" s="318"/>
      <c r="Y53" s="362"/>
      <c r="Z53" s="318"/>
      <c r="AA53" s="362"/>
      <c r="AB53" s="330">
        <v>4</v>
      </c>
      <c r="AC53" s="315">
        <v>10</v>
      </c>
      <c r="AD53" s="330">
        <v>11</v>
      </c>
      <c r="AE53" s="315">
        <v>10</v>
      </c>
      <c r="AF53" s="305"/>
      <c r="AG53" s="37"/>
      <c r="AH53" s="37"/>
      <c r="AI53" s="37"/>
      <c r="AJ53" s="37"/>
      <c r="AK53" s="37"/>
      <c r="AL53" s="37"/>
      <c r="AM53" s="37"/>
      <c r="AN53" s="37"/>
      <c r="AO53" s="37"/>
    </row>
    <row r="54" spans="1:41" s="27" customFormat="1" ht="17.5" customHeight="1" x14ac:dyDescent="0.45">
      <c r="A54" s="36">
        <v>5</v>
      </c>
      <c r="B54" s="27" t="s">
        <v>74</v>
      </c>
      <c r="C54" s="1" t="s">
        <v>75</v>
      </c>
      <c r="D54" s="538" t="s">
        <v>749</v>
      </c>
      <c r="E54" s="387"/>
      <c r="F54" s="127">
        <v>10</v>
      </c>
      <c r="G54" s="685"/>
      <c r="H54" s="337"/>
      <c r="I54" s="362"/>
      <c r="J54" s="337"/>
      <c r="K54" s="362"/>
      <c r="L54" s="337"/>
      <c r="M54" s="362"/>
      <c r="N54" s="337"/>
      <c r="O54" s="362"/>
      <c r="P54" s="337"/>
      <c r="Q54" s="362"/>
      <c r="R54" s="337"/>
      <c r="S54" s="362"/>
      <c r="T54" s="337"/>
      <c r="U54" s="362"/>
      <c r="V54" s="337"/>
      <c r="W54" s="362"/>
      <c r="X54" s="337"/>
      <c r="Y54" s="362"/>
      <c r="Z54" s="337"/>
      <c r="AA54" s="362"/>
      <c r="AB54" s="330"/>
      <c r="AC54" s="315"/>
      <c r="AD54" s="330">
        <v>18</v>
      </c>
      <c r="AE54" s="315">
        <v>10</v>
      </c>
      <c r="AF54" s="305"/>
      <c r="AG54" s="37"/>
      <c r="AH54" s="37"/>
      <c r="AI54" s="37"/>
      <c r="AJ54" s="37"/>
      <c r="AK54" s="37"/>
      <c r="AL54" s="37"/>
      <c r="AM54" s="37"/>
      <c r="AN54" s="37"/>
      <c r="AO54" s="37"/>
    </row>
    <row r="55" spans="1:41" s="27" customFormat="1" ht="17.5" customHeight="1" thickBot="1" x14ac:dyDescent="0.5">
      <c r="B55" s="293"/>
      <c r="C55" s="293"/>
      <c r="D55" s="540"/>
      <c r="E55" s="387"/>
      <c r="F55" s="76"/>
      <c r="G55" s="685"/>
      <c r="H55" s="320"/>
      <c r="I55" s="348"/>
      <c r="J55" s="320"/>
      <c r="K55" s="348"/>
      <c r="L55" s="320"/>
      <c r="M55" s="348"/>
      <c r="N55" s="330"/>
      <c r="O55" s="348"/>
      <c r="P55" s="330"/>
      <c r="Q55" s="348"/>
      <c r="R55" s="320"/>
      <c r="S55" s="348"/>
      <c r="T55" s="320"/>
      <c r="U55" s="348"/>
      <c r="V55" s="330"/>
      <c r="W55" s="348"/>
      <c r="X55" s="330"/>
      <c r="Y55" s="348"/>
      <c r="Z55" s="330"/>
      <c r="AA55" s="348"/>
      <c r="AB55" s="330"/>
      <c r="AC55" s="348"/>
      <c r="AD55" s="330"/>
      <c r="AE55" s="348"/>
      <c r="AF55" s="305"/>
      <c r="AG55" s="37"/>
      <c r="AH55" s="37"/>
      <c r="AI55" s="37"/>
      <c r="AJ55" s="37"/>
      <c r="AK55" s="37"/>
      <c r="AL55" s="37"/>
      <c r="AM55" s="37"/>
      <c r="AN55" s="37"/>
      <c r="AO55" s="37"/>
    </row>
    <row r="56" spans="1:41" s="116" customFormat="1" ht="21.75" customHeight="1" thickTop="1" thickBot="1" x14ac:dyDescent="0.5">
      <c r="A56" s="273" t="s">
        <v>379</v>
      </c>
      <c r="B56" s="273">
        <v>5</v>
      </c>
      <c r="D56" s="539"/>
      <c r="E56" s="385"/>
      <c r="F56" s="274">
        <f>SUM(F50:F55)</f>
        <v>50</v>
      </c>
      <c r="G56" s="685"/>
      <c r="H56" s="692"/>
      <c r="I56" s="692"/>
      <c r="J56" s="692"/>
      <c r="K56" s="692"/>
      <c r="L56" s="692"/>
      <c r="M56" s="692"/>
      <c r="N56" s="692"/>
      <c r="O56" s="692"/>
      <c r="P56" s="692"/>
      <c r="Q56" s="692"/>
      <c r="R56" s="692"/>
      <c r="S56" s="692"/>
      <c r="T56" s="692"/>
      <c r="U56" s="692"/>
      <c r="V56" s="692"/>
      <c r="W56" s="692"/>
      <c r="X56" s="692"/>
      <c r="Y56" s="692"/>
      <c r="Z56" s="692"/>
      <c r="AA56" s="692"/>
      <c r="AB56" s="692"/>
      <c r="AC56" s="692"/>
      <c r="AD56" s="692"/>
      <c r="AE56" s="692"/>
      <c r="AF56" s="39"/>
      <c r="AG56" s="37"/>
      <c r="AH56" s="37"/>
      <c r="AI56" s="37"/>
      <c r="AJ56" s="37"/>
      <c r="AK56" s="37"/>
      <c r="AL56" s="37"/>
      <c r="AM56" s="37"/>
      <c r="AN56" s="37"/>
      <c r="AO56" s="37"/>
    </row>
    <row r="57" spans="1:41" s="37" customFormat="1" ht="18" customHeight="1" thickTop="1" thickBot="1" x14ac:dyDescent="0.5">
      <c r="B57" s="662"/>
      <c r="C57" s="662"/>
      <c r="D57" s="662"/>
      <c r="E57" s="662"/>
      <c r="F57" s="662"/>
      <c r="G57" s="685"/>
      <c r="H57" s="665"/>
      <c r="I57" s="665"/>
      <c r="J57" s="665"/>
      <c r="K57" s="665"/>
      <c r="L57" s="665"/>
      <c r="M57" s="665"/>
      <c r="N57" s="665"/>
      <c r="O57" s="665"/>
      <c r="P57" s="665"/>
      <c r="Q57" s="665"/>
      <c r="R57" s="665"/>
      <c r="S57" s="665"/>
      <c r="T57" s="665"/>
      <c r="U57" s="665"/>
      <c r="V57" s="665"/>
      <c r="W57" s="665"/>
      <c r="X57" s="665"/>
      <c r="Y57" s="665"/>
      <c r="Z57" s="665"/>
      <c r="AA57" s="665"/>
      <c r="AB57" s="665"/>
      <c r="AC57" s="665"/>
      <c r="AD57" s="665"/>
      <c r="AE57" s="665"/>
      <c r="AF57" s="39"/>
    </row>
    <row r="58" spans="1:41" s="117" customFormat="1" ht="21.75" customHeight="1" thickTop="1" thickBot="1" x14ac:dyDescent="0.5">
      <c r="A58" s="131" t="s">
        <v>167</v>
      </c>
      <c r="B58" s="701"/>
      <c r="C58" s="701"/>
      <c r="D58" s="701"/>
      <c r="E58" s="701"/>
      <c r="F58" s="701"/>
      <c r="G58" s="685"/>
      <c r="H58" s="693"/>
      <c r="I58" s="693"/>
      <c r="J58" s="693"/>
      <c r="K58" s="693"/>
      <c r="L58" s="693"/>
      <c r="M58" s="693"/>
      <c r="N58" s="693"/>
      <c r="O58" s="693"/>
      <c r="P58" s="693"/>
      <c r="Q58" s="693"/>
      <c r="R58" s="693"/>
      <c r="S58" s="693"/>
      <c r="T58" s="693"/>
      <c r="U58" s="693"/>
      <c r="V58" s="693"/>
      <c r="W58" s="693"/>
      <c r="X58" s="693"/>
      <c r="Y58" s="693"/>
      <c r="Z58" s="693"/>
      <c r="AA58" s="693"/>
      <c r="AB58" s="693"/>
      <c r="AC58" s="693"/>
      <c r="AD58" s="693"/>
      <c r="AE58" s="693"/>
      <c r="AF58" s="39"/>
      <c r="AG58" s="37"/>
      <c r="AH58" s="37"/>
      <c r="AI58" s="37"/>
      <c r="AJ58" s="37"/>
      <c r="AK58" s="37"/>
      <c r="AL58" s="37"/>
      <c r="AM58" s="37"/>
      <c r="AN58" s="37"/>
      <c r="AO58" s="37"/>
    </row>
    <row r="59" spans="1:41" ht="18" thickTop="1" x14ac:dyDescent="0.45">
      <c r="B59" s="376"/>
      <c r="C59" s="376"/>
      <c r="D59" s="582"/>
      <c r="E59" s="389"/>
      <c r="F59" s="377"/>
      <c r="G59" s="36"/>
      <c r="H59" s="338"/>
      <c r="I59" s="339"/>
      <c r="J59" s="338"/>
      <c r="K59" s="339"/>
      <c r="L59" s="338"/>
      <c r="M59" s="339"/>
      <c r="N59" s="338"/>
      <c r="O59" s="339"/>
      <c r="P59" s="338"/>
      <c r="Q59" s="339"/>
      <c r="R59" s="338"/>
      <c r="S59" s="339"/>
      <c r="T59" s="338"/>
      <c r="U59" s="339"/>
      <c r="V59" s="338"/>
      <c r="W59" s="339"/>
      <c r="X59" s="338"/>
      <c r="Y59" s="339"/>
      <c r="Z59" s="338"/>
      <c r="AA59" s="339"/>
      <c r="AB59" s="338"/>
      <c r="AC59" s="339"/>
      <c r="AD59" s="338"/>
      <c r="AE59" s="339"/>
    </row>
    <row r="60" spans="1:41" s="27" customFormat="1" ht="17.5" customHeight="1" x14ac:dyDescent="0.45">
      <c r="A60" s="1"/>
      <c r="B60" s="27" t="s">
        <v>11</v>
      </c>
      <c r="C60" s="27" t="s">
        <v>33</v>
      </c>
      <c r="D60" s="538" t="s">
        <v>752</v>
      </c>
      <c r="E60" s="387"/>
      <c r="F60" s="74">
        <v>20</v>
      </c>
      <c r="G60" s="35"/>
      <c r="H60" s="320">
        <v>31</v>
      </c>
      <c r="I60" s="348">
        <v>20</v>
      </c>
      <c r="J60" s="320">
        <v>28</v>
      </c>
      <c r="K60" s="348">
        <v>10</v>
      </c>
      <c r="L60" s="320">
        <v>27</v>
      </c>
      <c r="M60" s="348">
        <v>10</v>
      </c>
      <c r="N60" s="318"/>
      <c r="O60" s="319"/>
      <c r="P60" s="318"/>
      <c r="Q60" s="319"/>
      <c r="R60" s="318"/>
      <c r="S60" s="319"/>
      <c r="T60" s="318"/>
      <c r="U60" s="362"/>
      <c r="V60" s="394"/>
      <c r="W60" s="362"/>
      <c r="X60" s="318"/>
      <c r="Y60" s="362"/>
      <c r="Z60" s="318"/>
      <c r="AA60" s="362"/>
      <c r="AB60" s="318"/>
      <c r="AC60" s="362"/>
      <c r="AD60" s="318"/>
      <c r="AE60" s="362"/>
      <c r="AF60" s="305"/>
      <c r="AG60" s="37"/>
      <c r="AH60" s="37"/>
      <c r="AI60" s="37"/>
      <c r="AJ60" s="37"/>
      <c r="AK60" s="37"/>
      <c r="AL60" s="37"/>
      <c r="AM60" s="37"/>
      <c r="AN60" s="37"/>
      <c r="AO60" s="37"/>
    </row>
    <row r="61" spans="1:41" s="27" customFormat="1" ht="17.5" customHeight="1" x14ac:dyDescent="0.45">
      <c r="A61" s="1"/>
      <c r="B61" s="27" t="s">
        <v>26</v>
      </c>
      <c r="C61" s="270" t="s">
        <v>35</v>
      </c>
      <c r="D61" s="538" t="s">
        <v>752</v>
      </c>
      <c r="E61" s="387"/>
      <c r="F61" s="74">
        <v>15</v>
      </c>
      <c r="G61" s="35"/>
      <c r="H61" s="320">
        <v>18</v>
      </c>
      <c r="I61" s="348">
        <v>15</v>
      </c>
      <c r="J61" s="320">
        <v>15</v>
      </c>
      <c r="K61" s="348">
        <v>15</v>
      </c>
      <c r="L61" s="320">
        <v>14</v>
      </c>
      <c r="M61" s="348">
        <v>15</v>
      </c>
      <c r="N61" s="318"/>
      <c r="O61" s="319"/>
      <c r="P61" s="318"/>
      <c r="Q61" s="319"/>
      <c r="R61" s="318"/>
      <c r="S61" s="319"/>
      <c r="T61" s="318"/>
      <c r="U61" s="362"/>
      <c r="V61" s="394"/>
      <c r="W61" s="362"/>
      <c r="X61" s="318"/>
      <c r="Y61" s="362"/>
      <c r="Z61" s="318"/>
      <c r="AA61" s="362"/>
      <c r="AB61" s="318"/>
      <c r="AC61" s="362"/>
      <c r="AD61" s="318"/>
      <c r="AE61" s="362"/>
      <c r="AF61" s="305"/>
      <c r="AG61" s="37"/>
      <c r="AH61" s="37"/>
      <c r="AI61" s="37"/>
      <c r="AJ61" s="37"/>
      <c r="AK61" s="37"/>
      <c r="AL61" s="37"/>
      <c r="AM61" s="37"/>
      <c r="AN61" s="37"/>
      <c r="AO61" s="37"/>
    </row>
    <row r="62" spans="1:41" s="27" customFormat="1" ht="17.5" customHeight="1" x14ac:dyDescent="0.45">
      <c r="A62" s="1"/>
      <c r="B62" s="27" t="s">
        <v>8</v>
      </c>
      <c r="C62" s="26" t="s">
        <v>31</v>
      </c>
      <c r="D62" s="537" t="s">
        <v>752</v>
      </c>
      <c r="E62" s="387"/>
      <c r="F62" s="74">
        <v>24</v>
      </c>
      <c r="G62" s="35"/>
      <c r="H62" s="320">
        <v>28</v>
      </c>
      <c r="I62" s="348">
        <v>24</v>
      </c>
      <c r="J62" s="320">
        <v>25</v>
      </c>
      <c r="K62" s="348">
        <v>24</v>
      </c>
      <c r="L62" s="320">
        <v>24</v>
      </c>
      <c r="M62" s="348">
        <v>24</v>
      </c>
      <c r="N62" s="330">
        <v>21</v>
      </c>
      <c r="O62" s="348">
        <v>24</v>
      </c>
      <c r="P62" s="318"/>
      <c r="Q62" s="319"/>
      <c r="R62" s="318"/>
      <c r="S62" s="319"/>
      <c r="T62" s="318"/>
      <c r="U62" s="319"/>
      <c r="V62" s="318"/>
      <c r="W62" s="362"/>
      <c r="X62" s="394"/>
      <c r="Y62" s="362"/>
      <c r="Z62" s="318"/>
      <c r="AA62" s="362"/>
      <c r="AB62" s="318"/>
      <c r="AC62" s="362"/>
      <c r="AD62" s="318"/>
      <c r="AE62" s="362"/>
      <c r="AF62" s="305"/>
      <c r="AG62" s="37"/>
      <c r="AH62" s="37"/>
      <c r="AI62" s="37"/>
      <c r="AJ62" s="37"/>
      <c r="AK62" s="37"/>
      <c r="AL62" s="37"/>
      <c r="AM62" s="37"/>
      <c r="AN62" s="37"/>
      <c r="AO62" s="37"/>
    </row>
    <row r="63" spans="1:41" s="27" customFormat="1" ht="17.5" customHeight="1" x14ac:dyDescent="0.45">
      <c r="A63" s="1"/>
      <c r="B63" s="1" t="s">
        <v>28</v>
      </c>
      <c r="C63" s="270" t="s">
        <v>37</v>
      </c>
      <c r="D63" s="537" t="s">
        <v>752</v>
      </c>
      <c r="E63" s="387"/>
      <c r="F63" s="74">
        <v>18</v>
      </c>
      <c r="G63" s="35"/>
      <c r="H63" s="320">
        <v>4</v>
      </c>
      <c r="I63" s="348">
        <v>18</v>
      </c>
      <c r="J63" s="320">
        <v>1</v>
      </c>
      <c r="K63" s="348">
        <v>18</v>
      </c>
      <c r="L63" s="320">
        <v>29</v>
      </c>
      <c r="M63" s="348">
        <v>18</v>
      </c>
      <c r="N63" s="330">
        <v>28</v>
      </c>
      <c r="O63" s="348">
        <v>18</v>
      </c>
      <c r="P63" s="330">
        <v>25</v>
      </c>
      <c r="Q63" s="348">
        <v>18</v>
      </c>
      <c r="R63" s="318"/>
      <c r="S63" s="319"/>
      <c r="T63" s="318"/>
      <c r="U63" s="319"/>
      <c r="V63" s="318"/>
      <c r="W63" s="319"/>
      <c r="X63" s="318"/>
      <c r="Y63" s="362"/>
      <c r="Z63" s="394"/>
      <c r="AA63" s="362"/>
      <c r="AB63" s="318"/>
      <c r="AC63" s="362"/>
      <c r="AD63" s="318"/>
      <c r="AE63" s="362"/>
      <c r="AF63" s="305"/>
      <c r="AG63" s="37"/>
      <c r="AH63" s="37"/>
      <c r="AI63" s="37"/>
      <c r="AJ63" s="37"/>
      <c r="AK63" s="37"/>
      <c r="AL63" s="37"/>
      <c r="AM63" s="37"/>
      <c r="AN63" s="37"/>
      <c r="AO63" s="37"/>
    </row>
    <row r="64" spans="1:41" ht="17.5" customHeight="1" x14ac:dyDescent="0.45">
      <c r="A64" s="1" t="s">
        <v>296</v>
      </c>
      <c r="B64" s="417" t="s">
        <v>203</v>
      </c>
      <c r="C64" s="28" t="s">
        <v>108</v>
      </c>
      <c r="D64" s="596" t="s">
        <v>752</v>
      </c>
      <c r="E64" s="387"/>
      <c r="F64" s="110">
        <v>40</v>
      </c>
      <c r="G64" s="35"/>
      <c r="H64" s="316">
        <v>4</v>
      </c>
      <c r="I64" s="314">
        <v>40</v>
      </c>
      <c r="J64" s="316">
        <v>19</v>
      </c>
      <c r="K64" s="315">
        <v>80</v>
      </c>
      <c r="L64" s="335"/>
      <c r="M64" s="322"/>
      <c r="N64" s="313">
        <v>26</v>
      </c>
      <c r="O64" s="315">
        <v>80</v>
      </c>
      <c r="P64" s="335"/>
      <c r="Q64" s="322"/>
      <c r="R64" s="335"/>
      <c r="S64" s="322"/>
      <c r="T64" s="335"/>
      <c r="U64" s="322"/>
      <c r="V64" s="318"/>
      <c r="W64" s="319"/>
      <c r="X64" s="318"/>
      <c r="Y64" s="319"/>
      <c r="Z64" s="318"/>
      <c r="AA64" s="319"/>
      <c r="AB64" s="318"/>
      <c r="AC64" s="319"/>
      <c r="AD64" s="318"/>
      <c r="AE64" s="319"/>
      <c r="AF64" s="305"/>
    </row>
    <row r="65" spans="1:41" ht="17.5" x14ac:dyDescent="0.45">
      <c r="B65" s="419" t="s">
        <v>138</v>
      </c>
      <c r="C65" s="124" t="s">
        <v>139</v>
      </c>
      <c r="D65" s="596" t="s">
        <v>752</v>
      </c>
      <c r="E65" s="381"/>
      <c r="F65" s="74">
        <v>20</v>
      </c>
      <c r="G65" s="35"/>
      <c r="H65" s="340">
        <v>5</v>
      </c>
      <c r="I65" s="314">
        <v>20</v>
      </c>
      <c r="J65" s="318"/>
      <c r="K65" s="319"/>
      <c r="L65" s="318"/>
      <c r="M65" s="319"/>
      <c r="N65" s="318"/>
      <c r="O65" s="319"/>
      <c r="P65" s="318"/>
      <c r="Q65" s="319"/>
      <c r="R65" s="318"/>
      <c r="S65" s="319"/>
      <c r="T65" s="318"/>
      <c r="U65" s="319"/>
      <c r="V65" s="318"/>
      <c r="W65" s="319"/>
      <c r="X65" s="318"/>
      <c r="Y65" s="319"/>
      <c r="Z65" s="318"/>
      <c r="AA65" s="319"/>
      <c r="AB65" s="318"/>
      <c r="AC65" s="319"/>
      <c r="AD65" s="318"/>
      <c r="AE65" s="319"/>
      <c r="AF65" s="305"/>
    </row>
    <row r="66" spans="1:41" ht="17.5" customHeight="1" x14ac:dyDescent="0.45">
      <c r="A66" s="1">
        <v>4</v>
      </c>
      <c r="B66" s="1" t="s">
        <v>132</v>
      </c>
      <c r="C66" s="1" t="s">
        <v>133</v>
      </c>
      <c r="D66" s="596" t="s">
        <v>749</v>
      </c>
      <c r="E66" s="381"/>
      <c r="F66" s="74">
        <v>15</v>
      </c>
      <c r="G66" s="35"/>
      <c r="H66" s="320">
        <v>11</v>
      </c>
      <c r="I66" s="314">
        <v>15</v>
      </c>
      <c r="J66" s="320">
        <v>21</v>
      </c>
      <c r="K66" s="315">
        <v>15</v>
      </c>
      <c r="L66" s="326">
        <v>14</v>
      </c>
      <c r="M66" s="331"/>
      <c r="N66" s="320">
        <v>20</v>
      </c>
      <c r="O66" s="315">
        <v>30</v>
      </c>
      <c r="P66" s="320">
        <v>21</v>
      </c>
      <c r="Q66" s="315">
        <v>15</v>
      </c>
      <c r="R66" s="320">
        <v>21</v>
      </c>
      <c r="S66" s="315">
        <v>15</v>
      </c>
      <c r="T66" s="322"/>
      <c r="U66" s="322"/>
      <c r="V66" s="318"/>
      <c r="W66" s="319"/>
      <c r="X66" s="318"/>
      <c r="Y66" s="319"/>
      <c r="Z66" s="318"/>
      <c r="AA66" s="319"/>
      <c r="AB66" s="318"/>
      <c r="AC66" s="319"/>
      <c r="AD66" s="318"/>
      <c r="AE66" s="319"/>
      <c r="AF66" s="305"/>
    </row>
    <row r="67" spans="1:41" ht="17.5" customHeight="1" x14ac:dyDescent="0.45">
      <c r="A67" s="1">
        <v>12</v>
      </c>
      <c r="B67" s="123" t="s">
        <v>389</v>
      </c>
      <c r="C67" s="124" t="s">
        <v>56</v>
      </c>
      <c r="D67" s="587" t="s">
        <v>749</v>
      </c>
      <c r="E67" s="383"/>
      <c r="F67" s="134">
        <v>15</v>
      </c>
      <c r="G67" s="35"/>
      <c r="H67" s="320">
        <v>11</v>
      </c>
      <c r="I67" s="314">
        <v>20</v>
      </c>
      <c r="J67" s="320">
        <v>4</v>
      </c>
      <c r="K67" s="315">
        <v>20</v>
      </c>
      <c r="L67" s="320">
        <v>29</v>
      </c>
      <c r="M67" s="315">
        <v>20</v>
      </c>
      <c r="N67" s="320">
        <v>28</v>
      </c>
      <c r="O67" s="315">
        <v>20</v>
      </c>
      <c r="P67" s="320">
        <v>25</v>
      </c>
      <c r="Q67" s="315">
        <v>20</v>
      </c>
      <c r="R67" s="318"/>
      <c r="S67" s="319"/>
      <c r="T67" s="318"/>
      <c r="U67" s="319"/>
      <c r="V67" s="320">
        <v>12</v>
      </c>
      <c r="W67" s="315">
        <v>30</v>
      </c>
      <c r="X67" s="322"/>
      <c r="Y67" s="322"/>
      <c r="Z67" s="320">
        <v>10</v>
      </c>
      <c r="AA67" s="315">
        <v>30</v>
      </c>
      <c r="AB67" s="322"/>
      <c r="AC67" s="322"/>
      <c r="AD67" s="318"/>
      <c r="AE67" s="319"/>
      <c r="AF67" s="305"/>
    </row>
    <row r="68" spans="1:41" ht="17.5" customHeight="1" x14ac:dyDescent="0.45">
      <c r="B68" s="1" t="s">
        <v>134</v>
      </c>
      <c r="C68" s="1" t="s">
        <v>30</v>
      </c>
      <c r="D68" s="537" t="s">
        <v>749</v>
      </c>
      <c r="E68" s="399"/>
      <c r="F68" s="74">
        <v>15</v>
      </c>
      <c r="G68" s="35"/>
      <c r="H68" s="320">
        <v>17</v>
      </c>
      <c r="I68" s="314">
        <v>15</v>
      </c>
      <c r="J68" s="320">
        <v>2</v>
      </c>
      <c r="K68" s="315">
        <v>15</v>
      </c>
      <c r="L68" s="320">
        <v>2</v>
      </c>
      <c r="M68" s="315">
        <v>15</v>
      </c>
      <c r="N68" s="320">
        <v>1</v>
      </c>
      <c r="O68" s="315">
        <v>15</v>
      </c>
      <c r="P68" s="320">
        <v>7</v>
      </c>
      <c r="Q68" s="315">
        <v>15</v>
      </c>
      <c r="R68" s="320">
        <v>11</v>
      </c>
      <c r="S68" s="315">
        <v>15</v>
      </c>
      <c r="T68" s="320">
        <v>1</v>
      </c>
      <c r="U68" s="315">
        <v>15</v>
      </c>
      <c r="V68" s="320">
        <v>1</v>
      </c>
      <c r="W68" s="315">
        <v>15</v>
      </c>
      <c r="X68" s="320">
        <v>2</v>
      </c>
      <c r="Y68" s="315">
        <v>15</v>
      </c>
      <c r="Z68" s="320">
        <v>25</v>
      </c>
      <c r="AA68" s="315">
        <v>15</v>
      </c>
      <c r="AB68" s="320">
        <v>4</v>
      </c>
      <c r="AC68" s="315">
        <v>15</v>
      </c>
      <c r="AD68" s="318"/>
      <c r="AE68" s="319"/>
      <c r="AF68" s="305"/>
    </row>
    <row r="69" spans="1:41" ht="17.5" customHeight="1" x14ac:dyDescent="0.45">
      <c r="A69" s="28"/>
      <c r="B69" s="417" t="s">
        <v>157</v>
      </c>
      <c r="C69" s="1" t="s">
        <v>158</v>
      </c>
      <c r="D69" s="596" t="s">
        <v>752</v>
      </c>
      <c r="E69" s="381"/>
      <c r="F69" s="74">
        <v>10</v>
      </c>
      <c r="G69" s="153"/>
      <c r="H69" s="320">
        <v>18</v>
      </c>
      <c r="I69" s="315">
        <v>20</v>
      </c>
      <c r="J69" s="318"/>
      <c r="K69" s="319"/>
      <c r="L69" s="318"/>
      <c r="M69" s="319"/>
      <c r="N69" s="318"/>
      <c r="O69" s="319"/>
      <c r="P69" s="318"/>
      <c r="Q69" s="319"/>
      <c r="R69" s="318"/>
      <c r="S69" s="319"/>
      <c r="T69" s="318"/>
      <c r="U69" s="319"/>
      <c r="V69" s="318"/>
      <c r="W69" s="319"/>
      <c r="X69" s="318"/>
      <c r="Y69" s="319"/>
      <c r="Z69" s="318"/>
      <c r="AA69" s="319"/>
      <c r="AB69" s="318"/>
      <c r="AC69" s="319"/>
      <c r="AD69" s="318"/>
      <c r="AE69" s="319"/>
      <c r="AF69" s="305"/>
    </row>
    <row r="70" spans="1:41" ht="17.5" customHeight="1" x14ac:dyDescent="0.45">
      <c r="B70" s="1" t="s">
        <v>1</v>
      </c>
      <c r="C70" s="1" t="s">
        <v>30</v>
      </c>
      <c r="D70" s="537" t="s">
        <v>749</v>
      </c>
      <c r="E70" s="399"/>
      <c r="F70" s="74">
        <v>15</v>
      </c>
      <c r="G70" s="35"/>
      <c r="H70" s="320">
        <v>19</v>
      </c>
      <c r="I70" s="314">
        <v>15</v>
      </c>
      <c r="J70" s="320">
        <v>27</v>
      </c>
      <c r="K70" s="315">
        <v>15</v>
      </c>
      <c r="L70" s="320">
        <v>20</v>
      </c>
      <c r="M70" s="315">
        <v>15</v>
      </c>
      <c r="N70" s="320">
        <v>23</v>
      </c>
      <c r="O70" s="315">
        <v>15</v>
      </c>
      <c r="P70" s="320">
        <v>21</v>
      </c>
      <c r="Q70" s="315">
        <v>15</v>
      </c>
      <c r="R70" s="320">
        <v>25</v>
      </c>
      <c r="S70" s="315">
        <v>15</v>
      </c>
      <c r="T70" s="320">
        <v>22</v>
      </c>
      <c r="U70" s="315">
        <v>15</v>
      </c>
      <c r="V70" s="320">
        <v>22</v>
      </c>
      <c r="W70" s="315">
        <v>15</v>
      </c>
      <c r="X70" s="320">
        <v>20</v>
      </c>
      <c r="Y70" s="315">
        <v>15</v>
      </c>
      <c r="Z70" s="320">
        <v>21</v>
      </c>
      <c r="AA70" s="315">
        <v>15</v>
      </c>
      <c r="AB70" s="318"/>
      <c r="AC70" s="319"/>
      <c r="AD70" s="318"/>
      <c r="AE70" s="319"/>
      <c r="AF70" s="305"/>
    </row>
    <row r="71" spans="1:41" ht="17.5" customHeight="1" x14ac:dyDescent="0.45">
      <c r="A71" s="270">
        <v>4</v>
      </c>
      <c r="B71" s="418" t="s">
        <v>159</v>
      </c>
      <c r="C71" s="27" t="s">
        <v>160</v>
      </c>
      <c r="D71" s="596" t="s">
        <v>752</v>
      </c>
      <c r="E71" s="382"/>
      <c r="F71" s="75">
        <v>10</v>
      </c>
      <c r="G71" s="35"/>
      <c r="H71" s="325">
        <v>25</v>
      </c>
      <c r="I71" s="315">
        <v>10</v>
      </c>
      <c r="J71" s="320">
        <v>28</v>
      </c>
      <c r="K71" s="315">
        <v>10</v>
      </c>
      <c r="L71" s="320">
        <v>31</v>
      </c>
      <c r="M71" s="315">
        <v>10</v>
      </c>
      <c r="N71" s="335"/>
      <c r="O71" s="322"/>
      <c r="P71" s="322"/>
      <c r="Q71" s="322"/>
      <c r="R71" s="330">
        <v>12</v>
      </c>
      <c r="S71" s="315">
        <v>10</v>
      </c>
      <c r="T71" s="360"/>
      <c r="U71" s="360"/>
      <c r="V71" s="318"/>
      <c r="W71" s="319"/>
      <c r="X71" s="318"/>
      <c r="Y71" s="319"/>
      <c r="Z71" s="318"/>
      <c r="AA71" s="319"/>
      <c r="AB71" s="318"/>
      <c r="AC71" s="319"/>
      <c r="AD71" s="318"/>
      <c r="AE71" s="319"/>
      <c r="AF71" s="305"/>
    </row>
    <row r="72" spans="1:41" ht="17.5" customHeight="1" x14ac:dyDescent="0.45">
      <c r="A72" s="270">
        <v>5</v>
      </c>
      <c r="B72" s="417" t="s">
        <v>163</v>
      </c>
      <c r="C72" s="1" t="s">
        <v>131</v>
      </c>
      <c r="D72" s="596" t="s">
        <v>752</v>
      </c>
      <c r="E72" s="381"/>
      <c r="F72" s="74">
        <v>10</v>
      </c>
      <c r="G72" s="35"/>
      <c r="H72" s="336">
        <v>28</v>
      </c>
      <c r="I72" s="315">
        <v>10</v>
      </c>
      <c r="J72" s="320">
        <v>6</v>
      </c>
      <c r="K72" s="315">
        <v>10</v>
      </c>
      <c r="L72" s="320">
        <v>6</v>
      </c>
      <c r="M72" s="315">
        <v>10</v>
      </c>
      <c r="N72" s="330">
        <v>1</v>
      </c>
      <c r="O72" s="315">
        <v>10</v>
      </c>
      <c r="P72" s="330">
        <v>1</v>
      </c>
      <c r="Q72" s="315">
        <v>10</v>
      </c>
      <c r="R72" s="322"/>
      <c r="S72" s="322"/>
      <c r="T72" s="318"/>
      <c r="U72" s="319"/>
      <c r="V72" s="318"/>
      <c r="W72" s="319"/>
      <c r="X72" s="318"/>
      <c r="Y72" s="319"/>
      <c r="Z72" s="318"/>
      <c r="AA72" s="319"/>
      <c r="AB72" s="318"/>
      <c r="AC72" s="319"/>
      <c r="AD72" s="318"/>
      <c r="AE72" s="319"/>
      <c r="AF72" s="305"/>
    </row>
    <row r="73" spans="1:41" ht="17.5" customHeight="1" x14ac:dyDescent="0.45">
      <c r="B73" s="1" t="s">
        <v>168</v>
      </c>
      <c r="C73" s="1" t="s">
        <v>165</v>
      </c>
      <c r="D73" s="596" t="s">
        <v>749</v>
      </c>
      <c r="E73" s="381"/>
      <c r="F73" s="74">
        <v>20</v>
      </c>
      <c r="G73" s="35"/>
      <c r="H73" s="318"/>
      <c r="I73" s="328"/>
      <c r="J73" s="329">
        <v>5</v>
      </c>
      <c r="K73" s="315">
        <v>15</v>
      </c>
      <c r="L73" s="320">
        <v>5</v>
      </c>
      <c r="M73" s="315">
        <v>15</v>
      </c>
      <c r="N73" s="320">
        <v>16</v>
      </c>
      <c r="O73" s="315">
        <v>15</v>
      </c>
      <c r="P73" s="320">
        <v>7</v>
      </c>
      <c r="Q73" s="315">
        <v>20</v>
      </c>
      <c r="R73" s="320">
        <v>3</v>
      </c>
      <c r="S73" s="315">
        <v>20</v>
      </c>
      <c r="T73" s="318"/>
      <c r="U73" s="319"/>
      <c r="V73" s="318"/>
      <c r="W73" s="319"/>
      <c r="X73" s="318"/>
      <c r="Y73" s="319"/>
      <c r="Z73" s="318"/>
      <c r="AA73" s="319"/>
      <c r="AB73" s="318"/>
      <c r="AC73" s="319"/>
      <c r="AD73" s="318"/>
      <c r="AE73" s="319"/>
      <c r="AF73" s="305"/>
    </row>
    <row r="74" spans="1:41" ht="17.5" customHeight="1" x14ac:dyDescent="0.45">
      <c r="B74" s="417" t="s">
        <v>171</v>
      </c>
      <c r="C74" s="1" t="s">
        <v>172</v>
      </c>
      <c r="D74" s="538" t="s">
        <v>755</v>
      </c>
      <c r="E74" s="400"/>
      <c r="F74" s="74">
        <v>15</v>
      </c>
      <c r="G74" s="35"/>
      <c r="H74" s="318"/>
      <c r="I74" s="319"/>
      <c r="J74" s="320">
        <v>14</v>
      </c>
      <c r="K74" s="315">
        <v>20</v>
      </c>
      <c r="L74" s="321"/>
      <c r="M74" s="322"/>
      <c r="N74" s="320">
        <v>11</v>
      </c>
      <c r="O74" s="315">
        <v>15</v>
      </c>
      <c r="P74" s="320">
        <v>29</v>
      </c>
      <c r="Q74" s="315">
        <v>15</v>
      </c>
      <c r="R74" s="322"/>
      <c r="S74" s="322"/>
      <c r="T74" s="322"/>
      <c r="U74" s="322"/>
      <c r="V74" s="320">
        <v>15</v>
      </c>
      <c r="W74" s="315">
        <v>15</v>
      </c>
      <c r="X74" s="327"/>
      <c r="Y74" s="327"/>
      <c r="Z74" s="320">
        <v>4</v>
      </c>
      <c r="AA74" s="315">
        <v>30</v>
      </c>
      <c r="AB74" s="320">
        <v>7</v>
      </c>
      <c r="AC74" s="315">
        <v>15</v>
      </c>
      <c r="AD74" s="318"/>
      <c r="AE74" s="319"/>
      <c r="AF74" s="305"/>
    </row>
    <row r="75" spans="1:41" s="27" customFormat="1" ht="17.25" customHeight="1" x14ac:dyDescent="0.45">
      <c r="A75" s="1"/>
      <c r="B75" s="27" t="s">
        <v>125</v>
      </c>
      <c r="C75" s="27" t="s">
        <v>126</v>
      </c>
      <c r="D75" s="538" t="s">
        <v>749</v>
      </c>
      <c r="E75" s="400" t="s">
        <v>443</v>
      </c>
      <c r="F75" s="74">
        <v>15</v>
      </c>
      <c r="G75" s="35"/>
      <c r="H75" s="318"/>
      <c r="I75" s="319"/>
      <c r="J75" s="333"/>
      <c r="K75" s="319"/>
      <c r="L75" s="324">
        <v>9</v>
      </c>
      <c r="M75" s="315">
        <v>15</v>
      </c>
      <c r="N75" s="334">
        <v>5</v>
      </c>
      <c r="O75" s="315">
        <v>15</v>
      </c>
      <c r="P75" s="324">
        <v>6</v>
      </c>
      <c r="Q75" s="315">
        <v>15</v>
      </c>
      <c r="R75" s="324">
        <v>4</v>
      </c>
      <c r="S75" s="315">
        <v>15</v>
      </c>
      <c r="T75" s="334">
        <v>5</v>
      </c>
      <c r="U75" s="315">
        <v>15</v>
      </c>
      <c r="V75" s="324">
        <v>2</v>
      </c>
      <c r="W75" s="315">
        <v>15</v>
      </c>
      <c r="X75" s="324">
        <v>3</v>
      </c>
      <c r="Y75" s="315">
        <v>15</v>
      </c>
      <c r="Z75" s="334">
        <v>2</v>
      </c>
      <c r="AA75" s="315">
        <v>15</v>
      </c>
      <c r="AB75" s="324">
        <v>1</v>
      </c>
      <c r="AC75" s="315">
        <v>15</v>
      </c>
      <c r="AD75" s="318"/>
      <c r="AE75" s="319"/>
      <c r="AF75" s="305"/>
      <c r="AG75" s="37"/>
      <c r="AH75" s="37"/>
      <c r="AI75" s="37"/>
      <c r="AJ75" s="37"/>
      <c r="AK75" s="37"/>
      <c r="AL75" s="37"/>
      <c r="AM75" s="37"/>
      <c r="AN75" s="37"/>
      <c r="AO75" s="37"/>
    </row>
    <row r="76" spans="1:41" s="27" customFormat="1" ht="17.5" customHeight="1" x14ac:dyDescent="0.45">
      <c r="A76" s="1"/>
      <c r="B76" s="27" t="s">
        <v>186</v>
      </c>
      <c r="C76" s="27" t="s">
        <v>187</v>
      </c>
      <c r="D76" s="587" t="s">
        <v>749</v>
      </c>
      <c r="E76" s="390"/>
      <c r="F76" s="75">
        <v>15</v>
      </c>
      <c r="G76" s="35"/>
      <c r="H76" s="318"/>
      <c r="I76" s="319"/>
      <c r="J76" s="318"/>
      <c r="K76" s="319"/>
      <c r="L76" s="324">
        <v>9</v>
      </c>
      <c r="M76" s="315">
        <v>15</v>
      </c>
      <c r="N76" s="324">
        <v>3</v>
      </c>
      <c r="O76" s="315">
        <v>15</v>
      </c>
      <c r="P76" s="322"/>
      <c r="Q76" s="343"/>
      <c r="R76" s="335"/>
      <c r="S76" s="322"/>
      <c r="T76" s="318"/>
      <c r="U76" s="319"/>
      <c r="V76" s="318"/>
      <c r="W76" s="319"/>
      <c r="X76" s="318"/>
      <c r="Y76" s="319"/>
      <c r="Z76" s="318"/>
      <c r="AA76" s="319"/>
      <c r="AB76" s="318"/>
      <c r="AC76" s="319"/>
      <c r="AD76" s="318"/>
      <c r="AE76" s="319"/>
      <c r="AF76" s="305"/>
      <c r="AG76" s="37"/>
      <c r="AH76" s="37"/>
      <c r="AI76" s="37"/>
      <c r="AJ76" s="37"/>
      <c r="AK76" s="37"/>
      <c r="AL76" s="37"/>
      <c r="AM76" s="37"/>
      <c r="AN76" s="37"/>
      <c r="AO76" s="37"/>
    </row>
    <row r="77" spans="1:41" s="27" customFormat="1" ht="17.5" customHeight="1" x14ac:dyDescent="0.45">
      <c r="A77" s="270"/>
      <c r="B77" s="418" t="s">
        <v>287</v>
      </c>
      <c r="C77" s="27" t="s">
        <v>185</v>
      </c>
      <c r="D77" s="587" t="s">
        <v>752</v>
      </c>
      <c r="E77" s="382"/>
      <c r="F77" s="134">
        <v>20</v>
      </c>
      <c r="G77" s="35"/>
      <c r="H77" s="318"/>
      <c r="I77" s="319"/>
      <c r="J77" s="318"/>
      <c r="K77" s="319"/>
      <c r="L77" s="324">
        <v>9</v>
      </c>
      <c r="M77" s="315">
        <v>20</v>
      </c>
      <c r="N77" s="325">
        <v>20</v>
      </c>
      <c r="O77" s="315">
        <v>20</v>
      </c>
      <c r="P77" s="325">
        <v>31</v>
      </c>
      <c r="Q77" s="315">
        <v>20</v>
      </c>
      <c r="R77" s="322"/>
      <c r="S77" s="322"/>
      <c r="T77" s="322"/>
      <c r="U77" s="322"/>
      <c r="V77" s="322"/>
      <c r="W77" s="322"/>
      <c r="X77" s="322"/>
      <c r="Y77" s="322"/>
      <c r="Z77" s="318"/>
      <c r="AA77" s="319"/>
      <c r="AB77" s="318"/>
      <c r="AC77" s="319"/>
      <c r="AD77" s="318"/>
      <c r="AE77" s="319"/>
      <c r="AF77" s="305"/>
      <c r="AG77" s="37"/>
      <c r="AH77" s="37"/>
      <c r="AI77" s="37"/>
      <c r="AJ77" s="37"/>
      <c r="AK77" s="37"/>
      <c r="AL77" s="37"/>
      <c r="AM77" s="37"/>
      <c r="AN77" s="37"/>
      <c r="AO77" s="37"/>
    </row>
    <row r="78" spans="1:41" s="27" customFormat="1" ht="17.5" customHeight="1" x14ac:dyDescent="0.45">
      <c r="A78" s="270"/>
      <c r="B78" s="417" t="s">
        <v>183</v>
      </c>
      <c r="C78" s="27" t="s">
        <v>184</v>
      </c>
      <c r="D78" s="587" t="s">
        <v>752</v>
      </c>
      <c r="E78" s="382"/>
      <c r="F78" s="134">
        <v>20</v>
      </c>
      <c r="G78" s="35"/>
      <c r="H78" s="318"/>
      <c r="I78" s="319"/>
      <c r="J78" s="318"/>
      <c r="K78" s="319"/>
      <c r="L78" s="324">
        <v>9</v>
      </c>
      <c r="M78" s="315">
        <v>20</v>
      </c>
      <c r="N78" s="325">
        <v>20</v>
      </c>
      <c r="O78" s="315">
        <v>20</v>
      </c>
      <c r="P78" s="325">
        <v>31</v>
      </c>
      <c r="Q78" s="315">
        <v>20</v>
      </c>
      <c r="R78" s="325">
        <v>29</v>
      </c>
      <c r="S78" s="315">
        <v>20</v>
      </c>
      <c r="T78" s="322"/>
      <c r="U78" s="322"/>
      <c r="V78" s="322"/>
      <c r="W78" s="322"/>
      <c r="X78" s="322"/>
      <c r="Y78" s="322"/>
      <c r="Z78" s="318"/>
      <c r="AA78" s="319"/>
      <c r="AB78" s="318"/>
      <c r="AC78" s="319"/>
      <c r="AD78" s="318"/>
      <c r="AE78" s="319"/>
      <c r="AF78" s="305"/>
      <c r="AG78" s="37"/>
      <c r="AH78" s="37"/>
      <c r="AI78" s="37"/>
      <c r="AJ78" s="37"/>
      <c r="AK78" s="37"/>
      <c r="AL78" s="37"/>
      <c r="AM78" s="37"/>
      <c r="AN78" s="37"/>
      <c r="AO78" s="37"/>
    </row>
    <row r="79" spans="1:41" ht="17.5" customHeight="1" x14ac:dyDescent="0.45">
      <c r="A79" s="28" t="s">
        <v>204</v>
      </c>
      <c r="B79" s="417" t="s">
        <v>169</v>
      </c>
      <c r="C79" s="1" t="s">
        <v>170</v>
      </c>
      <c r="D79" s="596" t="s">
        <v>752</v>
      </c>
      <c r="E79" s="382"/>
      <c r="F79" s="75">
        <v>15</v>
      </c>
      <c r="G79" s="35"/>
      <c r="H79" s="318"/>
      <c r="I79" s="319"/>
      <c r="J79" s="318"/>
      <c r="K79" s="319"/>
      <c r="L79" s="320">
        <v>11</v>
      </c>
      <c r="M79" s="315">
        <v>15</v>
      </c>
      <c r="N79" s="330">
        <v>10</v>
      </c>
      <c r="O79" s="315">
        <v>15</v>
      </c>
      <c r="P79" s="330">
        <v>10</v>
      </c>
      <c r="Q79" s="315">
        <v>15</v>
      </c>
      <c r="R79" s="330">
        <v>11</v>
      </c>
      <c r="S79" s="315">
        <v>15</v>
      </c>
      <c r="T79" s="330">
        <v>11</v>
      </c>
      <c r="U79" s="315">
        <v>15</v>
      </c>
      <c r="V79" s="322"/>
      <c r="W79" s="322"/>
      <c r="X79" s="322"/>
      <c r="Y79" s="322"/>
      <c r="Z79" s="318"/>
      <c r="AA79" s="319"/>
      <c r="AB79" s="318"/>
      <c r="AC79" s="319"/>
      <c r="AD79" s="318"/>
      <c r="AE79" s="319"/>
      <c r="AF79" s="305"/>
    </row>
    <row r="80" spans="1:41" s="27" customFormat="1" ht="17.5" customHeight="1" x14ac:dyDescent="0.45">
      <c r="A80" s="1"/>
      <c r="B80" s="417" t="s">
        <v>207</v>
      </c>
      <c r="C80" s="27" t="s">
        <v>208</v>
      </c>
      <c r="D80" s="587" t="s">
        <v>752</v>
      </c>
      <c r="E80" s="382"/>
      <c r="F80" s="134">
        <v>10</v>
      </c>
      <c r="G80" s="35"/>
      <c r="H80" s="323"/>
      <c r="I80" s="323"/>
      <c r="J80" s="318"/>
      <c r="K80" s="319"/>
      <c r="L80" s="324">
        <v>13</v>
      </c>
      <c r="M80" s="315">
        <v>15</v>
      </c>
      <c r="N80" s="325">
        <v>3</v>
      </c>
      <c r="O80" s="315">
        <v>10</v>
      </c>
      <c r="P80" s="318"/>
      <c r="Q80" s="319"/>
      <c r="R80" s="318"/>
      <c r="S80" s="319"/>
      <c r="T80" s="318"/>
      <c r="U80" s="319"/>
      <c r="V80" s="318"/>
      <c r="W80" s="319"/>
      <c r="X80" s="318"/>
      <c r="Y80" s="319"/>
      <c r="Z80" s="318"/>
      <c r="AA80" s="319"/>
      <c r="AB80" s="318"/>
      <c r="AC80" s="319"/>
      <c r="AD80" s="318"/>
      <c r="AE80" s="319"/>
      <c r="AF80" s="305"/>
      <c r="AG80" s="37"/>
      <c r="AH80" s="37"/>
      <c r="AI80" s="37"/>
      <c r="AJ80" s="37"/>
      <c r="AK80" s="37"/>
      <c r="AL80" s="37"/>
      <c r="AM80" s="37"/>
      <c r="AN80" s="37"/>
      <c r="AO80" s="37"/>
    </row>
    <row r="81" spans="1:41" ht="17.5" customHeight="1" x14ac:dyDescent="0.45">
      <c r="A81" s="28" t="s">
        <v>204</v>
      </c>
      <c r="B81" s="28" t="s">
        <v>1</v>
      </c>
      <c r="C81" s="28" t="s">
        <v>30</v>
      </c>
      <c r="D81" s="587" t="s">
        <v>749</v>
      </c>
      <c r="E81" s="382"/>
      <c r="F81" s="110">
        <v>15</v>
      </c>
      <c r="G81" s="35"/>
      <c r="H81" s="318"/>
      <c r="I81" s="319"/>
      <c r="J81" s="337"/>
      <c r="K81" s="319"/>
      <c r="L81" s="320">
        <v>20</v>
      </c>
      <c r="M81" s="315">
        <v>15</v>
      </c>
      <c r="N81" s="330">
        <v>23</v>
      </c>
      <c r="O81" s="315">
        <v>15</v>
      </c>
      <c r="P81" s="330">
        <v>21</v>
      </c>
      <c r="Q81" s="315">
        <v>15</v>
      </c>
      <c r="R81" s="330">
        <v>25</v>
      </c>
      <c r="S81" s="315">
        <v>15</v>
      </c>
      <c r="T81" s="330">
        <v>22</v>
      </c>
      <c r="U81" s="315">
        <v>15</v>
      </c>
      <c r="V81" s="330">
        <v>22</v>
      </c>
      <c r="W81" s="315">
        <v>15</v>
      </c>
      <c r="X81" s="330">
        <v>20</v>
      </c>
      <c r="Y81" s="315">
        <v>15</v>
      </c>
      <c r="Z81" s="318"/>
      <c r="AA81" s="319"/>
      <c r="AB81" s="318"/>
      <c r="AC81" s="319"/>
      <c r="AD81" s="318"/>
      <c r="AE81" s="319"/>
      <c r="AF81" s="305"/>
    </row>
    <row r="82" spans="1:41" ht="17.5" customHeight="1" x14ac:dyDescent="0.45">
      <c r="A82" s="28" t="s">
        <v>204</v>
      </c>
      <c r="B82" s="1" t="s">
        <v>1</v>
      </c>
      <c r="C82" s="1" t="s">
        <v>30</v>
      </c>
      <c r="D82" s="537" t="s">
        <v>749</v>
      </c>
      <c r="E82" s="382"/>
      <c r="F82" s="110">
        <v>10</v>
      </c>
      <c r="G82" s="35"/>
      <c r="H82" s="318"/>
      <c r="I82" s="319"/>
      <c r="J82" s="318"/>
      <c r="K82" s="319"/>
      <c r="L82" s="320">
        <v>20</v>
      </c>
      <c r="M82" s="315">
        <v>20</v>
      </c>
      <c r="N82" s="330">
        <v>23</v>
      </c>
      <c r="O82" s="315">
        <v>10</v>
      </c>
      <c r="P82" s="330">
        <v>21</v>
      </c>
      <c r="Q82" s="315">
        <v>10</v>
      </c>
      <c r="R82" s="330">
        <v>25</v>
      </c>
      <c r="S82" s="315">
        <v>10</v>
      </c>
      <c r="T82" s="330">
        <v>22</v>
      </c>
      <c r="U82" s="315">
        <v>10</v>
      </c>
      <c r="V82" s="330">
        <v>22</v>
      </c>
      <c r="W82" s="315">
        <v>10</v>
      </c>
      <c r="X82" s="330">
        <v>20</v>
      </c>
      <c r="Y82" s="315">
        <v>10</v>
      </c>
      <c r="Z82" s="396"/>
      <c r="AA82" s="397"/>
      <c r="AB82" s="318"/>
      <c r="AC82" s="319"/>
      <c r="AD82" s="318"/>
      <c r="AE82" s="319"/>
      <c r="AF82" s="305"/>
    </row>
    <row r="83" spans="1:41" ht="17.5" customHeight="1" x14ac:dyDescent="0.45">
      <c r="A83" s="1" t="s">
        <v>391</v>
      </c>
      <c r="B83" s="7" t="s">
        <v>173</v>
      </c>
      <c r="C83" s="1" t="s">
        <v>174</v>
      </c>
      <c r="D83" s="537" t="s">
        <v>749</v>
      </c>
      <c r="E83" s="388"/>
      <c r="F83" s="74">
        <v>10</v>
      </c>
      <c r="G83" s="35"/>
      <c r="H83" s="318"/>
      <c r="I83" s="319"/>
      <c r="J83" s="318"/>
      <c r="K83" s="319"/>
      <c r="L83" s="318"/>
      <c r="M83" s="319"/>
      <c r="N83" s="330">
        <v>3</v>
      </c>
      <c r="O83" s="315">
        <v>10</v>
      </c>
      <c r="P83" s="330">
        <v>1</v>
      </c>
      <c r="Q83" s="315">
        <v>10</v>
      </c>
      <c r="R83" s="318"/>
      <c r="S83" s="319"/>
      <c r="T83" s="318"/>
      <c r="U83" s="319"/>
      <c r="V83" s="318"/>
      <c r="W83" s="319"/>
      <c r="X83" s="318"/>
      <c r="Y83" s="319"/>
      <c r="Z83" s="318"/>
      <c r="AA83" s="319"/>
      <c r="AB83" s="318"/>
      <c r="AC83" s="319"/>
      <c r="AD83" s="318"/>
      <c r="AE83" s="319"/>
      <c r="AF83" s="305"/>
    </row>
    <row r="84" spans="1:41" s="27" customFormat="1" ht="17.5" customHeight="1" x14ac:dyDescent="0.45">
      <c r="A84" s="28" t="s">
        <v>204</v>
      </c>
      <c r="B84" s="418" t="s">
        <v>210</v>
      </c>
      <c r="C84" s="293" t="s">
        <v>211</v>
      </c>
      <c r="D84" s="538" t="s">
        <v>752</v>
      </c>
      <c r="E84" s="386"/>
      <c r="F84" s="74">
        <v>10</v>
      </c>
      <c r="G84" s="35"/>
      <c r="H84" s="337"/>
      <c r="I84" s="319"/>
      <c r="J84" s="337"/>
      <c r="K84" s="319"/>
      <c r="L84" s="337"/>
      <c r="M84" s="319"/>
      <c r="N84" s="325">
        <v>8</v>
      </c>
      <c r="O84" s="315">
        <v>10</v>
      </c>
      <c r="P84" s="325">
        <v>8</v>
      </c>
      <c r="Q84" s="315">
        <v>10</v>
      </c>
      <c r="R84" s="322"/>
      <c r="S84" s="322"/>
      <c r="T84" s="322"/>
      <c r="U84" s="322"/>
      <c r="V84" s="318"/>
      <c r="W84" s="319"/>
      <c r="X84" s="318"/>
      <c r="Y84" s="319"/>
      <c r="Z84" s="318"/>
      <c r="AA84" s="319"/>
      <c r="AB84" s="318"/>
      <c r="AC84" s="319"/>
      <c r="AD84" s="318"/>
      <c r="AE84" s="319"/>
      <c r="AF84" s="305"/>
      <c r="AG84" s="37"/>
      <c r="AH84" s="37"/>
      <c r="AI84" s="37"/>
      <c r="AJ84" s="37"/>
      <c r="AK84" s="37"/>
      <c r="AL84" s="37"/>
      <c r="AM84" s="37"/>
      <c r="AN84" s="37"/>
      <c r="AO84" s="37"/>
    </row>
    <row r="85" spans="1:41" s="27" customFormat="1" ht="17.5" customHeight="1" x14ac:dyDescent="0.45">
      <c r="A85" s="271"/>
      <c r="B85" s="418" t="s">
        <v>283</v>
      </c>
      <c r="C85" s="27" t="s">
        <v>292</v>
      </c>
      <c r="D85" s="587" t="s">
        <v>753</v>
      </c>
      <c r="E85" s="382"/>
      <c r="F85" s="134">
        <v>10</v>
      </c>
      <c r="G85" s="35"/>
      <c r="H85" s="323"/>
      <c r="I85" s="323"/>
      <c r="J85" s="318"/>
      <c r="K85" s="319"/>
      <c r="L85" s="318"/>
      <c r="M85" s="319"/>
      <c r="N85" s="325">
        <v>17</v>
      </c>
      <c r="O85" s="315">
        <v>10</v>
      </c>
      <c r="P85" s="322"/>
      <c r="Q85" s="322"/>
      <c r="R85" s="318"/>
      <c r="S85" s="319"/>
      <c r="T85" s="318"/>
      <c r="U85" s="319"/>
      <c r="V85" s="318"/>
      <c r="W85" s="319"/>
      <c r="X85" s="318"/>
      <c r="Y85" s="319"/>
      <c r="Z85" s="318"/>
      <c r="AA85" s="319"/>
      <c r="AB85" s="318"/>
      <c r="AC85" s="319"/>
      <c r="AD85" s="318"/>
      <c r="AE85" s="319"/>
      <c r="AF85" s="305"/>
      <c r="AG85" s="37"/>
      <c r="AH85" s="37"/>
      <c r="AI85" s="37"/>
      <c r="AJ85" s="37"/>
      <c r="AK85" s="37"/>
      <c r="AL85" s="37"/>
      <c r="AM85" s="37"/>
      <c r="AN85" s="37"/>
      <c r="AO85" s="37"/>
    </row>
    <row r="86" spans="1:41" s="27" customFormat="1" ht="17.5" customHeight="1" x14ac:dyDescent="0.45">
      <c r="A86" s="1"/>
      <c r="B86" s="418" t="s">
        <v>288</v>
      </c>
      <c r="C86" s="27" t="s">
        <v>289</v>
      </c>
      <c r="D86" s="587" t="s">
        <v>753</v>
      </c>
      <c r="E86" s="382"/>
      <c r="F86" s="134">
        <v>10</v>
      </c>
      <c r="G86" s="35"/>
      <c r="H86" s="323"/>
      <c r="I86" s="323"/>
      <c r="J86" s="318"/>
      <c r="K86" s="319"/>
      <c r="L86" s="318"/>
      <c r="M86" s="319"/>
      <c r="N86" s="325">
        <v>18</v>
      </c>
      <c r="O86" s="315">
        <v>10</v>
      </c>
      <c r="P86" s="322"/>
      <c r="Q86" s="322"/>
      <c r="R86" s="318"/>
      <c r="S86" s="319"/>
      <c r="T86" s="318"/>
      <c r="U86" s="319"/>
      <c r="V86" s="318"/>
      <c r="W86" s="319"/>
      <c r="X86" s="318"/>
      <c r="Y86" s="319"/>
      <c r="Z86" s="318"/>
      <c r="AA86" s="319"/>
      <c r="AB86" s="318"/>
      <c r="AC86" s="319"/>
      <c r="AD86" s="318"/>
      <c r="AE86" s="319"/>
      <c r="AF86" s="305"/>
      <c r="AG86" s="37"/>
      <c r="AH86" s="37"/>
      <c r="AI86" s="37"/>
      <c r="AJ86" s="37"/>
      <c r="AK86" s="37"/>
      <c r="AL86" s="37"/>
      <c r="AM86" s="37"/>
      <c r="AN86" s="37"/>
      <c r="AO86" s="37"/>
    </row>
    <row r="87" spans="1:41" ht="17.5" customHeight="1" x14ac:dyDescent="0.45">
      <c r="A87" s="28" t="s">
        <v>204</v>
      </c>
      <c r="B87" s="417" t="s">
        <v>163</v>
      </c>
      <c r="C87" s="1" t="s">
        <v>131</v>
      </c>
      <c r="D87" s="537" t="s">
        <v>752</v>
      </c>
      <c r="E87" s="388"/>
      <c r="F87" s="74">
        <v>20</v>
      </c>
      <c r="G87" s="35"/>
      <c r="H87" s="337"/>
      <c r="I87" s="319"/>
      <c r="J87" s="318"/>
      <c r="K87" s="319"/>
      <c r="L87" s="337"/>
      <c r="M87" s="319"/>
      <c r="N87" s="330">
        <v>20</v>
      </c>
      <c r="O87" s="315">
        <v>10</v>
      </c>
      <c r="P87" s="330">
        <v>22</v>
      </c>
      <c r="Q87" s="315">
        <v>10</v>
      </c>
      <c r="R87" s="322"/>
      <c r="S87" s="322"/>
      <c r="T87" s="320">
        <v>10</v>
      </c>
      <c r="U87" s="315">
        <v>10</v>
      </c>
      <c r="V87" s="330">
        <v>9</v>
      </c>
      <c r="W87" s="315">
        <v>20</v>
      </c>
      <c r="X87" s="330">
        <v>6</v>
      </c>
      <c r="Y87" s="315">
        <v>20</v>
      </c>
      <c r="Z87" s="318"/>
      <c r="AA87" s="319"/>
      <c r="AB87" s="318"/>
      <c r="AC87" s="319"/>
      <c r="AD87" s="318"/>
      <c r="AE87" s="319"/>
      <c r="AF87" s="305"/>
    </row>
    <row r="88" spans="1:41" s="27" customFormat="1" ht="17.5" customHeight="1" x14ac:dyDescent="0.45">
      <c r="A88" s="1"/>
      <c r="B88" s="27" t="s">
        <v>295</v>
      </c>
      <c r="C88" s="27" t="s">
        <v>297</v>
      </c>
      <c r="D88" s="587" t="s">
        <v>749</v>
      </c>
      <c r="E88" s="382"/>
      <c r="F88" s="75">
        <v>20</v>
      </c>
      <c r="G88" s="35"/>
      <c r="H88" s="318"/>
      <c r="I88" s="319"/>
      <c r="J88" s="318"/>
      <c r="K88" s="319"/>
      <c r="L88" s="318"/>
      <c r="M88" s="319"/>
      <c r="N88" s="324">
        <v>20</v>
      </c>
      <c r="O88" s="315">
        <v>22</v>
      </c>
      <c r="P88" s="322"/>
      <c r="Q88" s="322"/>
      <c r="R88" s="324">
        <v>1</v>
      </c>
      <c r="S88" s="315">
        <v>20</v>
      </c>
      <c r="T88" s="318"/>
      <c r="U88" s="319"/>
      <c r="V88" s="318"/>
      <c r="W88" s="319"/>
      <c r="X88" s="318"/>
      <c r="Y88" s="319"/>
      <c r="Z88" s="318"/>
      <c r="AA88" s="319"/>
      <c r="AB88" s="318"/>
      <c r="AC88" s="319"/>
      <c r="AD88" s="318"/>
      <c r="AE88" s="319"/>
      <c r="AF88" s="305"/>
      <c r="AG88" s="37"/>
      <c r="AH88" s="37"/>
      <c r="AI88" s="37"/>
      <c r="AJ88" s="37"/>
      <c r="AK88" s="37"/>
      <c r="AL88" s="37"/>
      <c r="AM88" s="37"/>
      <c r="AN88" s="37"/>
      <c r="AO88" s="37"/>
    </row>
    <row r="89" spans="1:41" s="27" customFormat="1" ht="17.5" x14ac:dyDescent="0.45">
      <c r="A89" s="1"/>
      <c r="B89" s="27" t="s">
        <v>301</v>
      </c>
      <c r="C89" s="27" t="s">
        <v>304</v>
      </c>
      <c r="D89" s="587" t="s">
        <v>749</v>
      </c>
      <c r="E89" s="382"/>
      <c r="F89" s="74">
        <v>20</v>
      </c>
      <c r="G89" s="35"/>
      <c r="H89" s="318"/>
      <c r="I89" s="319"/>
      <c r="J89" s="318"/>
      <c r="K89" s="319"/>
      <c r="L89" s="337"/>
      <c r="M89" s="319"/>
      <c r="N89" s="325">
        <v>24</v>
      </c>
      <c r="O89" s="315">
        <v>20</v>
      </c>
      <c r="P89" s="318"/>
      <c r="Q89" s="319"/>
      <c r="R89" s="318"/>
      <c r="S89" s="319"/>
      <c r="T89" s="318"/>
      <c r="U89" s="319"/>
      <c r="V89" s="318"/>
      <c r="W89" s="319"/>
      <c r="X89" s="318"/>
      <c r="Y89" s="319"/>
      <c r="Z89" s="318"/>
      <c r="AA89" s="319"/>
      <c r="AB89" s="318"/>
      <c r="AC89" s="319"/>
      <c r="AD89" s="318"/>
      <c r="AE89" s="319"/>
      <c r="AF89" s="195"/>
      <c r="AG89" s="37"/>
      <c r="AH89" s="37"/>
      <c r="AI89" s="37"/>
      <c r="AJ89" s="37"/>
      <c r="AK89" s="37"/>
      <c r="AL89" s="37"/>
      <c r="AM89" s="37"/>
      <c r="AN89" s="37"/>
      <c r="AO89" s="37"/>
    </row>
    <row r="90" spans="1:41" ht="17.5" x14ac:dyDescent="0.45">
      <c r="B90" s="1" t="s">
        <v>298</v>
      </c>
      <c r="C90" s="1" t="s">
        <v>299</v>
      </c>
      <c r="D90" s="596" t="s">
        <v>749</v>
      </c>
      <c r="E90" s="381"/>
      <c r="F90" s="74">
        <v>20</v>
      </c>
      <c r="G90" s="35"/>
      <c r="H90" s="318"/>
      <c r="I90" s="319"/>
      <c r="J90" s="318"/>
      <c r="K90" s="319"/>
      <c r="L90" s="318"/>
      <c r="M90" s="319"/>
      <c r="N90" s="330">
        <v>25</v>
      </c>
      <c r="O90" s="315">
        <v>20</v>
      </c>
      <c r="P90" s="322"/>
      <c r="Q90" s="342"/>
      <c r="R90" s="330">
        <v>1</v>
      </c>
      <c r="S90" s="315">
        <v>20</v>
      </c>
      <c r="T90" s="318"/>
      <c r="U90" s="319"/>
      <c r="V90" s="318"/>
      <c r="W90" s="319"/>
      <c r="X90" s="318"/>
      <c r="Y90" s="319"/>
      <c r="Z90" s="318"/>
      <c r="AA90" s="319"/>
      <c r="AB90" s="318"/>
      <c r="AC90" s="319"/>
      <c r="AD90" s="318"/>
      <c r="AE90" s="319"/>
    </row>
    <row r="91" spans="1:41" ht="17.5" customHeight="1" x14ac:dyDescent="0.45">
      <c r="A91" s="28" t="s">
        <v>204</v>
      </c>
      <c r="B91" s="417" t="s">
        <v>305</v>
      </c>
      <c r="C91" s="27" t="s">
        <v>184</v>
      </c>
      <c r="D91" s="537" t="s">
        <v>753</v>
      </c>
      <c r="E91" s="388"/>
      <c r="F91" s="74">
        <v>5</v>
      </c>
      <c r="G91" s="35"/>
      <c r="H91" s="318"/>
      <c r="I91" s="319"/>
      <c r="J91" s="318"/>
      <c r="K91" s="319"/>
      <c r="L91" s="318"/>
      <c r="M91" s="319"/>
      <c r="N91" s="318"/>
      <c r="O91" s="319"/>
      <c r="P91" s="330">
        <v>31</v>
      </c>
      <c r="Q91" s="315">
        <v>10</v>
      </c>
      <c r="R91" s="320">
        <v>29</v>
      </c>
      <c r="S91" s="315">
        <v>5</v>
      </c>
      <c r="T91" s="322"/>
      <c r="U91" s="322"/>
      <c r="V91" s="318"/>
      <c r="W91" s="319"/>
      <c r="X91" s="318"/>
      <c r="Y91" s="319"/>
      <c r="Z91" s="318"/>
      <c r="AA91" s="319"/>
      <c r="AB91" s="318"/>
      <c r="AC91" s="319"/>
      <c r="AD91" s="318"/>
      <c r="AE91" s="319"/>
      <c r="AF91" s="305"/>
    </row>
    <row r="92" spans="1:41" s="27" customFormat="1" ht="17.5" customHeight="1" x14ac:dyDescent="0.45">
      <c r="A92" s="1"/>
      <c r="B92" s="27" t="s">
        <v>344</v>
      </c>
      <c r="C92" s="27" t="s">
        <v>345</v>
      </c>
      <c r="D92" s="538" t="s">
        <v>749</v>
      </c>
      <c r="E92" s="400"/>
      <c r="F92" s="134">
        <v>15</v>
      </c>
      <c r="G92" s="35"/>
      <c r="H92" s="318"/>
      <c r="I92" s="319"/>
      <c r="J92" s="318"/>
      <c r="K92" s="319"/>
      <c r="L92" s="318"/>
      <c r="M92" s="319"/>
      <c r="N92" s="318"/>
      <c r="O92" s="319"/>
      <c r="P92" s="318"/>
      <c r="Q92" s="319"/>
      <c r="R92" s="325">
        <v>12</v>
      </c>
      <c r="S92" s="315">
        <v>15</v>
      </c>
      <c r="T92" s="325">
        <v>12</v>
      </c>
      <c r="U92" s="315">
        <v>15</v>
      </c>
      <c r="V92" s="325">
        <v>12</v>
      </c>
      <c r="W92" s="315">
        <v>15</v>
      </c>
      <c r="X92" s="325">
        <v>15</v>
      </c>
      <c r="Y92" s="315">
        <v>15</v>
      </c>
      <c r="Z92" s="325">
        <v>12</v>
      </c>
      <c r="AA92" s="315">
        <v>15</v>
      </c>
      <c r="AB92" s="325">
        <v>12</v>
      </c>
      <c r="AC92" s="315">
        <v>15</v>
      </c>
      <c r="AD92" s="318"/>
      <c r="AE92" s="319"/>
      <c r="AF92" s="305"/>
      <c r="AG92" s="37"/>
      <c r="AH92" s="37"/>
      <c r="AI92" s="37"/>
      <c r="AJ92" s="37"/>
      <c r="AK92" s="37"/>
      <c r="AL92" s="37"/>
      <c r="AM92" s="37"/>
      <c r="AN92" s="37"/>
      <c r="AO92" s="37"/>
    </row>
    <row r="93" spans="1:41" s="27" customFormat="1" ht="17.5" customHeight="1" x14ac:dyDescent="0.45">
      <c r="A93" s="27" t="s">
        <v>29</v>
      </c>
      <c r="B93" s="418" t="s">
        <v>354</v>
      </c>
      <c r="C93" s="293" t="s">
        <v>355</v>
      </c>
      <c r="D93" s="538" t="s">
        <v>753</v>
      </c>
      <c r="E93" s="386"/>
      <c r="F93" s="74">
        <v>8</v>
      </c>
      <c r="G93" s="35"/>
      <c r="H93" s="318"/>
      <c r="I93" s="319"/>
      <c r="J93" s="318"/>
      <c r="K93" s="319"/>
      <c r="L93" s="318"/>
      <c r="M93" s="319"/>
      <c r="N93" s="318"/>
      <c r="O93" s="319"/>
      <c r="P93" s="318"/>
      <c r="Q93" s="319"/>
      <c r="R93" s="324">
        <v>20</v>
      </c>
      <c r="S93" s="315">
        <v>4</v>
      </c>
      <c r="T93" s="318"/>
      <c r="U93" s="319"/>
      <c r="V93" s="318"/>
      <c r="W93" s="319"/>
      <c r="X93" s="318"/>
      <c r="Y93" s="319"/>
      <c r="Z93" s="318"/>
      <c r="AA93" s="319"/>
      <c r="AB93" s="318"/>
      <c r="AC93" s="319"/>
      <c r="AD93" s="318"/>
      <c r="AE93" s="319"/>
      <c r="AF93" s="305"/>
      <c r="AG93" s="37"/>
      <c r="AH93" s="37"/>
      <c r="AI93" s="37"/>
      <c r="AJ93" s="37"/>
      <c r="AK93" s="37"/>
      <c r="AL93" s="37"/>
      <c r="AM93" s="37"/>
      <c r="AN93" s="37"/>
      <c r="AO93" s="37"/>
    </row>
    <row r="94" spans="1:41" s="27" customFormat="1" ht="17.5" customHeight="1" x14ac:dyDescent="0.45">
      <c r="A94" s="1"/>
      <c r="B94" s="27" t="s">
        <v>375</v>
      </c>
      <c r="C94" s="27" t="s">
        <v>376</v>
      </c>
      <c r="D94" s="587" t="s">
        <v>749</v>
      </c>
      <c r="E94" s="382"/>
      <c r="F94" s="134">
        <v>15</v>
      </c>
      <c r="G94" s="35"/>
      <c r="H94" s="318"/>
      <c r="I94" s="319"/>
      <c r="J94" s="318"/>
      <c r="K94" s="319"/>
      <c r="L94" s="318"/>
      <c r="M94" s="319"/>
      <c r="N94" s="318"/>
      <c r="O94" s="319"/>
      <c r="P94" s="318"/>
      <c r="Q94" s="319"/>
      <c r="R94" s="325">
        <v>27</v>
      </c>
      <c r="S94" s="315">
        <v>15</v>
      </c>
      <c r="T94" s="322"/>
      <c r="U94" s="322"/>
      <c r="V94" s="325">
        <v>5</v>
      </c>
      <c r="W94" s="315">
        <v>15</v>
      </c>
      <c r="X94" s="325">
        <v>2</v>
      </c>
      <c r="Y94" s="315">
        <v>15</v>
      </c>
      <c r="Z94" s="318"/>
      <c r="AA94" s="319"/>
      <c r="AB94" s="318"/>
      <c r="AC94" s="319"/>
      <c r="AD94" s="318"/>
      <c r="AE94" s="319"/>
      <c r="AF94" s="305"/>
      <c r="AG94" s="37"/>
      <c r="AH94" s="37"/>
      <c r="AI94" s="37"/>
      <c r="AJ94" s="37"/>
      <c r="AK94" s="37"/>
      <c r="AL94" s="37"/>
      <c r="AM94" s="37"/>
      <c r="AN94" s="37"/>
      <c r="AO94" s="37"/>
    </row>
    <row r="95" spans="1:41" s="27" customFormat="1" ht="17.5" customHeight="1" x14ac:dyDescent="0.45">
      <c r="A95" s="270"/>
      <c r="B95" s="27" t="s">
        <v>387</v>
      </c>
      <c r="C95" s="27" t="s">
        <v>383</v>
      </c>
      <c r="D95" s="587" t="s">
        <v>749</v>
      </c>
      <c r="E95" s="382"/>
      <c r="F95" s="134">
        <v>20</v>
      </c>
      <c r="G95" s="35"/>
      <c r="H95" s="318"/>
      <c r="I95" s="319"/>
      <c r="J95" s="318"/>
      <c r="K95" s="319"/>
      <c r="L95" s="318"/>
      <c r="M95" s="319"/>
      <c r="N95" s="318"/>
      <c r="O95" s="319"/>
      <c r="P95" s="318"/>
      <c r="Q95" s="319"/>
      <c r="R95" s="318"/>
      <c r="S95" s="319"/>
      <c r="T95" s="325">
        <v>16</v>
      </c>
      <c r="U95" s="315">
        <v>20</v>
      </c>
      <c r="V95" s="318"/>
      <c r="W95" s="319"/>
      <c r="X95" s="318"/>
      <c r="Y95" s="319"/>
      <c r="Z95" s="318"/>
      <c r="AA95" s="319"/>
      <c r="AB95" s="318"/>
      <c r="AC95" s="319"/>
      <c r="AD95" s="318"/>
      <c r="AE95" s="319"/>
      <c r="AF95" s="305"/>
      <c r="AG95" s="37"/>
      <c r="AH95" s="37"/>
      <c r="AI95" s="37"/>
      <c r="AJ95" s="37"/>
      <c r="AK95" s="37"/>
      <c r="AL95" s="37"/>
      <c r="AM95" s="37"/>
      <c r="AN95" s="37"/>
      <c r="AO95" s="37"/>
    </row>
    <row r="96" spans="1:41" s="27" customFormat="1" ht="17.5" customHeight="1" x14ac:dyDescent="0.45">
      <c r="A96" s="1"/>
      <c r="B96" s="419" t="s">
        <v>390</v>
      </c>
      <c r="C96" s="375" t="s">
        <v>392</v>
      </c>
      <c r="D96" s="538" t="s">
        <v>752</v>
      </c>
      <c r="E96" s="398"/>
      <c r="F96" s="134">
        <v>20</v>
      </c>
      <c r="G96" s="35"/>
      <c r="H96" s="318"/>
      <c r="I96" s="319"/>
      <c r="J96" s="318"/>
      <c r="K96" s="319"/>
      <c r="L96" s="318"/>
      <c r="M96" s="319"/>
      <c r="N96" s="318"/>
      <c r="O96" s="319"/>
      <c r="P96" s="318"/>
      <c r="Q96" s="319"/>
      <c r="R96" s="318"/>
      <c r="S96" s="319"/>
      <c r="T96" s="337"/>
      <c r="U96" s="362"/>
      <c r="V96" s="320">
        <v>16</v>
      </c>
      <c r="W96" s="315">
        <v>20</v>
      </c>
      <c r="X96" s="322"/>
      <c r="Y96" s="322"/>
      <c r="Z96" s="322"/>
      <c r="AA96" s="322"/>
      <c r="AB96" s="322"/>
      <c r="AC96" s="322"/>
      <c r="AD96" s="318"/>
      <c r="AE96" s="319"/>
      <c r="AF96" s="305"/>
      <c r="AG96" s="37"/>
      <c r="AH96" s="37"/>
      <c r="AI96" s="37"/>
      <c r="AJ96" s="37"/>
      <c r="AK96" s="37"/>
      <c r="AL96" s="37"/>
      <c r="AM96" s="37"/>
      <c r="AN96" s="37"/>
      <c r="AO96" s="37"/>
    </row>
    <row r="97" spans="1:41" ht="17.5" customHeight="1" x14ac:dyDescent="0.45">
      <c r="A97" s="28" t="s">
        <v>204</v>
      </c>
      <c r="B97" s="28" t="s">
        <v>1</v>
      </c>
      <c r="C97" s="28" t="s">
        <v>30</v>
      </c>
      <c r="D97" s="596" t="s">
        <v>749</v>
      </c>
      <c r="E97" s="382"/>
      <c r="F97" s="110">
        <v>15</v>
      </c>
      <c r="G97" s="35"/>
      <c r="H97" s="318"/>
      <c r="I97" s="319"/>
      <c r="J97" s="318"/>
      <c r="K97" s="319"/>
      <c r="L97" s="318"/>
      <c r="M97" s="319"/>
      <c r="N97" s="318"/>
      <c r="O97" s="319"/>
      <c r="P97" s="318"/>
      <c r="Q97" s="319"/>
      <c r="R97" s="318"/>
      <c r="S97" s="319"/>
      <c r="T97" s="318"/>
      <c r="U97" s="319"/>
      <c r="V97" s="337"/>
      <c r="W97" s="319"/>
      <c r="X97" s="330">
        <v>6</v>
      </c>
      <c r="Y97" s="315">
        <v>15</v>
      </c>
      <c r="Z97" s="318"/>
      <c r="AA97" s="319"/>
      <c r="AB97" s="318"/>
      <c r="AC97" s="319"/>
      <c r="AD97" s="318"/>
      <c r="AE97" s="319"/>
      <c r="AF97" s="305"/>
    </row>
    <row r="98" spans="1:41" s="27" customFormat="1" ht="17.5" customHeight="1" x14ac:dyDescent="0.45">
      <c r="A98" s="271"/>
      <c r="B98" s="293" t="s">
        <v>402</v>
      </c>
      <c r="C98" s="27" t="s">
        <v>407</v>
      </c>
      <c r="D98" s="538" t="s">
        <v>749</v>
      </c>
      <c r="E98" s="414"/>
      <c r="F98" s="134">
        <v>15</v>
      </c>
      <c r="G98" s="35"/>
      <c r="H98" s="318"/>
      <c r="I98" s="319"/>
      <c r="J98" s="318"/>
      <c r="K98" s="319"/>
      <c r="L98" s="318"/>
      <c r="M98" s="319"/>
      <c r="N98" s="318"/>
      <c r="O98" s="319"/>
      <c r="P98" s="318"/>
      <c r="Q98" s="319"/>
      <c r="R98" s="337"/>
      <c r="S98" s="319"/>
      <c r="T98" s="318"/>
      <c r="U98" s="319"/>
      <c r="V98" s="318"/>
      <c r="W98" s="319"/>
      <c r="X98" s="325">
        <v>9</v>
      </c>
      <c r="Y98" s="315">
        <v>15</v>
      </c>
      <c r="Z98" s="325">
        <v>12</v>
      </c>
      <c r="AA98" s="315">
        <v>15</v>
      </c>
      <c r="AB98" s="325">
        <v>14</v>
      </c>
      <c r="AC98" s="315">
        <v>15</v>
      </c>
      <c r="AD98" s="318"/>
      <c r="AE98" s="319"/>
      <c r="AF98" s="305"/>
      <c r="AG98" s="37"/>
      <c r="AH98" s="37"/>
      <c r="AI98" s="37"/>
      <c r="AJ98" s="37"/>
      <c r="AK98" s="37"/>
      <c r="AL98" s="37"/>
      <c r="AM98" s="37"/>
      <c r="AN98" s="37"/>
      <c r="AO98" s="37"/>
    </row>
    <row r="99" spans="1:41" s="27" customFormat="1" ht="17.5" customHeight="1" x14ac:dyDescent="0.45">
      <c r="A99" s="271"/>
      <c r="B99" s="293" t="s">
        <v>438</v>
      </c>
      <c r="C99" s="27" t="s">
        <v>415</v>
      </c>
      <c r="D99" s="538" t="s">
        <v>751</v>
      </c>
      <c r="E99" s="398" t="s">
        <v>444</v>
      </c>
      <c r="F99" s="134">
        <v>20</v>
      </c>
      <c r="G99" s="35"/>
      <c r="H99" s="318"/>
      <c r="I99" s="319"/>
      <c r="J99" s="318"/>
      <c r="K99" s="319"/>
      <c r="L99" s="318"/>
      <c r="M99" s="319"/>
      <c r="N99" s="318"/>
      <c r="O99" s="319"/>
      <c r="P99" s="318"/>
      <c r="Q99" s="319"/>
      <c r="R99" s="318"/>
      <c r="S99" s="319"/>
      <c r="T99" s="318"/>
      <c r="U99" s="319"/>
      <c r="V99" s="318"/>
      <c r="W99" s="319"/>
      <c r="X99" s="318"/>
      <c r="Y99" s="319"/>
      <c r="Z99" s="325">
        <v>9</v>
      </c>
      <c r="AA99" s="315">
        <v>20</v>
      </c>
      <c r="AB99" s="325">
        <v>8</v>
      </c>
      <c r="AC99" s="315">
        <v>20</v>
      </c>
      <c r="AD99" s="318"/>
      <c r="AE99" s="319"/>
      <c r="AF99" s="305"/>
      <c r="AG99" s="37"/>
      <c r="AH99" s="37"/>
      <c r="AI99" s="37"/>
      <c r="AJ99" s="37"/>
      <c r="AK99" s="37"/>
      <c r="AL99" s="37"/>
      <c r="AM99" s="37"/>
      <c r="AN99" s="37"/>
      <c r="AO99" s="37"/>
    </row>
    <row r="100" spans="1:41" s="27" customFormat="1" ht="17.5" customHeight="1" x14ac:dyDescent="0.45">
      <c r="A100" s="270"/>
      <c r="B100" s="293" t="s">
        <v>416</v>
      </c>
      <c r="C100" s="27" t="s">
        <v>417</v>
      </c>
      <c r="D100" s="538" t="s">
        <v>749</v>
      </c>
      <c r="E100" s="398"/>
      <c r="F100" s="134">
        <v>20</v>
      </c>
      <c r="G100" s="35"/>
      <c r="H100" s="318"/>
      <c r="I100" s="319"/>
      <c r="J100" s="318"/>
      <c r="K100" s="319"/>
      <c r="L100" s="318"/>
      <c r="M100" s="319"/>
      <c r="N100" s="318"/>
      <c r="O100" s="319"/>
      <c r="P100" s="318"/>
      <c r="Q100" s="319"/>
      <c r="R100" s="318"/>
      <c r="S100" s="319"/>
      <c r="T100" s="318"/>
      <c r="U100" s="319"/>
      <c r="V100" s="318"/>
      <c r="W100" s="319"/>
      <c r="X100" s="318"/>
      <c r="Y100" s="319"/>
      <c r="Z100" s="325">
        <v>12</v>
      </c>
      <c r="AA100" s="315">
        <v>20</v>
      </c>
      <c r="AB100" s="318"/>
      <c r="AC100" s="319"/>
      <c r="AD100" s="318"/>
      <c r="AE100" s="319"/>
      <c r="AF100" s="305"/>
      <c r="AG100" s="37"/>
      <c r="AH100" s="37"/>
      <c r="AI100" s="37"/>
      <c r="AJ100" s="37"/>
      <c r="AK100" s="37"/>
      <c r="AL100" s="37"/>
      <c r="AM100" s="37"/>
      <c r="AN100" s="37"/>
      <c r="AO100" s="37"/>
    </row>
    <row r="101" spans="1:41" s="27" customFormat="1" ht="17.5" customHeight="1" x14ac:dyDescent="0.45">
      <c r="A101" s="271"/>
      <c r="B101" s="293" t="s">
        <v>448</v>
      </c>
      <c r="C101" s="27" t="s">
        <v>423</v>
      </c>
      <c r="D101" s="538" t="s">
        <v>749</v>
      </c>
      <c r="E101" s="398"/>
      <c r="F101" s="395">
        <v>15</v>
      </c>
      <c r="G101" s="35"/>
      <c r="H101" s="318"/>
      <c r="I101" s="319"/>
      <c r="J101" s="318"/>
      <c r="K101" s="319"/>
      <c r="L101" s="318"/>
      <c r="M101" s="319"/>
      <c r="N101" s="318"/>
      <c r="O101" s="319"/>
      <c r="P101" s="318"/>
      <c r="Q101" s="319"/>
      <c r="R101" s="337"/>
      <c r="S101" s="319"/>
      <c r="T101" s="337"/>
      <c r="U101" s="319"/>
      <c r="V101" s="337"/>
      <c r="W101" s="319"/>
      <c r="X101" s="337"/>
      <c r="Y101" s="319"/>
      <c r="Z101" s="325" t="s">
        <v>449</v>
      </c>
      <c r="AA101" s="315">
        <v>15</v>
      </c>
      <c r="AB101" s="318"/>
      <c r="AC101" s="319"/>
      <c r="AD101" s="318"/>
      <c r="AE101" s="319"/>
      <c r="AF101" s="305"/>
      <c r="AG101" s="37"/>
      <c r="AH101" s="37"/>
      <c r="AI101" s="37"/>
      <c r="AJ101" s="37"/>
      <c r="AK101" s="37"/>
      <c r="AL101" s="37"/>
      <c r="AM101" s="37"/>
      <c r="AN101" s="37"/>
      <c r="AO101" s="37"/>
    </row>
    <row r="102" spans="1:41" s="27" customFormat="1" ht="17.5" customHeight="1" x14ac:dyDescent="0.45">
      <c r="A102" s="1" t="s">
        <v>422</v>
      </c>
      <c r="B102" s="27" t="s">
        <v>420</v>
      </c>
      <c r="C102" s="27" t="s">
        <v>421</v>
      </c>
      <c r="D102" s="538" t="s">
        <v>749</v>
      </c>
      <c r="E102" s="398"/>
      <c r="F102" s="74">
        <v>10</v>
      </c>
      <c r="G102" s="35"/>
      <c r="H102" s="318"/>
      <c r="I102" s="319"/>
      <c r="J102" s="318"/>
      <c r="K102" s="319"/>
      <c r="L102" s="318"/>
      <c r="M102" s="319"/>
      <c r="N102" s="318"/>
      <c r="O102" s="319"/>
      <c r="P102" s="318"/>
      <c r="Q102" s="319"/>
      <c r="R102" s="318"/>
      <c r="S102" s="362"/>
      <c r="T102" s="318"/>
      <c r="U102" s="362"/>
      <c r="V102" s="394"/>
      <c r="W102" s="362"/>
      <c r="X102" s="318"/>
      <c r="Y102" s="362"/>
      <c r="Z102" s="330">
        <v>25</v>
      </c>
      <c r="AA102" s="315">
        <v>10</v>
      </c>
      <c r="AB102" s="318"/>
      <c r="AC102" s="319"/>
      <c r="AD102" s="318"/>
      <c r="AE102" s="319"/>
      <c r="AF102" s="305"/>
      <c r="AG102" s="37"/>
      <c r="AH102" s="37"/>
      <c r="AI102" s="37"/>
      <c r="AJ102" s="37"/>
      <c r="AK102" s="37"/>
      <c r="AL102" s="37"/>
      <c r="AM102" s="37"/>
      <c r="AN102" s="37"/>
      <c r="AO102" s="37"/>
    </row>
    <row r="103" spans="1:41" s="27" customFormat="1" ht="17.5" customHeight="1" x14ac:dyDescent="0.45">
      <c r="A103" s="271"/>
      <c r="B103" s="293" t="s">
        <v>428</v>
      </c>
      <c r="C103" s="27" t="s">
        <v>407</v>
      </c>
      <c r="D103" s="538" t="s">
        <v>749</v>
      </c>
      <c r="E103" s="398"/>
      <c r="F103" s="395">
        <v>15</v>
      </c>
      <c r="G103" s="35"/>
      <c r="H103" s="318"/>
      <c r="I103" s="319"/>
      <c r="J103" s="318"/>
      <c r="K103" s="319"/>
      <c r="L103" s="318"/>
      <c r="M103" s="319"/>
      <c r="N103" s="318"/>
      <c r="O103" s="319"/>
      <c r="P103" s="318"/>
      <c r="Q103" s="319"/>
      <c r="R103" s="318"/>
      <c r="S103" s="319"/>
      <c r="T103" s="318"/>
      <c r="U103" s="319"/>
      <c r="V103" s="318"/>
      <c r="W103" s="319"/>
      <c r="X103" s="318"/>
      <c r="Y103" s="319"/>
      <c r="Z103" s="325">
        <v>25</v>
      </c>
      <c r="AA103" s="315">
        <v>15</v>
      </c>
      <c r="AB103" s="318"/>
      <c r="AC103" s="319"/>
      <c r="AD103" s="318"/>
      <c r="AE103" s="319"/>
      <c r="AF103" s="305"/>
      <c r="AG103" s="37"/>
      <c r="AH103" s="37"/>
      <c r="AI103" s="37"/>
      <c r="AJ103" s="37"/>
      <c r="AK103" s="37"/>
      <c r="AL103" s="37"/>
      <c r="AM103" s="37"/>
      <c r="AN103" s="37"/>
      <c r="AO103" s="37"/>
    </row>
    <row r="104" spans="1:41" s="27" customFormat="1" ht="17.5" customHeight="1" x14ac:dyDescent="0.45">
      <c r="A104" s="271"/>
      <c r="B104" s="293" t="s">
        <v>425</v>
      </c>
      <c r="C104" s="27" t="s">
        <v>427</v>
      </c>
      <c r="D104" s="538" t="s">
        <v>749</v>
      </c>
      <c r="E104" s="398" t="s">
        <v>443</v>
      </c>
      <c r="F104" s="395">
        <v>15</v>
      </c>
      <c r="G104" s="35"/>
      <c r="H104" s="318"/>
      <c r="I104" s="319"/>
      <c r="J104" s="318"/>
      <c r="K104" s="319"/>
      <c r="L104" s="318"/>
      <c r="M104" s="319"/>
      <c r="N104" s="318"/>
      <c r="O104" s="319"/>
      <c r="P104" s="318"/>
      <c r="Q104" s="319"/>
      <c r="R104" s="318"/>
      <c r="S104" s="319"/>
      <c r="T104" s="318"/>
      <c r="U104" s="319"/>
      <c r="V104" s="318"/>
      <c r="W104" s="319"/>
      <c r="X104" s="318"/>
      <c r="Y104" s="319"/>
      <c r="Z104" s="325">
        <v>31</v>
      </c>
      <c r="AA104" s="315">
        <v>15</v>
      </c>
      <c r="AB104" s="403">
        <v>2</v>
      </c>
      <c r="AC104" s="315">
        <v>15</v>
      </c>
      <c r="AD104" s="318"/>
      <c r="AE104" s="319"/>
      <c r="AF104" s="305"/>
      <c r="AG104" s="37"/>
      <c r="AH104" s="37"/>
      <c r="AI104" s="37"/>
      <c r="AJ104" s="37"/>
      <c r="AK104" s="37"/>
      <c r="AL104" s="37"/>
      <c r="AM104" s="37"/>
      <c r="AN104" s="37"/>
      <c r="AO104" s="37"/>
    </row>
    <row r="105" spans="1:41" s="27" customFormat="1" ht="17.5" customHeight="1" x14ac:dyDescent="0.45">
      <c r="A105" s="271"/>
      <c r="B105" s="293" t="s">
        <v>436</v>
      </c>
      <c r="C105" s="27" t="s">
        <v>437</v>
      </c>
      <c r="D105" s="538" t="s">
        <v>752</v>
      </c>
      <c r="E105" s="398"/>
      <c r="F105" s="134">
        <v>20</v>
      </c>
      <c r="G105" s="35"/>
      <c r="H105" s="318"/>
      <c r="I105" s="319"/>
      <c r="J105" s="318"/>
      <c r="K105" s="319"/>
      <c r="L105" s="318"/>
      <c r="M105" s="319"/>
      <c r="N105" s="318"/>
      <c r="O105" s="319"/>
      <c r="P105" s="318"/>
      <c r="Q105" s="319"/>
      <c r="R105" s="318"/>
      <c r="S105" s="319"/>
      <c r="T105" s="337"/>
      <c r="U105" s="362"/>
      <c r="V105" s="337"/>
      <c r="W105" s="362"/>
      <c r="X105" s="337"/>
      <c r="Y105" s="362"/>
      <c r="Z105" s="337"/>
      <c r="AA105" s="362"/>
      <c r="AB105" s="325">
        <v>4</v>
      </c>
      <c r="AC105" s="315">
        <v>20</v>
      </c>
      <c r="AD105" s="318"/>
      <c r="AE105" s="319"/>
      <c r="AF105" s="305"/>
      <c r="AG105" s="37"/>
      <c r="AH105" s="37"/>
      <c r="AI105" s="37"/>
      <c r="AJ105" s="37"/>
      <c r="AK105" s="37"/>
      <c r="AL105" s="37"/>
      <c r="AM105" s="37"/>
      <c r="AN105" s="37"/>
      <c r="AO105" s="37"/>
    </row>
    <row r="106" spans="1:41" s="27" customFormat="1" ht="17.5" customHeight="1" x14ac:dyDescent="0.45">
      <c r="A106" s="1" t="s">
        <v>422</v>
      </c>
      <c r="B106" s="27" t="s">
        <v>402</v>
      </c>
      <c r="C106" s="27" t="s">
        <v>407</v>
      </c>
      <c r="D106" s="538" t="s">
        <v>749</v>
      </c>
      <c r="E106" s="387"/>
      <c r="F106" s="74">
        <v>15</v>
      </c>
      <c r="G106" s="35"/>
      <c r="H106" s="318"/>
      <c r="I106" s="319"/>
      <c r="J106" s="318"/>
      <c r="K106" s="319"/>
      <c r="L106" s="318"/>
      <c r="M106" s="319"/>
      <c r="N106" s="318"/>
      <c r="O106" s="319"/>
      <c r="P106" s="318"/>
      <c r="Q106" s="319"/>
      <c r="R106" s="318"/>
      <c r="S106" s="362"/>
      <c r="T106" s="318"/>
      <c r="U106" s="362"/>
      <c r="V106" s="394"/>
      <c r="W106" s="362"/>
      <c r="X106" s="318"/>
      <c r="Y106" s="362"/>
      <c r="Z106" s="318"/>
      <c r="AA106" s="362"/>
      <c r="AB106" s="330">
        <v>6</v>
      </c>
      <c r="AC106" s="315">
        <v>15</v>
      </c>
      <c r="AD106" s="318"/>
      <c r="AE106" s="319"/>
      <c r="AF106" s="305"/>
      <c r="AG106" s="37"/>
      <c r="AH106" s="37"/>
      <c r="AI106" s="37"/>
      <c r="AJ106" s="37"/>
      <c r="AK106" s="37"/>
      <c r="AL106" s="37"/>
      <c r="AM106" s="37"/>
      <c r="AN106" s="37"/>
      <c r="AO106" s="37"/>
    </row>
    <row r="107" spans="1:41" s="27" customFormat="1" ht="17.5" customHeight="1" x14ac:dyDescent="0.45">
      <c r="A107" s="1" t="s">
        <v>439</v>
      </c>
      <c r="B107" s="27" t="s">
        <v>402</v>
      </c>
      <c r="C107" s="27" t="s">
        <v>421</v>
      </c>
      <c r="D107" s="538" t="s">
        <v>749</v>
      </c>
      <c r="E107" s="387"/>
      <c r="F107" s="74">
        <v>10</v>
      </c>
      <c r="G107" s="35"/>
      <c r="H107" s="318"/>
      <c r="I107" s="319"/>
      <c r="J107" s="318"/>
      <c r="K107" s="319"/>
      <c r="L107" s="318"/>
      <c r="M107" s="319"/>
      <c r="N107" s="318"/>
      <c r="O107" s="319"/>
      <c r="P107" s="318"/>
      <c r="Q107" s="319"/>
      <c r="R107" s="318"/>
      <c r="S107" s="319"/>
      <c r="T107" s="318"/>
      <c r="U107" s="362"/>
      <c r="V107" s="394"/>
      <c r="W107" s="362"/>
      <c r="X107" s="318"/>
      <c r="Y107" s="362"/>
      <c r="Z107" s="318"/>
      <c r="AA107" s="362"/>
      <c r="AB107" s="330">
        <v>6</v>
      </c>
      <c r="AC107" s="315">
        <v>10</v>
      </c>
      <c r="AD107" s="318"/>
      <c r="AE107" s="319"/>
      <c r="AF107" s="305"/>
      <c r="AG107" s="37"/>
      <c r="AH107" s="37"/>
      <c r="AI107" s="37"/>
      <c r="AJ107" s="37"/>
      <c r="AK107" s="37"/>
      <c r="AL107" s="37"/>
      <c r="AM107" s="37"/>
      <c r="AN107" s="37"/>
      <c r="AO107" s="37"/>
    </row>
    <row r="108" spans="1:41" s="27" customFormat="1" ht="17.5" customHeight="1" x14ac:dyDescent="0.45">
      <c r="A108" s="1"/>
      <c r="D108" s="540"/>
      <c r="E108" s="387"/>
      <c r="F108" s="74"/>
      <c r="G108" s="35"/>
      <c r="H108" s="320"/>
      <c r="I108" s="348"/>
      <c r="J108" s="320"/>
      <c r="K108" s="348"/>
      <c r="L108" s="320"/>
      <c r="M108" s="348"/>
      <c r="N108" s="330"/>
      <c r="O108" s="348"/>
      <c r="P108" s="330"/>
      <c r="Q108" s="348"/>
      <c r="R108" s="320"/>
      <c r="S108" s="348"/>
      <c r="T108" s="320"/>
      <c r="U108" s="348"/>
      <c r="V108" s="330"/>
      <c r="W108" s="348"/>
      <c r="X108" s="330"/>
      <c r="Y108" s="348"/>
      <c r="Z108" s="330"/>
      <c r="AA108" s="348"/>
      <c r="AB108" s="330"/>
      <c r="AC108" s="348"/>
      <c r="AD108" s="330"/>
      <c r="AE108" s="405"/>
      <c r="AF108" s="305"/>
      <c r="AG108" s="37"/>
      <c r="AH108" s="37"/>
      <c r="AI108" s="37"/>
      <c r="AJ108" s="37"/>
      <c r="AK108" s="37"/>
      <c r="AL108" s="37"/>
      <c r="AM108" s="37"/>
      <c r="AN108" s="37"/>
      <c r="AO108" s="37"/>
    </row>
    <row r="109" spans="1:41" s="27" customFormat="1" ht="17.5" customHeight="1" x14ac:dyDescent="0.45">
      <c r="A109" s="1"/>
      <c r="D109" s="540"/>
      <c r="E109" s="387"/>
      <c r="F109" s="74"/>
      <c r="G109" s="35"/>
      <c r="H109" s="320"/>
      <c r="I109" s="348"/>
      <c r="J109" s="320"/>
      <c r="K109" s="348"/>
      <c r="L109" s="320"/>
      <c r="M109" s="348"/>
      <c r="N109" s="330"/>
      <c r="O109" s="348"/>
      <c r="P109" s="330"/>
      <c r="Q109" s="348"/>
      <c r="R109" s="320"/>
      <c r="S109" s="348"/>
      <c r="T109" s="320"/>
      <c r="U109" s="348"/>
      <c r="V109" s="330"/>
      <c r="W109" s="348"/>
      <c r="X109" s="330"/>
      <c r="Y109" s="348"/>
      <c r="Z109" s="330"/>
      <c r="AA109" s="348"/>
      <c r="AB109" s="330"/>
      <c r="AC109" s="348"/>
      <c r="AD109" s="330"/>
      <c r="AE109" s="405"/>
      <c r="AF109" s="305"/>
      <c r="AG109" s="37"/>
      <c r="AH109" s="37"/>
      <c r="AI109" s="37"/>
      <c r="AJ109" s="37"/>
      <c r="AK109" s="37"/>
      <c r="AL109" s="37"/>
      <c r="AM109" s="37"/>
      <c r="AN109" s="37"/>
      <c r="AO109" s="37"/>
    </row>
    <row r="110" spans="1:41" s="27" customFormat="1" ht="17.5" customHeight="1" x14ac:dyDescent="0.45">
      <c r="A110" s="1"/>
      <c r="B110" s="1"/>
      <c r="C110" s="1"/>
      <c r="D110" s="583"/>
      <c r="E110" s="399"/>
      <c r="F110" s="134"/>
      <c r="G110" s="48"/>
      <c r="H110" s="320"/>
      <c r="I110" s="348"/>
      <c r="J110" s="320"/>
      <c r="K110" s="348"/>
      <c r="L110" s="320"/>
      <c r="M110" s="348"/>
      <c r="N110" s="330"/>
      <c r="O110" s="348"/>
      <c r="P110" s="330"/>
      <c r="Q110" s="348"/>
      <c r="R110" s="320"/>
      <c r="S110" s="348"/>
      <c r="T110" s="320"/>
      <c r="U110" s="348"/>
      <c r="V110" s="330"/>
      <c r="W110" s="348"/>
      <c r="X110" s="330"/>
      <c r="Y110" s="348"/>
      <c r="Z110" s="330"/>
      <c r="AA110" s="348"/>
      <c r="AB110" s="330"/>
      <c r="AC110" s="348"/>
      <c r="AD110" s="330"/>
      <c r="AE110" s="348"/>
      <c r="AF110" s="305"/>
      <c r="AG110" s="37"/>
      <c r="AH110" s="37"/>
      <c r="AI110" s="37"/>
      <c r="AJ110" s="37"/>
      <c r="AK110" s="37"/>
      <c r="AL110" s="37"/>
      <c r="AM110" s="37"/>
      <c r="AN110" s="37"/>
      <c r="AO110" s="37"/>
    </row>
    <row r="111" spans="1:41" ht="17.5" x14ac:dyDescent="0.45">
      <c r="D111" s="536"/>
      <c r="E111" s="23"/>
      <c r="F111" s="272">
        <f>SUM(F64:F110)</f>
        <v>678</v>
      </c>
      <c r="G111" s="28"/>
      <c r="H111" s="228"/>
      <c r="I111" s="229"/>
      <c r="J111" s="228"/>
      <c r="K111" s="229"/>
      <c r="L111" s="228"/>
      <c r="M111" s="229"/>
      <c r="N111" s="228"/>
      <c r="O111" s="229"/>
      <c r="P111" s="228"/>
      <c r="Q111" s="229"/>
      <c r="R111" s="228"/>
      <c r="S111" s="229"/>
      <c r="T111" s="228"/>
      <c r="U111" s="229"/>
      <c r="V111" s="228"/>
      <c r="W111" s="229"/>
      <c r="X111" s="228"/>
      <c r="Y111" s="229"/>
      <c r="Z111" s="228"/>
      <c r="AA111" s="229"/>
      <c r="AB111" s="228"/>
      <c r="AC111" s="229"/>
      <c r="AD111" s="228"/>
      <c r="AE111" s="229"/>
      <c r="AF111" s="39"/>
    </row>
    <row r="112" spans="1:41" s="27" customFormat="1" ht="17.5" customHeight="1" x14ac:dyDescent="0.45">
      <c r="A112" s="37"/>
      <c r="B112" s="37"/>
      <c r="C112" s="37"/>
      <c r="D112" s="584"/>
      <c r="E112" s="407"/>
      <c r="F112" s="112"/>
      <c r="G112" s="37"/>
      <c r="H112" s="408"/>
      <c r="I112" s="409"/>
      <c r="J112" s="408"/>
      <c r="K112" s="409"/>
      <c r="L112" s="408"/>
      <c r="M112" s="409"/>
      <c r="N112" s="408"/>
      <c r="O112" s="409"/>
      <c r="P112" s="408"/>
      <c r="Q112" s="409"/>
      <c r="R112" s="408"/>
      <c r="S112" s="409"/>
      <c r="T112" s="410"/>
      <c r="U112" s="411"/>
      <c r="V112" s="412"/>
      <c r="W112" s="412"/>
      <c r="X112" s="410"/>
      <c r="Y112" s="411"/>
      <c r="Z112" s="410"/>
      <c r="AA112" s="411"/>
      <c r="AB112" s="410"/>
      <c r="AC112" s="411"/>
      <c r="AD112" s="410"/>
      <c r="AE112" s="411"/>
      <c r="AF112" s="39"/>
      <c r="AG112" s="37"/>
      <c r="AH112" s="37"/>
      <c r="AI112" s="37"/>
      <c r="AJ112" s="37"/>
      <c r="AK112" s="37"/>
      <c r="AL112" s="37"/>
      <c r="AM112" s="37"/>
      <c r="AN112" s="37"/>
      <c r="AO112" s="37"/>
    </row>
    <row r="113" spans="1:41" s="27" customFormat="1" ht="17.5" customHeight="1" thickBot="1" x14ac:dyDescent="0.5">
      <c r="A113" s="37"/>
      <c r="B113" s="37"/>
      <c r="C113" s="37"/>
      <c r="D113" s="584"/>
      <c r="E113" s="407"/>
      <c r="F113" s="112"/>
      <c r="G113" s="37"/>
      <c r="H113" s="408"/>
      <c r="I113" s="409"/>
      <c r="J113" s="408"/>
      <c r="K113" s="409"/>
      <c r="L113" s="408"/>
      <c r="M113" s="409"/>
      <c r="N113" s="408"/>
      <c r="O113" s="409"/>
      <c r="P113" s="408"/>
      <c r="Q113" s="409"/>
      <c r="R113" s="408"/>
      <c r="S113" s="409"/>
      <c r="T113" s="410"/>
      <c r="U113" s="411"/>
      <c r="V113" s="412"/>
      <c r="W113" s="412"/>
      <c r="X113" s="410"/>
      <c r="Y113" s="411"/>
      <c r="Z113" s="410"/>
      <c r="AA113" s="411"/>
      <c r="AB113" s="410"/>
      <c r="AC113" s="411"/>
      <c r="AD113" s="410"/>
      <c r="AE113" s="411"/>
      <c r="AF113" s="39"/>
      <c r="AG113" s="37"/>
      <c r="AH113" s="37"/>
      <c r="AI113" s="37"/>
      <c r="AJ113" s="37"/>
      <c r="AK113" s="37"/>
      <c r="AL113" s="37"/>
      <c r="AM113" s="37"/>
      <c r="AN113" s="37"/>
      <c r="AO113" s="37"/>
    </row>
    <row r="114" spans="1:41" s="117" customFormat="1" ht="21.75" customHeight="1" thickTop="1" thickBot="1" x14ac:dyDescent="0.5">
      <c r="A114" s="690" t="s">
        <v>453</v>
      </c>
      <c r="B114" s="691"/>
      <c r="C114" s="37"/>
      <c r="D114" s="584"/>
      <c r="E114" s="407"/>
      <c r="F114" s="112"/>
      <c r="G114" s="37"/>
      <c r="H114" s="408"/>
      <c r="I114" s="409"/>
      <c r="J114" s="408"/>
      <c r="K114" s="409"/>
      <c r="L114" s="408"/>
      <c r="M114" s="409"/>
      <c r="N114" s="408"/>
      <c r="O114" s="409"/>
      <c r="P114" s="408"/>
      <c r="Q114" s="409"/>
      <c r="R114" s="408"/>
      <c r="S114" s="409"/>
      <c r="T114" s="410"/>
      <c r="U114" s="411"/>
      <c r="V114" s="412"/>
      <c r="W114" s="412"/>
      <c r="X114" s="410"/>
      <c r="Y114" s="411"/>
      <c r="Z114" s="410"/>
      <c r="AA114" s="411"/>
      <c r="AB114" s="410"/>
      <c r="AC114" s="411"/>
      <c r="AD114" s="410"/>
      <c r="AE114" s="411"/>
      <c r="AF114" s="39"/>
      <c r="AG114" s="37"/>
      <c r="AH114" s="37"/>
      <c r="AI114" s="37"/>
      <c r="AJ114" s="37"/>
      <c r="AK114" s="37"/>
      <c r="AL114" s="37"/>
      <c r="AM114" s="37"/>
      <c r="AN114" s="37"/>
      <c r="AO114" s="37"/>
    </row>
    <row r="115" spans="1:41" s="27" customFormat="1" ht="17.5" customHeight="1" thickTop="1" x14ac:dyDescent="0.45">
      <c r="A115" s="68"/>
      <c r="B115" s="68" t="s">
        <v>132</v>
      </c>
      <c r="C115" s="68" t="s">
        <v>133</v>
      </c>
      <c r="D115" s="595" t="s">
        <v>751</v>
      </c>
      <c r="E115" s="588"/>
      <c r="F115" s="513">
        <v>5</v>
      </c>
      <c r="G115" s="35"/>
      <c r="H115" s="589">
        <v>11</v>
      </c>
      <c r="I115" s="590">
        <v>5</v>
      </c>
      <c r="J115" s="589">
        <v>21</v>
      </c>
      <c r="K115" s="567">
        <v>5</v>
      </c>
      <c r="L115" s="591">
        <v>14</v>
      </c>
      <c r="M115" s="592"/>
      <c r="N115" s="589">
        <v>20</v>
      </c>
      <c r="O115" s="567">
        <v>10</v>
      </c>
      <c r="P115" s="589">
        <v>21</v>
      </c>
      <c r="Q115" s="567">
        <v>5</v>
      </c>
      <c r="R115" s="589">
        <v>21</v>
      </c>
      <c r="S115" s="567">
        <v>5</v>
      </c>
      <c r="T115" s="593"/>
      <c r="U115" s="593"/>
      <c r="V115" s="564"/>
      <c r="W115" s="565"/>
      <c r="X115" s="564"/>
      <c r="Y115" s="565"/>
      <c r="Z115" s="564"/>
      <c r="AA115" s="565"/>
      <c r="AB115" s="564"/>
      <c r="AC115" s="565"/>
      <c r="AD115" s="564"/>
      <c r="AE115" s="594"/>
      <c r="AF115" s="305"/>
      <c r="AG115" s="37"/>
      <c r="AH115" s="37"/>
      <c r="AI115" s="37"/>
      <c r="AJ115" s="37"/>
      <c r="AK115" s="37"/>
      <c r="AL115" s="37"/>
      <c r="AM115" s="37"/>
      <c r="AN115" s="37"/>
      <c r="AO115" s="37"/>
    </row>
    <row r="116" spans="1:41" ht="17.5" customHeight="1" x14ac:dyDescent="0.45">
      <c r="B116" s="1" t="s">
        <v>1</v>
      </c>
      <c r="C116" s="1" t="s">
        <v>30</v>
      </c>
      <c r="D116" s="596" t="s">
        <v>751</v>
      </c>
      <c r="E116" s="399"/>
      <c r="F116" s="74">
        <v>5</v>
      </c>
      <c r="G116" s="35"/>
      <c r="H116" s="322"/>
      <c r="I116" s="322"/>
      <c r="J116" s="320">
        <v>27</v>
      </c>
      <c r="K116" s="315">
        <v>5</v>
      </c>
      <c r="L116" s="320">
        <v>20</v>
      </c>
      <c r="M116" s="315">
        <v>5</v>
      </c>
      <c r="N116" s="320">
        <v>23</v>
      </c>
      <c r="O116" s="315">
        <v>5</v>
      </c>
      <c r="P116" s="322"/>
      <c r="Q116" s="322"/>
      <c r="R116" s="322"/>
      <c r="S116" s="322"/>
      <c r="T116" s="322"/>
      <c r="U116" s="322"/>
      <c r="V116" s="322"/>
      <c r="W116" s="322"/>
      <c r="X116" s="322"/>
      <c r="Y116" s="322"/>
      <c r="Z116" s="322"/>
      <c r="AA116" s="322"/>
      <c r="AB116" s="322"/>
      <c r="AC116" s="322"/>
      <c r="AD116" s="318"/>
      <c r="AE116" s="319"/>
      <c r="AF116" s="305"/>
    </row>
    <row r="117" spans="1:41" s="27" customFormat="1" ht="17.5" customHeight="1" x14ac:dyDescent="0.45">
      <c r="A117" s="1"/>
      <c r="B117" s="1" t="s">
        <v>20</v>
      </c>
      <c r="C117" s="1" t="s">
        <v>36</v>
      </c>
      <c r="D117" s="596" t="s">
        <v>751</v>
      </c>
      <c r="E117" s="400"/>
      <c r="F117" s="364">
        <v>5</v>
      </c>
      <c r="G117" s="35"/>
      <c r="H117" s="329">
        <v>24</v>
      </c>
      <c r="I117" s="314">
        <v>5</v>
      </c>
      <c r="J117" s="329">
        <v>23</v>
      </c>
      <c r="K117" s="315">
        <v>5</v>
      </c>
      <c r="L117" s="320">
        <v>23</v>
      </c>
      <c r="M117" s="315">
        <v>5</v>
      </c>
      <c r="N117" s="320">
        <v>23</v>
      </c>
      <c r="O117" s="315">
        <v>5</v>
      </c>
      <c r="P117" s="337"/>
      <c r="Q117" s="362"/>
      <c r="R117" s="337"/>
      <c r="S117" s="362"/>
      <c r="T117" s="322"/>
      <c r="U117" s="322"/>
      <c r="V117" s="322"/>
      <c r="W117" s="322"/>
      <c r="X117" s="325">
        <v>24</v>
      </c>
      <c r="Y117" s="315">
        <v>5</v>
      </c>
      <c r="Z117" s="325">
        <v>23</v>
      </c>
      <c r="AA117" s="315">
        <v>5</v>
      </c>
      <c r="AB117" s="325">
        <v>23</v>
      </c>
      <c r="AC117" s="315">
        <v>5</v>
      </c>
      <c r="AD117" s="318"/>
      <c r="AE117" s="319"/>
      <c r="AF117" s="305"/>
      <c r="AG117" s="37"/>
      <c r="AH117" s="37"/>
      <c r="AI117" s="37"/>
      <c r="AJ117" s="37"/>
      <c r="AK117" s="37"/>
      <c r="AL117" s="37"/>
      <c r="AM117" s="37"/>
      <c r="AN117" s="37"/>
      <c r="AO117" s="37"/>
    </row>
    <row r="118" spans="1:41" s="27" customFormat="1" ht="17.5" customHeight="1" x14ac:dyDescent="0.45">
      <c r="B118" s="1" t="s">
        <v>134</v>
      </c>
      <c r="C118" s="1" t="s">
        <v>30</v>
      </c>
      <c r="D118" s="596" t="s">
        <v>751</v>
      </c>
      <c r="E118" s="400"/>
      <c r="F118" s="364">
        <v>5</v>
      </c>
      <c r="G118" s="35"/>
      <c r="H118" s="320">
        <v>17</v>
      </c>
      <c r="I118" s="314">
        <v>5</v>
      </c>
      <c r="J118" s="322"/>
      <c r="K118" s="322"/>
      <c r="L118" s="322"/>
      <c r="M118" s="322"/>
      <c r="N118" s="322"/>
      <c r="O118" s="322"/>
      <c r="P118" s="322"/>
      <c r="Q118" s="322"/>
      <c r="R118" s="320">
        <v>11</v>
      </c>
      <c r="S118" s="315">
        <v>5</v>
      </c>
      <c r="T118" s="322"/>
      <c r="U118" s="322"/>
      <c r="V118" s="322"/>
      <c r="W118" s="322"/>
      <c r="X118" s="325">
        <v>5</v>
      </c>
      <c r="Y118" s="315">
        <v>5</v>
      </c>
      <c r="Z118" s="325">
        <v>2</v>
      </c>
      <c r="AA118" s="315">
        <v>5</v>
      </c>
      <c r="AB118" s="325">
        <v>4</v>
      </c>
      <c r="AC118" s="315">
        <v>5</v>
      </c>
      <c r="AD118" s="318"/>
      <c r="AE118" s="319"/>
      <c r="AF118" s="305"/>
      <c r="AG118" s="37"/>
      <c r="AH118" s="37"/>
      <c r="AI118" s="37"/>
      <c r="AJ118" s="37"/>
      <c r="AK118" s="37"/>
      <c r="AL118" s="37"/>
      <c r="AM118" s="37"/>
      <c r="AN118" s="37"/>
      <c r="AO118" s="37"/>
    </row>
    <row r="119" spans="1:41" s="27" customFormat="1" ht="17.5" customHeight="1" x14ac:dyDescent="0.45">
      <c r="B119" s="1" t="s">
        <v>74</v>
      </c>
      <c r="C119" s="1" t="s">
        <v>75</v>
      </c>
      <c r="D119" s="596" t="s">
        <v>751</v>
      </c>
      <c r="E119" s="399"/>
      <c r="F119" s="364">
        <v>5</v>
      </c>
      <c r="G119" s="35"/>
      <c r="H119" s="320">
        <v>20</v>
      </c>
      <c r="I119" s="314">
        <v>5</v>
      </c>
      <c r="J119" s="322"/>
      <c r="K119" s="322"/>
      <c r="L119" s="320">
        <v>5</v>
      </c>
      <c r="M119" s="315">
        <v>5</v>
      </c>
      <c r="N119" s="322"/>
      <c r="O119" s="322"/>
      <c r="P119" s="322"/>
      <c r="Q119" s="322"/>
      <c r="R119" s="322"/>
      <c r="S119" s="322"/>
      <c r="T119" s="322"/>
      <c r="U119" s="322"/>
      <c r="V119" s="325">
        <v>15</v>
      </c>
      <c r="W119" s="315">
        <v>5</v>
      </c>
      <c r="X119" s="327"/>
      <c r="Y119" s="327"/>
      <c r="Z119" s="325">
        <v>9</v>
      </c>
      <c r="AA119" s="315">
        <v>5</v>
      </c>
      <c r="AB119" s="325">
        <v>30</v>
      </c>
      <c r="AC119" s="315">
        <v>5</v>
      </c>
      <c r="AD119" s="318"/>
      <c r="AE119" s="319"/>
      <c r="AF119" s="305"/>
      <c r="AG119" s="37"/>
      <c r="AH119" s="37"/>
      <c r="AI119" s="37"/>
      <c r="AJ119" s="37"/>
      <c r="AK119" s="37"/>
      <c r="AL119" s="37"/>
      <c r="AM119" s="37"/>
      <c r="AN119" s="37"/>
      <c r="AO119" s="37"/>
    </row>
    <row r="120" spans="1:41" s="27" customFormat="1" ht="17.5" customHeight="1" x14ac:dyDescent="0.45">
      <c r="A120" s="1"/>
      <c r="B120" s="27" t="s">
        <v>728</v>
      </c>
      <c r="C120" s="512" t="s">
        <v>57</v>
      </c>
      <c r="D120" s="596" t="s">
        <v>751</v>
      </c>
      <c r="E120" s="400"/>
      <c r="F120" s="74">
        <v>20</v>
      </c>
      <c r="G120" s="35"/>
      <c r="H120" s="320">
        <v>28</v>
      </c>
      <c r="I120" s="348">
        <v>20</v>
      </c>
      <c r="J120" s="320">
        <v>25</v>
      </c>
      <c r="K120" s="348">
        <v>20</v>
      </c>
      <c r="L120" s="320">
        <v>24</v>
      </c>
      <c r="M120" s="348">
        <v>20</v>
      </c>
      <c r="N120" s="330">
        <v>21</v>
      </c>
      <c r="O120" s="348">
        <v>20</v>
      </c>
      <c r="P120" s="330">
        <v>19</v>
      </c>
      <c r="Q120" s="348">
        <v>20</v>
      </c>
      <c r="R120" s="318"/>
      <c r="S120" s="319"/>
      <c r="T120" s="318"/>
      <c r="U120" s="319"/>
      <c r="V120" s="318"/>
      <c r="W120" s="319"/>
      <c r="X120" s="318"/>
      <c r="Y120" s="362"/>
      <c r="Z120" s="394"/>
      <c r="AA120" s="362"/>
      <c r="AB120" s="318"/>
      <c r="AC120" s="362"/>
      <c r="AD120" s="318"/>
      <c r="AE120" s="362"/>
      <c r="AF120" s="305"/>
      <c r="AG120" s="523"/>
      <c r="AH120" s="523"/>
      <c r="AI120" s="523"/>
      <c r="AJ120" s="523"/>
      <c r="AK120" s="523"/>
      <c r="AL120" s="523"/>
      <c r="AM120" s="523"/>
      <c r="AN120" s="523"/>
      <c r="AO120" s="523"/>
    </row>
    <row r="121" spans="1:41" s="27" customFormat="1" ht="17.5" customHeight="1" x14ac:dyDescent="0.45">
      <c r="B121" s="123" t="s">
        <v>389</v>
      </c>
      <c r="C121" s="124" t="s">
        <v>56</v>
      </c>
      <c r="D121" s="596" t="s">
        <v>751</v>
      </c>
      <c r="E121" s="382"/>
      <c r="F121" s="74">
        <v>20</v>
      </c>
      <c r="G121" s="35"/>
      <c r="H121" s="320">
        <v>11</v>
      </c>
      <c r="I121" s="314">
        <v>5</v>
      </c>
      <c r="J121" s="318"/>
      <c r="K121" s="362"/>
      <c r="L121" s="318"/>
      <c r="M121" s="319"/>
      <c r="N121" s="318"/>
      <c r="O121" s="362"/>
      <c r="P121" s="318"/>
      <c r="Q121" s="319"/>
      <c r="R121" s="318"/>
      <c r="S121" s="362"/>
      <c r="T121" s="318"/>
      <c r="U121" s="362"/>
      <c r="V121" s="325">
        <v>12</v>
      </c>
      <c r="W121" s="315">
        <v>20</v>
      </c>
      <c r="X121" s="360"/>
      <c r="Y121" s="360"/>
      <c r="Z121" s="325">
        <v>10</v>
      </c>
      <c r="AA121" s="315">
        <v>20</v>
      </c>
      <c r="AB121" s="360"/>
      <c r="AC121" s="360"/>
      <c r="AD121" s="318"/>
      <c r="AE121" s="319"/>
      <c r="AF121" s="305"/>
      <c r="AG121" s="523"/>
      <c r="AH121" s="523"/>
      <c r="AI121" s="523"/>
      <c r="AJ121" s="523"/>
      <c r="AK121" s="523"/>
      <c r="AL121" s="523"/>
      <c r="AM121" s="523"/>
      <c r="AN121" s="523"/>
      <c r="AO121" s="523"/>
    </row>
    <row r="122" spans="1:41" ht="17.5" customHeight="1" x14ac:dyDescent="0.45">
      <c r="B122" s="1" t="s">
        <v>173</v>
      </c>
      <c r="C122" s="1" t="s">
        <v>174</v>
      </c>
      <c r="D122" s="596" t="s">
        <v>751</v>
      </c>
      <c r="E122" s="400"/>
      <c r="F122" s="74">
        <v>5</v>
      </c>
      <c r="G122" s="35"/>
      <c r="H122" s="318"/>
      <c r="I122" s="319"/>
      <c r="J122" s="322"/>
      <c r="K122" s="322"/>
      <c r="L122" s="322"/>
      <c r="M122" s="322"/>
      <c r="N122" s="322"/>
      <c r="O122" s="322"/>
      <c r="P122" s="320">
        <v>21</v>
      </c>
      <c r="Q122" s="315">
        <v>5</v>
      </c>
      <c r="R122" s="320">
        <v>18</v>
      </c>
      <c r="S122" s="315">
        <v>5</v>
      </c>
      <c r="T122" s="320">
        <v>17</v>
      </c>
      <c r="U122" s="315">
        <v>5</v>
      </c>
      <c r="V122" s="320">
        <v>29</v>
      </c>
      <c r="W122" s="315">
        <v>10</v>
      </c>
      <c r="X122" s="327"/>
      <c r="Y122" s="327"/>
      <c r="Z122" s="320">
        <v>12</v>
      </c>
      <c r="AA122" s="315">
        <v>5</v>
      </c>
      <c r="AB122" s="320">
        <v>12</v>
      </c>
      <c r="AC122" s="315">
        <v>5</v>
      </c>
      <c r="AD122" s="318"/>
      <c r="AE122" s="319"/>
      <c r="AF122" s="305"/>
    </row>
    <row r="123" spans="1:41" s="27" customFormat="1" ht="17.5" customHeight="1" x14ac:dyDescent="0.45">
      <c r="B123" s="27" t="s">
        <v>344</v>
      </c>
      <c r="C123" s="27" t="s">
        <v>345</v>
      </c>
      <c r="D123" s="596" t="s">
        <v>751</v>
      </c>
      <c r="E123" s="400"/>
      <c r="F123" s="364">
        <v>5</v>
      </c>
      <c r="G123" s="35"/>
      <c r="H123" s="318"/>
      <c r="I123" s="319"/>
      <c r="J123" s="318"/>
      <c r="K123" s="319"/>
      <c r="L123" s="318"/>
      <c r="M123" s="319"/>
      <c r="N123" s="318"/>
      <c r="O123" s="319"/>
      <c r="P123" s="318"/>
      <c r="Q123" s="319"/>
      <c r="R123" s="325">
        <v>12</v>
      </c>
      <c r="S123" s="315">
        <v>5</v>
      </c>
      <c r="T123" s="322"/>
      <c r="U123" s="322"/>
      <c r="V123" s="325">
        <v>12</v>
      </c>
      <c r="W123" s="315">
        <v>5</v>
      </c>
      <c r="X123" s="325">
        <v>15</v>
      </c>
      <c r="Y123" s="315">
        <v>5</v>
      </c>
      <c r="Z123" s="325">
        <v>12</v>
      </c>
      <c r="AA123" s="315">
        <v>5</v>
      </c>
      <c r="AB123" s="325">
        <v>12</v>
      </c>
      <c r="AC123" s="315">
        <v>5</v>
      </c>
      <c r="AD123" s="318"/>
      <c r="AE123" s="319"/>
      <c r="AF123" s="305"/>
      <c r="AG123" s="37"/>
      <c r="AH123" s="37"/>
      <c r="AI123" s="37"/>
      <c r="AJ123" s="37"/>
      <c r="AK123" s="37"/>
      <c r="AL123" s="37"/>
      <c r="AM123" s="37"/>
      <c r="AN123" s="37"/>
      <c r="AO123" s="37"/>
    </row>
    <row r="124" spans="1:41" s="27" customFormat="1" ht="17.5" customHeight="1" x14ac:dyDescent="0.45">
      <c r="A124" s="1"/>
      <c r="B124" s="27" t="s">
        <v>388</v>
      </c>
      <c r="C124" s="27" t="s">
        <v>374</v>
      </c>
      <c r="D124" s="596" t="s">
        <v>751</v>
      </c>
      <c r="E124" s="400"/>
      <c r="F124" s="134">
        <v>20</v>
      </c>
      <c r="G124" s="35"/>
      <c r="H124" s="318"/>
      <c r="I124" s="319"/>
      <c r="J124" s="318"/>
      <c r="K124" s="319"/>
      <c r="L124" s="318"/>
      <c r="M124" s="319"/>
      <c r="N124" s="318"/>
      <c r="O124" s="319"/>
      <c r="P124" s="318"/>
      <c r="Q124" s="319"/>
      <c r="R124" s="325">
        <v>27</v>
      </c>
      <c r="S124" s="315">
        <v>20</v>
      </c>
      <c r="T124" s="322"/>
      <c r="U124" s="322"/>
      <c r="V124" s="325">
        <v>23</v>
      </c>
      <c r="W124" s="315">
        <v>20</v>
      </c>
      <c r="X124" s="325">
        <v>24</v>
      </c>
      <c r="Y124" s="315">
        <v>20</v>
      </c>
      <c r="Z124" s="325">
        <v>29</v>
      </c>
      <c r="AA124" s="315">
        <v>20</v>
      </c>
      <c r="AB124" s="325">
        <v>25</v>
      </c>
      <c r="AC124" s="315">
        <v>20</v>
      </c>
      <c r="AD124" s="318"/>
      <c r="AE124" s="319"/>
      <c r="AF124" s="305"/>
      <c r="AG124" s="523"/>
      <c r="AH124" s="523"/>
      <c r="AI124" s="523"/>
      <c r="AJ124" s="523"/>
      <c r="AK124" s="523"/>
      <c r="AL124" s="523"/>
      <c r="AM124" s="523"/>
      <c r="AN124" s="523"/>
      <c r="AO124" s="523"/>
    </row>
    <row r="125" spans="1:41" s="27" customFormat="1" ht="17.5" customHeight="1" x14ac:dyDescent="0.45">
      <c r="B125" s="27" t="s">
        <v>375</v>
      </c>
      <c r="C125" s="27" t="s">
        <v>376</v>
      </c>
      <c r="D125" s="596" t="s">
        <v>751</v>
      </c>
      <c r="E125" s="382"/>
      <c r="F125" s="364">
        <v>5</v>
      </c>
      <c r="G125" s="35"/>
      <c r="H125" s="318"/>
      <c r="I125" s="319"/>
      <c r="J125" s="318"/>
      <c r="K125" s="319"/>
      <c r="L125" s="318"/>
      <c r="M125" s="319"/>
      <c r="N125" s="318"/>
      <c r="O125" s="319"/>
      <c r="P125" s="318"/>
      <c r="Q125" s="319"/>
      <c r="R125" s="325">
        <v>27</v>
      </c>
      <c r="S125" s="315">
        <v>5</v>
      </c>
      <c r="T125" s="322"/>
      <c r="U125" s="322"/>
      <c r="V125" s="325">
        <v>5</v>
      </c>
      <c r="W125" s="315">
        <v>5</v>
      </c>
      <c r="X125" s="325">
        <v>2</v>
      </c>
      <c r="Y125" s="315">
        <v>5</v>
      </c>
      <c r="Z125" s="318"/>
      <c r="AA125" s="319"/>
      <c r="AB125" s="318"/>
      <c r="AC125" s="319"/>
      <c r="AD125" s="318"/>
      <c r="AE125" s="319"/>
      <c r="AF125" s="305"/>
      <c r="AG125" s="37"/>
      <c r="AH125" s="37"/>
      <c r="AI125" s="37"/>
      <c r="AJ125" s="37"/>
      <c r="AK125" s="37"/>
      <c r="AL125" s="37"/>
      <c r="AM125" s="37"/>
      <c r="AN125" s="37"/>
      <c r="AO125" s="37"/>
    </row>
    <row r="126" spans="1:41" s="27" customFormat="1" ht="17.5" customHeight="1" x14ac:dyDescent="0.45">
      <c r="B126" s="27" t="s">
        <v>381</v>
      </c>
      <c r="C126" s="27" t="s">
        <v>382</v>
      </c>
      <c r="D126" s="596" t="s">
        <v>751</v>
      </c>
      <c r="E126" s="400"/>
      <c r="F126" s="364">
        <v>5</v>
      </c>
      <c r="G126" s="35"/>
      <c r="H126" s="318"/>
      <c r="I126" s="319"/>
      <c r="J126" s="318"/>
      <c r="K126" s="319"/>
      <c r="L126" s="318"/>
      <c r="M126" s="319"/>
      <c r="N126" s="318"/>
      <c r="O126" s="319"/>
      <c r="P126" s="318"/>
      <c r="Q126" s="319"/>
      <c r="R126" s="318"/>
      <c r="S126" s="319"/>
      <c r="T126" s="325">
        <v>17</v>
      </c>
      <c r="U126" s="315">
        <v>5</v>
      </c>
      <c r="V126" s="325">
        <v>16</v>
      </c>
      <c r="W126" s="315">
        <v>5</v>
      </c>
      <c r="X126" s="325">
        <v>16</v>
      </c>
      <c r="Y126" s="315">
        <v>5</v>
      </c>
      <c r="Z126" s="325">
        <v>17</v>
      </c>
      <c r="AA126" s="315">
        <v>5</v>
      </c>
      <c r="AB126" s="325">
        <v>17</v>
      </c>
      <c r="AC126" s="315">
        <v>10</v>
      </c>
      <c r="AD126" s="318"/>
      <c r="AE126" s="319"/>
      <c r="AF126" s="305"/>
      <c r="AG126" s="37"/>
      <c r="AH126" s="37"/>
      <c r="AI126" s="37"/>
      <c r="AJ126" s="37"/>
      <c r="AK126" s="37"/>
      <c r="AL126" s="37"/>
      <c r="AM126" s="37"/>
      <c r="AN126" s="37"/>
      <c r="AO126" s="37"/>
    </row>
    <row r="127" spans="1:41" s="27" customFormat="1" ht="17.5" customHeight="1" x14ac:dyDescent="0.45">
      <c r="B127" s="27" t="s">
        <v>384</v>
      </c>
      <c r="C127" s="27" t="s">
        <v>385</v>
      </c>
      <c r="D127" s="596" t="s">
        <v>751</v>
      </c>
      <c r="E127" s="400"/>
      <c r="F127" s="134">
        <v>5</v>
      </c>
      <c r="G127" s="35"/>
      <c r="H127" s="318"/>
      <c r="I127" s="319"/>
      <c r="J127" s="318"/>
      <c r="K127" s="319"/>
      <c r="L127" s="318"/>
      <c r="M127" s="319"/>
      <c r="N127" s="318"/>
      <c r="O127" s="319"/>
      <c r="P127" s="318"/>
      <c r="Q127" s="319"/>
      <c r="R127" s="318"/>
      <c r="S127" s="319"/>
      <c r="T127" s="325">
        <v>24</v>
      </c>
      <c r="U127" s="315">
        <v>5</v>
      </c>
      <c r="V127" s="360"/>
      <c r="W127" s="360"/>
      <c r="X127" s="325">
        <v>3</v>
      </c>
      <c r="Y127" s="315">
        <v>5</v>
      </c>
      <c r="Z127" s="325">
        <v>3</v>
      </c>
      <c r="AA127" s="315">
        <v>5</v>
      </c>
      <c r="AB127" s="325">
        <v>4</v>
      </c>
      <c r="AC127" s="315">
        <v>5</v>
      </c>
      <c r="AD127" s="318"/>
      <c r="AE127" s="319"/>
      <c r="AF127" s="305"/>
      <c r="AG127" s="37"/>
      <c r="AH127" s="37"/>
      <c r="AI127" s="37"/>
      <c r="AJ127" s="37"/>
      <c r="AK127" s="37"/>
      <c r="AL127" s="37"/>
      <c r="AM127" s="37"/>
      <c r="AN127" s="37"/>
      <c r="AO127" s="37"/>
    </row>
    <row r="128" spans="1:41" s="27" customFormat="1" ht="17.5" customHeight="1" x14ac:dyDescent="0.45">
      <c r="B128" s="293" t="s">
        <v>396</v>
      </c>
      <c r="C128" s="27" t="s">
        <v>412</v>
      </c>
      <c r="D128" s="596" t="s">
        <v>751</v>
      </c>
      <c r="E128" s="400"/>
      <c r="F128" s="395">
        <v>5</v>
      </c>
      <c r="G128" s="35"/>
      <c r="H128" s="318"/>
      <c r="I128" s="319"/>
      <c r="J128" s="318"/>
      <c r="K128" s="362"/>
      <c r="L128" s="318"/>
      <c r="M128" s="319"/>
      <c r="N128" s="318"/>
      <c r="O128" s="362"/>
      <c r="P128" s="318"/>
      <c r="Q128" s="319"/>
      <c r="R128" s="318"/>
      <c r="S128" s="362"/>
      <c r="T128" s="318"/>
      <c r="U128" s="362"/>
      <c r="V128" s="318"/>
      <c r="W128" s="362"/>
      <c r="X128" s="325">
        <v>2</v>
      </c>
      <c r="Y128" s="315">
        <v>5</v>
      </c>
      <c r="Z128" s="325">
        <v>2</v>
      </c>
      <c r="AA128" s="315">
        <v>5</v>
      </c>
      <c r="AB128" s="325">
        <v>2</v>
      </c>
      <c r="AC128" s="315">
        <v>5</v>
      </c>
      <c r="AD128" s="318"/>
      <c r="AE128" s="319"/>
      <c r="AF128" s="305"/>
      <c r="AG128" s="37"/>
      <c r="AH128" s="37"/>
      <c r="AI128" s="37"/>
      <c r="AJ128" s="37"/>
      <c r="AK128" s="37"/>
      <c r="AL128" s="37"/>
      <c r="AM128" s="37"/>
      <c r="AN128" s="37"/>
      <c r="AO128" s="37"/>
    </row>
    <row r="129" spans="1:41" s="27" customFormat="1" ht="17.5" customHeight="1" x14ac:dyDescent="0.45">
      <c r="A129" s="1"/>
      <c r="B129" s="293" t="s">
        <v>402</v>
      </c>
      <c r="C129" s="27" t="s">
        <v>407</v>
      </c>
      <c r="D129" s="596" t="s">
        <v>751</v>
      </c>
      <c r="E129" s="413"/>
      <c r="F129" s="134">
        <v>5</v>
      </c>
      <c r="G129" s="35"/>
      <c r="H129" s="318"/>
      <c r="I129" s="319"/>
      <c r="J129" s="318"/>
      <c r="K129" s="319"/>
      <c r="L129" s="318"/>
      <c r="M129" s="319"/>
      <c r="N129" s="318"/>
      <c r="O129" s="319"/>
      <c r="P129" s="318"/>
      <c r="Q129" s="319"/>
      <c r="R129" s="318"/>
      <c r="S129" s="319"/>
      <c r="T129" s="318"/>
      <c r="U129" s="319"/>
      <c r="V129" s="318"/>
      <c r="W129" s="319"/>
      <c r="X129" s="325">
        <v>9</v>
      </c>
      <c r="Y129" s="315">
        <v>5</v>
      </c>
      <c r="Z129" s="325">
        <v>12</v>
      </c>
      <c r="AA129" s="315">
        <v>5</v>
      </c>
      <c r="AB129" s="318"/>
      <c r="AC129" s="319"/>
      <c r="AD129" s="318"/>
      <c r="AE129" s="319"/>
      <c r="AF129" s="305"/>
      <c r="AG129" s="37"/>
      <c r="AH129" s="37"/>
      <c r="AI129" s="37"/>
      <c r="AJ129" s="37"/>
      <c r="AK129" s="37"/>
      <c r="AL129" s="37"/>
      <c r="AM129" s="37"/>
      <c r="AN129" s="37"/>
      <c r="AO129" s="37"/>
    </row>
    <row r="130" spans="1:41" s="27" customFormat="1" ht="17.5" customHeight="1" x14ac:dyDescent="0.45">
      <c r="B130" s="293" t="s">
        <v>448</v>
      </c>
      <c r="C130" s="27" t="s">
        <v>423</v>
      </c>
      <c r="D130" s="596" t="s">
        <v>751</v>
      </c>
      <c r="E130" s="398"/>
      <c r="F130" s="395">
        <v>5</v>
      </c>
      <c r="G130" s="35"/>
      <c r="H130" s="318"/>
      <c r="I130" s="319"/>
      <c r="J130" s="318"/>
      <c r="K130" s="319"/>
      <c r="L130" s="318"/>
      <c r="M130" s="319"/>
      <c r="N130" s="318"/>
      <c r="O130" s="319"/>
      <c r="P130" s="318"/>
      <c r="Q130" s="319"/>
      <c r="R130" s="318"/>
      <c r="S130" s="319"/>
      <c r="T130" s="318"/>
      <c r="U130" s="319"/>
      <c r="V130" s="318"/>
      <c r="W130" s="319"/>
      <c r="X130" s="318"/>
      <c r="Y130" s="319"/>
      <c r="Z130" s="325" t="s">
        <v>449</v>
      </c>
      <c r="AA130" s="315">
        <v>5</v>
      </c>
      <c r="AB130" s="318"/>
      <c r="AC130" s="319"/>
      <c r="AD130" s="318"/>
      <c r="AE130" s="319"/>
      <c r="AF130" s="305"/>
      <c r="AG130" s="37"/>
      <c r="AH130" s="37"/>
      <c r="AI130" s="37"/>
      <c r="AJ130" s="37"/>
      <c r="AK130" s="37"/>
      <c r="AL130" s="37"/>
      <c r="AM130" s="37"/>
      <c r="AN130" s="37"/>
      <c r="AO130" s="37"/>
    </row>
    <row r="131" spans="1:41" s="27" customFormat="1" ht="17.5" customHeight="1" x14ac:dyDescent="0.45">
      <c r="B131" s="293" t="s">
        <v>454</v>
      </c>
      <c r="C131" s="27" t="s">
        <v>455</v>
      </c>
      <c r="D131" s="596" t="s">
        <v>751</v>
      </c>
      <c r="E131" s="400"/>
      <c r="F131" s="364">
        <v>5</v>
      </c>
      <c r="G131" s="35"/>
      <c r="H131" s="318"/>
      <c r="I131" s="319"/>
      <c r="J131" s="318"/>
      <c r="K131" s="319"/>
      <c r="L131" s="318"/>
      <c r="M131" s="319"/>
      <c r="N131" s="318"/>
      <c r="O131" s="319"/>
      <c r="P131" s="318"/>
      <c r="Q131" s="319"/>
      <c r="R131" s="318"/>
      <c r="S131" s="319"/>
      <c r="T131" s="318"/>
      <c r="U131" s="319"/>
      <c r="V131" s="318"/>
      <c r="W131" s="319"/>
      <c r="X131" s="318"/>
      <c r="Y131" s="319"/>
      <c r="Z131" s="325" t="s">
        <v>456</v>
      </c>
      <c r="AA131" s="315">
        <v>5</v>
      </c>
      <c r="AB131" s="318"/>
      <c r="AC131" s="319"/>
      <c r="AD131" s="318"/>
      <c r="AE131" s="319"/>
      <c r="AF131" s="305"/>
      <c r="AG131" s="37"/>
      <c r="AH131" s="37"/>
      <c r="AI131" s="37"/>
      <c r="AJ131" s="37"/>
      <c r="AK131" s="37"/>
      <c r="AL131" s="37"/>
      <c r="AM131" s="37"/>
      <c r="AN131" s="37"/>
      <c r="AO131" s="37"/>
    </row>
    <row r="132" spans="1:41" s="27" customFormat="1" ht="17.5" customHeight="1" x14ac:dyDescent="0.45">
      <c r="A132" s="1"/>
      <c r="B132" s="293" t="s">
        <v>426</v>
      </c>
      <c r="C132" s="27" t="s">
        <v>429</v>
      </c>
      <c r="D132" s="596" t="s">
        <v>751</v>
      </c>
      <c r="E132" s="400"/>
      <c r="F132" s="364">
        <v>5</v>
      </c>
      <c r="G132" s="35"/>
      <c r="H132" s="318"/>
      <c r="I132" s="362"/>
      <c r="J132" s="318"/>
      <c r="K132" s="362"/>
      <c r="L132" s="318"/>
      <c r="M132" s="362"/>
      <c r="N132" s="318"/>
      <c r="O132" s="362"/>
      <c r="P132" s="318"/>
      <c r="Q132" s="362"/>
      <c r="R132" s="318"/>
      <c r="S132" s="362"/>
      <c r="T132" s="318"/>
      <c r="U132" s="362"/>
      <c r="V132" s="318"/>
      <c r="W132" s="362"/>
      <c r="X132" s="318"/>
      <c r="Y132" s="362"/>
      <c r="Z132" s="325">
        <v>31</v>
      </c>
      <c r="AA132" s="315">
        <v>5</v>
      </c>
      <c r="AB132" s="325">
        <v>28</v>
      </c>
      <c r="AC132" s="315">
        <v>5</v>
      </c>
      <c r="AD132" s="318"/>
      <c r="AE132" s="319"/>
      <c r="AF132" s="305"/>
      <c r="AG132" s="37"/>
      <c r="AH132" s="37"/>
      <c r="AI132" s="37"/>
      <c r="AJ132" s="37"/>
      <c r="AK132" s="37"/>
      <c r="AL132" s="37"/>
      <c r="AM132" s="37"/>
      <c r="AN132" s="37"/>
      <c r="AO132" s="37"/>
    </row>
    <row r="133" spans="1:41" ht="17.5" customHeight="1" x14ac:dyDescent="0.45">
      <c r="D133" s="583"/>
      <c r="E133" s="381"/>
      <c r="F133" s="74"/>
      <c r="G133" s="35"/>
      <c r="H133" s="330"/>
      <c r="I133" s="344"/>
      <c r="J133" s="341"/>
      <c r="K133" s="348"/>
      <c r="L133" s="320"/>
      <c r="M133" s="348"/>
      <c r="N133" s="330"/>
      <c r="O133" s="348"/>
      <c r="P133" s="330"/>
      <c r="Q133" s="348"/>
      <c r="R133" s="330"/>
      <c r="S133" s="348"/>
      <c r="T133" s="330"/>
      <c r="U133" s="348"/>
      <c r="V133" s="330"/>
      <c r="W133" s="348"/>
      <c r="X133" s="330"/>
      <c r="Y133" s="348"/>
      <c r="Z133" s="330"/>
      <c r="AA133" s="348"/>
      <c r="AB133" s="330"/>
      <c r="AC133" s="348"/>
      <c r="AD133" s="330"/>
      <c r="AE133" s="406"/>
      <c r="AF133" s="305"/>
    </row>
    <row r="134" spans="1:41" ht="18" thickBot="1" x14ac:dyDescent="0.5">
      <c r="D134" s="536"/>
      <c r="E134" s="23"/>
      <c r="F134" s="272">
        <f>SUM(F115:F133)</f>
        <v>135</v>
      </c>
      <c r="G134" s="28"/>
      <c r="H134" s="228"/>
      <c r="I134" s="229"/>
      <c r="J134" s="228"/>
      <c r="K134" s="229"/>
      <c r="L134" s="228"/>
      <c r="M134" s="229"/>
      <c r="N134" s="228"/>
      <c r="O134" s="229"/>
      <c r="P134" s="228"/>
      <c r="Q134" s="229"/>
      <c r="R134" s="228"/>
      <c r="S134" s="229"/>
      <c r="T134" s="228"/>
      <c r="U134" s="229"/>
      <c r="V134" s="228"/>
      <c r="W134" s="229"/>
      <c r="X134" s="228"/>
      <c r="Y134" s="229"/>
      <c r="Z134" s="228"/>
      <c r="AA134" s="229"/>
      <c r="AB134" s="228"/>
      <c r="AC134" s="229"/>
      <c r="AD134" s="228"/>
      <c r="AE134" s="416">
        <f>SUM(I115:I133,K115:K133,M115:M133,O115:O133,Q115:Q133,S115:S133,U115:U133,W115:W133,Y115:Y133,AA115:AA133,AC115:AC133,AE115:AE133)</f>
        <v>545</v>
      </c>
      <c r="AF134" s="305"/>
    </row>
    <row r="135" spans="1:41" s="37" customFormat="1" ht="18" thickTop="1" x14ac:dyDescent="0.45">
      <c r="D135" s="585"/>
      <c r="H135" s="228"/>
      <c r="I135" s="229"/>
      <c r="J135" s="228"/>
      <c r="K135" s="229"/>
      <c r="L135" s="228"/>
      <c r="M135" s="229"/>
      <c r="N135" s="228"/>
      <c r="O135" s="229"/>
      <c r="P135" s="228"/>
      <c r="Q135" s="229"/>
      <c r="R135" s="228"/>
      <c r="S135" s="229"/>
      <c r="T135" s="228"/>
      <c r="U135" s="229"/>
      <c r="V135" s="228"/>
      <c r="W135" s="229"/>
      <c r="X135" s="228"/>
      <c r="Y135" s="229"/>
      <c r="Z135" s="228"/>
      <c r="AA135" s="229"/>
      <c r="AB135" s="228"/>
      <c r="AC135" s="229"/>
      <c r="AD135" s="228"/>
      <c r="AE135" s="229"/>
      <c r="AF135" s="39"/>
    </row>
    <row r="136" spans="1:41" s="37" customFormat="1" ht="17.5" x14ac:dyDescent="0.45">
      <c r="D136" s="585"/>
      <c r="H136" s="228"/>
      <c r="I136" s="229"/>
      <c r="J136" s="228"/>
      <c r="K136" s="229"/>
      <c r="L136" s="228"/>
      <c r="M136" s="229"/>
      <c r="N136" s="228"/>
      <c r="O136" s="229"/>
      <c r="P136" s="228"/>
      <c r="Q136" s="229"/>
      <c r="R136" s="228"/>
      <c r="S136" s="229"/>
      <c r="T136" s="228"/>
      <c r="U136" s="229"/>
      <c r="V136" s="228"/>
      <c r="W136" s="229"/>
      <c r="X136" s="228"/>
      <c r="Y136" s="229"/>
      <c r="Z136" s="228"/>
      <c r="AA136" s="229"/>
      <c r="AB136" s="228"/>
      <c r="AC136" s="229"/>
      <c r="AD136" s="228"/>
      <c r="AE136" s="229"/>
      <c r="AF136" s="39"/>
    </row>
    <row r="137" spans="1:41" s="37" customFormat="1" ht="17.5" x14ac:dyDescent="0.45">
      <c r="D137" s="585"/>
      <c r="H137" s="228"/>
      <c r="I137" s="229"/>
      <c r="J137" s="228"/>
      <c r="K137" s="229"/>
      <c r="L137" s="228"/>
      <c r="M137" s="229"/>
      <c r="N137" s="228"/>
      <c r="O137" s="229"/>
      <c r="P137" s="228"/>
      <c r="Q137" s="229"/>
      <c r="R137" s="228"/>
      <c r="S137" s="229"/>
      <c r="T137" s="228"/>
      <c r="U137" s="229"/>
      <c r="V137" s="228"/>
      <c r="W137" s="229"/>
      <c r="X137" s="228"/>
      <c r="Y137" s="229"/>
      <c r="Z137" s="228"/>
      <c r="AA137" s="229"/>
      <c r="AB137" s="228"/>
      <c r="AC137" s="229"/>
      <c r="AD137" s="228"/>
      <c r="AE137" s="229"/>
      <c r="AF137" s="39"/>
    </row>
    <row r="138" spans="1:41" s="37" customFormat="1" ht="17.5" x14ac:dyDescent="0.45">
      <c r="D138" s="585"/>
      <c r="H138" s="228"/>
      <c r="I138" s="230"/>
      <c r="J138" s="228"/>
      <c r="K138" s="230"/>
      <c r="L138" s="228"/>
      <c r="M138" s="230"/>
      <c r="N138" s="228"/>
      <c r="O138" s="230"/>
      <c r="P138" s="228"/>
      <c r="Q138" s="230"/>
      <c r="R138" s="228"/>
      <c r="S138" s="230"/>
      <c r="T138" s="228"/>
      <c r="U138" s="230"/>
      <c r="V138" s="228"/>
      <c r="W138" s="230"/>
      <c r="X138" s="228"/>
      <c r="Y138" s="230"/>
      <c r="Z138" s="228"/>
      <c r="AA138" s="230"/>
      <c r="AB138" s="228"/>
      <c r="AC138" s="230"/>
      <c r="AD138" s="228"/>
      <c r="AE138" s="230"/>
    </row>
    <row r="139" spans="1:41" s="37" customFormat="1" ht="17.5" x14ac:dyDescent="0.45">
      <c r="D139" s="585"/>
      <c r="H139" s="228"/>
      <c r="I139" s="230"/>
      <c r="J139" s="228"/>
      <c r="K139" s="230"/>
      <c r="L139" s="228"/>
      <c r="M139" s="230"/>
      <c r="N139" s="228"/>
      <c r="O139" s="230"/>
      <c r="P139" s="228"/>
      <c r="Q139" s="230"/>
      <c r="R139" s="228"/>
      <c r="S139" s="230"/>
      <c r="T139" s="228"/>
      <c r="U139" s="230"/>
      <c r="V139" s="228"/>
      <c r="W139" s="230"/>
      <c r="X139" s="228"/>
      <c r="Y139" s="230"/>
      <c r="Z139" s="228"/>
      <c r="AA139" s="230"/>
      <c r="AB139" s="228"/>
      <c r="AC139" s="230"/>
      <c r="AD139" s="228"/>
      <c r="AE139" s="230"/>
    </row>
    <row r="140" spans="1:41" s="37" customFormat="1" ht="17.5" x14ac:dyDescent="0.45">
      <c r="D140" s="585"/>
      <c r="H140" s="228"/>
      <c r="I140" s="230"/>
      <c r="J140" s="228"/>
      <c r="K140" s="230"/>
      <c r="L140" s="228"/>
      <c r="M140" s="230"/>
      <c r="N140" s="228"/>
      <c r="O140" s="230"/>
      <c r="P140" s="228"/>
      <c r="Q140" s="230"/>
      <c r="R140" s="228"/>
      <c r="S140" s="230"/>
      <c r="T140" s="228"/>
      <c r="U140" s="230"/>
      <c r="V140" s="228"/>
      <c r="W140" s="230"/>
      <c r="X140" s="228"/>
      <c r="Y140" s="230"/>
      <c r="Z140" s="228"/>
      <c r="AA140" s="230"/>
      <c r="AB140" s="228"/>
      <c r="AC140" s="230"/>
      <c r="AD140" s="228"/>
      <c r="AE140" s="230"/>
    </row>
    <row r="141" spans="1:41" s="37" customFormat="1" ht="17.5" x14ac:dyDescent="0.45">
      <c r="D141" s="585"/>
      <c r="H141" s="228"/>
      <c r="I141" s="230"/>
      <c r="J141" s="228"/>
      <c r="K141" s="230"/>
      <c r="L141" s="228"/>
      <c r="M141" s="230"/>
      <c r="N141" s="228"/>
      <c r="O141" s="230"/>
      <c r="P141" s="228"/>
      <c r="Q141" s="230"/>
      <c r="R141" s="228"/>
      <c r="S141" s="230"/>
      <c r="T141" s="228"/>
      <c r="U141" s="230"/>
      <c r="V141" s="228"/>
      <c r="W141" s="230"/>
      <c r="X141" s="228"/>
      <c r="Y141" s="230"/>
      <c r="Z141" s="228"/>
      <c r="AA141" s="230"/>
      <c r="AB141" s="228"/>
      <c r="AC141" s="230"/>
      <c r="AD141" s="228"/>
      <c r="AE141" s="230"/>
    </row>
    <row r="142" spans="1:41" s="37" customFormat="1" ht="17.5" x14ac:dyDescent="0.45">
      <c r="D142" s="585"/>
      <c r="H142" s="228"/>
      <c r="I142" s="230"/>
      <c r="J142" s="228"/>
      <c r="K142" s="230"/>
      <c r="L142" s="228"/>
      <c r="M142" s="230"/>
      <c r="N142" s="228"/>
      <c r="O142" s="230"/>
      <c r="P142" s="228"/>
      <c r="Q142" s="230"/>
      <c r="R142" s="228"/>
      <c r="S142" s="230"/>
      <c r="T142" s="228"/>
      <c r="U142" s="230"/>
      <c r="V142" s="228"/>
      <c r="W142" s="230"/>
      <c r="X142" s="228"/>
      <c r="Y142" s="230"/>
      <c r="Z142" s="228"/>
      <c r="AA142" s="230"/>
      <c r="AB142" s="228"/>
      <c r="AC142" s="230"/>
      <c r="AD142" s="228"/>
      <c r="AE142" s="230"/>
    </row>
    <row r="143" spans="1:41" s="37" customFormat="1" ht="17.5" x14ac:dyDescent="0.45">
      <c r="D143" s="585"/>
      <c r="H143" s="228"/>
      <c r="I143" s="230"/>
      <c r="J143" s="228"/>
      <c r="K143" s="230"/>
      <c r="L143" s="228"/>
      <c r="M143" s="230"/>
      <c r="N143" s="228"/>
      <c r="O143" s="230"/>
      <c r="P143" s="228"/>
      <c r="Q143" s="230"/>
      <c r="R143" s="228"/>
      <c r="S143" s="230"/>
      <c r="T143" s="228"/>
      <c r="U143" s="230"/>
      <c r="V143" s="228"/>
      <c r="W143" s="230"/>
      <c r="X143" s="228"/>
      <c r="Y143" s="230"/>
      <c r="Z143" s="228"/>
      <c r="AA143" s="230"/>
      <c r="AB143" s="228"/>
      <c r="AC143" s="230"/>
      <c r="AD143" s="228"/>
      <c r="AE143" s="230"/>
    </row>
    <row r="144" spans="1:41" s="37" customFormat="1" ht="17.5" x14ac:dyDescent="0.45">
      <c r="D144" s="585"/>
      <c r="H144" s="228"/>
      <c r="I144" s="230"/>
      <c r="J144" s="228"/>
      <c r="K144" s="230"/>
      <c r="L144" s="228"/>
      <c r="M144" s="230"/>
      <c r="N144" s="228"/>
      <c r="O144" s="230"/>
      <c r="P144" s="228"/>
      <c r="Q144" s="230"/>
      <c r="R144" s="228"/>
      <c r="S144" s="230"/>
      <c r="T144" s="228"/>
      <c r="U144" s="230"/>
      <c r="V144" s="228"/>
      <c r="W144" s="230"/>
      <c r="X144" s="228"/>
      <c r="Y144" s="230"/>
      <c r="Z144" s="228"/>
      <c r="AA144" s="230"/>
      <c r="AB144" s="228"/>
      <c r="AC144" s="230"/>
      <c r="AD144" s="228"/>
      <c r="AE144" s="230"/>
    </row>
    <row r="145" spans="4:31" s="37" customFormat="1" ht="17.5" x14ac:dyDescent="0.45">
      <c r="D145" s="585"/>
      <c r="H145" s="228"/>
      <c r="I145" s="230"/>
      <c r="J145" s="228"/>
      <c r="K145" s="230"/>
      <c r="L145" s="228"/>
      <c r="M145" s="230"/>
      <c r="N145" s="228"/>
      <c r="O145" s="230"/>
      <c r="P145" s="228"/>
      <c r="Q145" s="230"/>
      <c r="R145" s="228"/>
      <c r="S145" s="230"/>
      <c r="T145" s="228"/>
      <c r="U145" s="230"/>
      <c r="V145" s="228"/>
      <c r="W145" s="230"/>
      <c r="X145" s="228"/>
      <c r="Y145" s="230"/>
      <c r="Z145" s="228"/>
      <c r="AA145" s="230"/>
      <c r="AB145" s="228"/>
      <c r="AC145" s="230"/>
      <c r="AD145" s="228"/>
      <c r="AE145" s="230"/>
    </row>
    <row r="146" spans="4:31" s="37" customFormat="1" ht="17.5" x14ac:dyDescent="0.45">
      <c r="D146" s="585"/>
      <c r="H146" s="228"/>
      <c r="I146" s="230"/>
      <c r="J146" s="228"/>
      <c r="K146" s="230"/>
      <c r="L146" s="228"/>
      <c r="M146" s="230"/>
      <c r="N146" s="228"/>
      <c r="O146" s="230"/>
      <c r="P146" s="228"/>
      <c r="Q146" s="230"/>
      <c r="R146" s="228"/>
      <c r="S146" s="230"/>
      <c r="T146" s="228"/>
      <c r="U146" s="230"/>
      <c r="V146" s="228"/>
      <c r="W146" s="230"/>
      <c r="X146" s="228"/>
      <c r="Y146" s="230"/>
      <c r="Z146" s="228"/>
      <c r="AA146" s="230"/>
      <c r="AB146" s="228"/>
      <c r="AC146" s="230"/>
      <c r="AD146" s="228"/>
      <c r="AE146" s="230"/>
    </row>
    <row r="147" spans="4:31" s="37" customFormat="1" ht="17.5" x14ac:dyDescent="0.45">
      <c r="D147" s="585"/>
      <c r="H147" s="228"/>
      <c r="I147" s="230"/>
      <c r="J147" s="228"/>
      <c r="K147" s="230"/>
      <c r="L147" s="228"/>
      <c r="M147" s="230"/>
      <c r="N147" s="228"/>
      <c r="O147" s="230"/>
      <c r="P147" s="228"/>
      <c r="Q147" s="230"/>
      <c r="R147" s="228"/>
      <c r="S147" s="230"/>
      <c r="T147" s="228"/>
      <c r="U147" s="230"/>
      <c r="V147" s="228"/>
      <c r="W147" s="230"/>
      <c r="X147" s="228"/>
      <c r="Y147" s="230"/>
      <c r="Z147" s="228"/>
      <c r="AA147" s="230"/>
      <c r="AB147" s="228"/>
      <c r="AC147" s="230"/>
      <c r="AD147" s="228"/>
      <c r="AE147" s="230"/>
    </row>
    <row r="148" spans="4:31" s="37" customFormat="1" ht="17.5" x14ac:dyDescent="0.45">
      <c r="D148" s="585"/>
      <c r="H148" s="228"/>
      <c r="I148" s="230"/>
      <c r="J148" s="228"/>
      <c r="K148" s="230"/>
      <c r="L148" s="228"/>
      <c r="M148" s="230"/>
      <c r="N148" s="228"/>
      <c r="O148" s="230"/>
      <c r="P148" s="228"/>
      <c r="Q148" s="230"/>
      <c r="R148" s="228"/>
      <c r="S148" s="230"/>
      <c r="T148" s="228"/>
      <c r="U148" s="230"/>
      <c r="V148" s="228"/>
      <c r="W148" s="230"/>
      <c r="X148" s="228"/>
      <c r="Y148" s="230"/>
      <c r="Z148" s="228"/>
      <c r="AA148" s="230"/>
      <c r="AB148" s="228"/>
      <c r="AC148" s="230"/>
      <c r="AD148" s="228"/>
      <c r="AE148" s="230"/>
    </row>
    <row r="149" spans="4:31" s="37" customFormat="1" ht="17.5" x14ac:dyDescent="0.45">
      <c r="D149" s="585"/>
      <c r="H149" s="228"/>
      <c r="I149" s="230"/>
      <c r="J149" s="228"/>
      <c r="K149" s="230"/>
      <c r="L149" s="228"/>
      <c r="M149" s="230"/>
      <c r="N149" s="228"/>
      <c r="O149" s="230"/>
      <c r="P149" s="228"/>
      <c r="Q149" s="230"/>
      <c r="R149" s="228"/>
      <c r="S149" s="230"/>
      <c r="T149" s="228"/>
      <c r="U149" s="230"/>
      <c r="V149" s="228"/>
      <c r="W149" s="230"/>
      <c r="X149" s="228"/>
      <c r="Y149" s="230"/>
      <c r="Z149" s="228"/>
      <c r="AA149" s="230"/>
      <c r="AB149" s="228"/>
      <c r="AC149" s="230"/>
      <c r="AD149" s="228"/>
      <c r="AE149" s="230"/>
    </row>
    <row r="150" spans="4:31" s="37" customFormat="1" ht="17.5" x14ac:dyDescent="0.45">
      <c r="D150" s="585"/>
      <c r="H150" s="228"/>
      <c r="I150" s="230"/>
      <c r="J150" s="228"/>
      <c r="K150" s="230"/>
      <c r="L150" s="228"/>
      <c r="M150" s="230"/>
      <c r="N150" s="228"/>
      <c r="O150" s="230"/>
      <c r="P150" s="228"/>
      <c r="Q150" s="230"/>
      <c r="R150" s="228"/>
      <c r="S150" s="230"/>
      <c r="T150" s="228"/>
      <c r="U150" s="230"/>
      <c r="V150" s="228"/>
      <c r="W150" s="230"/>
      <c r="X150" s="228"/>
      <c r="Y150" s="230"/>
      <c r="Z150" s="228"/>
      <c r="AA150" s="230"/>
      <c r="AB150" s="228"/>
      <c r="AC150" s="230"/>
      <c r="AD150" s="228"/>
      <c r="AE150" s="230"/>
    </row>
    <row r="151" spans="4:31" s="37" customFormat="1" ht="17.5" x14ac:dyDescent="0.45">
      <c r="D151" s="585"/>
      <c r="H151" s="228"/>
      <c r="I151" s="230"/>
      <c r="J151" s="228"/>
      <c r="K151" s="230"/>
      <c r="L151" s="228"/>
      <c r="M151" s="230"/>
      <c r="N151" s="228"/>
      <c r="O151" s="230"/>
      <c r="P151" s="228"/>
      <c r="Q151" s="230"/>
      <c r="R151" s="228"/>
      <c r="S151" s="230"/>
      <c r="T151" s="228"/>
      <c r="U151" s="230"/>
      <c r="V151" s="228"/>
      <c r="W151" s="230"/>
      <c r="X151" s="228"/>
      <c r="Y151" s="230"/>
      <c r="Z151" s="228"/>
      <c r="AA151" s="230"/>
      <c r="AB151" s="228"/>
      <c r="AC151" s="230"/>
      <c r="AD151" s="228"/>
      <c r="AE151" s="230"/>
    </row>
  </sheetData>
  <sortState xmlns:xlrd2="http://schemas.microsoft.com/office/spreadsheetml/2017/richdata2" ref="A8:F15">
    <sortCondition ref="B8:B15"/>
  </sortState>
  <mergeCells count="21">
    <mergeCell ref="C1:C2"/>
    <mergeCell ref="D1:D2"/>
    <mergeCell ref="H47:AE49"/>
    <mergeCell ref="E1:E2"/>
    <mergeCell ref="A1:A2"/>
    <mergeCell ref="G1:G58"/>
    <mergeCell ref="F1:F2"/>
    <mergeCell ref="B1:B2"/>
    <mergeCell ref="B48:F49"/>
    <mergeCell ref="B57:F58"/>
    <mergeCell ref="B6:F7"/>
    <mergeCell ref="A114:B114"/>
    <mergeCell ref="H56:AE58"/>
    <mergeCell ref="H6:AE7"/>
    <mergeCell ref="H12:AE12"/>
    <mergeCell ref="H11:AE11"/>
    <mergeCell ref="A12:B12"/>
    <mergeCell ref="A24:B24"/>
    <mergeCell ref="A32:B32"/>
    <mergeCell ref="H36:AE38"/>
    <mergeCell ref="A38:B38"/>
  </mergeCells>
  <phoneticPr fontId="1" type="noConversion"/>
  <pageMargins left="0.7" right="0.7" top="0.75" bottom="0.75" header="0.3" footer="0.3"/>
  <pageSetup paperSize="9" orientation="portrait" horizontalDpi="300" verticalDpi="300"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70768-4A75-480B-BFD8-9A237A356DBC}">
  <sheetPr>
    <tabColor theme="5" tint="0.39997558519241921"/>
  </sheetPr>
  <dimension ref="A1:AU123"/>
  <sheetViews>
    <sheetView zoomScale="85" zoomScaleNormal="85" workbookViewId="0">
      <pane xSplit="6" topLeftCell="G1" activePane="topRight" state="frozen"/>
      <selection activeCell="B1" sqref="B1"/>
      <selection pane="topRight" activeCell="H8" sqref="H8:AE9"/>
    </sheetView>
  </sheetViews>
  <sheetFormatPr defaultRowHeight="17" x14ac:dyDescent="0.45"/>
  <cols>
    <col min="1" max="1" width="9" style="195" customWidth="1"/>
    <col min="2" max="2" width="12.33203125" customWidth="1"/>
    <col min="3" max="3" width="15.5" customWidth="1"/>
    <col min="4" max="4" width="11.5" style="542" customWidth="1"/>
    <col min="5" max="5" width="9" customWidth="1"/>
    <col min="6" max="6" width="11.08203125" customWidth="1"/>
    <col min="7" max="7" width="1" customWidth="1"/>
    <col min="8" max="8" width="5" style="104" customWidth="1"/>
    <col min="9" max="9" width="9" style="440"/>
    <col min="10" max="10" width="5" style="104" customWidth="1"/>
    <col min="11" max="11" width="9" style="440"/>
    <col min="12" max="12" width="5" style="104" customWidth="1"/>
    <col min="13" max="13" width="9" style="440"/>
    <col min="14" max="14" width="5" style="104" customWidth="1"/>
    <col min="15" max="15" width="9" style="440"/>
    <col min="16" max="16" width="5" style="104" customWidth="1"/>
    <col min="17" max="17" width="9" style="461"/>
    <col min="18" max="18" width="5" style="104" customWidth="1"/>
    <col min="19" max="19" width="9" style="461"/>
    <col min="20" max="20" width="5" style="104" customWidth="1"/>
    <col min="21" max="21" width="9" style="440"/>
    <col min="22" max="22" width="5" style="104" customWidth="1"/>
    <col min="23" max="23" width="9" style="440"/>
    <col min="24" max="24" width="5" style="104" customWidth="1"/>
    <col min="25" max="25" width="9" style="440"/>
    <col min="26" max="26" width="5" style="104" customWidth="1"/>
    <col min="27" max="27" width="9" style="440"/>
    <col min="28" max="28" width="5" style="104" customWidth="1"/>
    <col min="29" max="29" width="9" style="440"/>
    <col min="30" max="30" width="5" style="104" customWidth="1"/>
    <col min="31" max="31" width="9" style="440"/>
    <col min="32" max="32" width="1" customWidth="1"/>
    <col min="33" max="33" width="9" style="37"/>
  </cols>
  <sheetData>
    <row r="1" spans="1:41" ht="18.5" thickTop="1" thickBot="1" x14ac:dyDescent="0.5">
      <c r="A1" s="676" t="s">
        <v>85</v>
      </c>
      <c r="B1" s="678">
        <f>SUM(I3,K3,M3,O3,Q3,S3,U3,W3,Y3,AA3,AC3,AE3)</f>
        <v>5156.7</v>
      </c>
      <c r="C1" s="680" t="s">
        <v>9</v>
      </c>
      <c r="D1" s="682">
        <f>SUM(AE25)</f>
        <v>340</v>
      </c>
      <c r="E1" s="684" t="s">
        <v>397</v>
      </c>
      <c r="F1" s="711">
        <f>SUM(B1-D1)</f>
        <v>4816.7</v>
      </c>
      <c r="G1" s="685"/>
      <c r="H1" s="89"/>
      <c r="I1" s="85">
        <f>I3</f>
        <v>418.9</v>
      </c>
      <c r="J1" s="181"/>
      <c r="K1" s="85">
        <f t="shared" ref="K1" si="0">K3</f>
        <v>322.5</v>
      </c>
      <c r="L1" s="181"/>
      <c r="M1" s="85">
        <f t="shared" ref="M1" si="1">M3</f>
        <v>452</v>
      </c>
      <c r="N1" s="181"/>
      <c r="O1" s="85">
        <f t="shared" ref="O1" si="2">O3</f>
        <v>323.5</v>
      </c>
      <c r="P1" s="181"/>
      <c r="Q1" s="85">
        <f t="shared" ref="Q1" si="3">Q3</f>
        <v>549.70000000000005</v>
      </c>
      <c r="R1" s="181"/>
      <c r="S1" s="85">
        <f t="shared" ref="S1" si="4">S3</f>
        <v>391</v>
      </c>
      <c r="T1" s="181"/>
      <c r="U1" s="463">
        <f t="shared" ref="U1" si="5">U3</f>
        <v>410.1</v>
      </c>
      <c r="V1" s="181"/>
      <c r="W1" s="85">
        <f t="shared" ref="W1" si="6">W3</f>
        <v>263.5</v>
      </c>
      <c r="X1" s="181"/>
      <c r="Y1" s="85">
        <f t="shared" ref="Y1" si="7">Y3</f>
        <v>439.7</v>
      </c>
      <c r="Z1" s="181"/>
      <c r="AA1" s="85">
        <f t="shared" ref="AA1" si="8">AA3</f>
        <v>812.80000000000007</v>
      </c>
      <c r="AB1" s="181"/>
      <c r="AC1" s="85">
        <f t="shared" ref="AC1" si="9">AC3</f>
        <v>518</v>
      </c>
      <c r="AD1" s="181"/>
      <c r="AE1" s="85">
        <f t="shared" ref="AE1" si="10">AE3</f>
        <v>255</v>
      </c>
      <c r="AH1" s="515"/>
      <c r="AI1" s="707"/>
      <c r="AJ1" s="707"/>
      <c r="AK1" s="707"/>
      <c r="AL1" s="707"/>
      <c r="AM1" s="707"/>
      <c r="AN1" s="707"/>
      <c r="AO1" s="707"/>
    </row>
    <row r="2" spans="1:41" ht="18" thickTop="1" x14ac:dyDescent="0.45">
      <c r="A2" s="677"/>
      <c r="B2" s="679"/>
      <c r="C2" s="681"/>
      <c r="D2" s="683"/>
      <c r="E2" s="684"/>
      <c r="F2" s="711"/>
      <c r="G2" s="685"/>
      <c r="H2" s="97" t="s">
        <v>113</v>
      </c>
      <c r="I2" s="436" t="s">
        <v>85</v>
      </c>
      <c r="J2" s="97" t="s">
        <v>114</v>
      </c>
      <c r="K2" s="436" t="s">
        <v>85</v>
      </c>
      <c r="L2" s="97" t="s">
        <v>115</v>
      </c>
      <c r="M2" s="436" t="s">
        <v>85</v>
      </c>
      <c r="N2" s="97" t="s">
        <v>116</v>
      </c>
      <c r="O2" s="436" t="s">
        <v>85</v>
      </c>
      <c r="P2" s="97" t="s">
        <v>117</v>
      </c>
      <c r="Q2" s="436" t="s">
        <v>85</v>
      </c>
      <c r="R2" s="97" t="s">
        <v>118</v>
      </c>
      <c r="S2" s="436" t="s">
        <v>85</v>
      </c>
      <c r="T2" s="97" t="s">
        <v>119</v>
      </c>
      <c r="U2" s="436" t="s">
        <v>85</v>
      </c>
      <c r="V2" s="97" t="s">
        <v>120</v>
      </c>
      <c r="W2" s="436" t="s">
        <v>85</v>
      </c>
      <c r="X2" s="433" t="s">
        <v>121</v>
      </c>
      <c r="Y2" s="436" t="s">
        <v>85</v>
      </c>
      <c r="Z2" s="97" t="s">
        <v>122</v>
      </c>
      <c r="AA2" s="436" t="s">
        <v>85</v>
      </c>
      <c r="AB2" s="97" t="s">
        <v>123</v>
      </c>
      <c r="AC2" s="436" t="s">
        <v>85</v>
      </c>
      <c r="AD2" s="97" t="s">
        <v>124</v>
      </c>
      <c r="AE2" s="436" t="s">
        <v>85</v>
      </c>
      <c r="AG2" s="478" t="s">
        <v>460</v>
      </c>
      <c r="AH2" s="517" t="s">
        <v>739</v>
      </c>
      <c r="AI2" s="707"/>
      <c r="AJ2" s="707"/>
      <c r="AK2" s="707"/>
      <c r="AL2" s="707"/>
      <c r="AM2" s="707"/>
      <c r="AN2" s="707"/>
      <c r="AO2" s="707"/>
    </row>
    <row r="3" spans="1:41" ht="18" thickBot="1" x14ac:dyDescent="0.5">
      <c r="A3" s="276" t="s">
        <v>2</v>
      </c>
      <c r="B3" s="276" t="s">
        <v>0</v>
      </c>
      <c r="C3" s="276" t="s">
        <v>4</v>
      </c>
      <c r="D3" s="533" t="s">
        <v>750</v>
      </c>
      <c r="E3" s="379" t="s">
        <v>748</v>
      </c>
      <c r="F3" s="345" t="str">
        <f>SUM(F17,F25,F33,F48) &amp; "만"</f>
        <v>326만</v>
      </c>
      <c r="G3" s="685"/>
      <c r="H3" s="448"/>
      <c r="I3" s="437">
        <f>SUM(I6:I87)</f>
        <v>418.9</v>
      </c>
      <c r="J3" s="422"/>
      <c r="K3" s="437">
        <f>SUM(K6:K87)</f>
        <v>322.5</v>
      </c>
      <c r="L3" s="422"/>
      <c r="M3" s="437">
        <f>SUM(M6:M87)</f>
        <v>452</v>
      </c>
      <c r="N3" s="422"/>
      <c r="O3" s="437">
        <f>SUM(O6:O87)</f>
        <v>323.5</v>
      </c>
      <c r="P3" s="422"/>
      <c r="Q3" s="437">
        <f>SUM(Q6:Q87)</f>
        <v>549.70000000000005</v>
      </c>
      <c r="R3" s="422"/>
      <c r="S3" s="437">
        <f>SUM(S6:S87)</f>
        <v>391</v>
      </c>
      <c r="T3" s="422"/>
      <c r="U3" s="437">
        <f>SUM(U6:U87)</f>
        <v>410.1</v>
      </c>
      <c r="V3" s="422"/>
      <c r="W3" s="437">
        <f>SUM(W6:W87)</f>
        <v>263.5</v>
      </c>
      <c r="X3" s="422"/>
      <c r="Y3" s="437">
        <f>SUM(Y6:Y87)</f>
        <v>439.7</v>
      </c>
      <c r="Z3" s="422"/>
      <c r="AA3" s="437">
        <f>SUM(AA6:AA87)</f>
        <v>812.80000000000007</v>
      </c>
      <c r="AB3" s="422"/>
      <c r="AC3" s="437">
        <f>SUM(AC6:AC87)</f>
        <v>518</v>
      </c>
      <c r="AD3" s="422"/>
      <c r="AE3" s="437">
        <f>SUM(AE6:AE7,AE10:AE16,AE20:AE24,AE36:AE47)</f>
        <v>255</v>
      </c>
      <c r="AG3" s="479">
        <f>AVERAGE(I3,K3,M3,O3,Q3,S3,U3,W3,Y3,AA3,AC3,AE3)</f>
        <v>429.72499999999997</v>
      </c>
      <c r="AH3" s="516">
        <f>SUM(B17,B25,B48)</f>
        <v>26</v>
      </c>
      <c r="AI3" s="707"/>
      <c r="AJ3" s="707"/>
      <c r="AK3" s="707"/>
      <c r="AL3" s="707"/>
      <c r="AM3" s="707"/>
      <c r="AN3" s="707"/>
      <c r="AO3" s="707"/>
    </row>
    <row r="4" spans="1:41" ht="18" thickTop="1" thickBot="1" x14ac:dyDescent="0.5">
      <c r="A4" s="37"/>
      <c r="B4" s="38"/>
      <c r="C4" s="38"/>
      <c r="D4" s="534"/>
      <c r="E4" s="38"/>
      <c r="F4" s="38"/>
      <c r="G4" s="685"/>
      <c r="H4" s="698"/>
      <c r="I4" s="698"/>
      <c r="J4" s="698"/>
      <c r="K4" s="698"/>
      <c r="L4" s="698"/>
      <c r="M4" s="698"/>
      <c r="N4" s="698"/>
      <c r="O4" s="698"/>
      <c r="P4" s="698"/>
      <c r="Q4" s="698"/>
      <c r="R4" s="698"/>
      <c r="S4" s="698"/>
      <c r="T4" s="698"/>
      <c r="U4" s="698"/>
      <c r="V4" s="698"/>
      <c r="W4" s="698"/>
      <c r="X4" s="698"/>
      <c r="Y4" s="698"/>
      <c r="Z4" s="698"/>
      <c r="AA4" s="698"/>
      <c r="AB4" s="698"/>
      <c r="AC4" s="698"/>
      <c r="AD4" s="698"/>
      <c r="AE4" s="705"/>
      <c r="AG4" s="707"/>
      <c r="AH4" s="707"/>
      <c r="AI4" s="707"/>
      <c r="AJ4" s="707"/>
      <c r="AK4" s="707"/>
      <c r="AL4" s="707"/>
      <c r="AM4" s="707"/>
      <c r="AN4" s="707"/>
      <c r="AO4" s="707"/>
    </row>
    <row r="5" spans="1:41" ht="22" thickTop="1" thickBot="1" x14ac:dyDescent="0.5">
      <c r="A5" s="33" t="s">
        <v>177</v>
      </c>
      <c r="B5" s="687"/>
      <c r="C5" s="687"/>
      <c r="D5" s="687"/>
      <c r="E5" s="687"/>
      <c r="F5" s="687"/>
      <c r="G5" s="685"/>
      <c r="H5" s="703"/>
      <c r="I5" s="666"/>
      <c r="J5" s="703"/>
      <c r="K5" s="666"/>
      <c r="L5" s="703"/>
      <c r="M5" s="666"/>
      <c r="N5" s="703"/>
      <c r="O5" s="666"/>
      <c r="P5" s="703"/>
      <c r="Q5" s="666"/>
      <c r="R5" s="703"/>
      <c r="S5" s="666"/>
      <c r="T5" s="703"/>
      <c r="U5" s="666"/>
      <c r="V5" s="703"/>
      <c r="W5" s="666"/>
      <c r="X5" s="703"/>
      <c r="Y5" s="666"/>
      <c r="Z5" s="703"/>
      <c r="AA5" s="666"/>
      <c r="AB5" s="703"/>
      <c r="AC5" s="666"/>
      <c r="AD5" s="703"/>
      <c r="AE5" s="666"/>
      <c r="AG5" s="707"/>
      <c r="AH5" s="707"/>
      <c r="AI5" s="707"/>
      <c r="AJ5" s="707"/>
      <c r="AK5" s="707"/>
      <c r="AL5" s="707"/>
      <c r="AM5" s="707"/>
      <c r="AN5" s="707"/>
      <c r="AO5" s="707"/>
    </row>
    <row r="6" spans="1:41" ht="18" thickTop="1" x14ac:dyDescent="0.45">
      <c r="A6" s="28"/>
      <c r="B6" s="28" t="s">
        <v>459</v>
      </c>
      <c r="C6" s="28"/>
      <c r="D6" s="535"/>
      <c r="E6" s="380"/>
      <c r="F6" s="74"/>
      <c r="G6" s="685"/>
      <c r="H6" s="313"/>
      <c r="I6" s="314">
        <f>외부25년!K3</f>
        <v>125.9</v>
      </c>
      <c r="J6" s="313"/>
      <c r="K6" s="315">
        <f>외부25년!N3</f>
        <v>49.5</v>
      </c>
      <c r="L6" s="313"/>
      <c r="M6" s="314">
        <f>외부25년!Q3</f>
        <v>35</v>
      </c>
      <c r="N6" s="313"/>
      <c r="O6" s="315">
        <f>외부25년!T3</f>
        <v>30.5</v>
      </c>
      <c r="P6" s="313"/>
      <c r="Q6" s="314">
        <f>외부25년!W3</f>
        <v>246.7</v>
      </c>
      <c r="R6" s="313"/>
      <c r="S6" s="315">
        <f>외부25년!Z3</f>
        <v>74</v>
      </c>
      <c r="T6" s="313"/>
      <c r="U6" s="314">
        <f>외부25년!AC3</f>
        <v>117.1</v>
      </c>
      <c r="V6" s="313"/>
      <c r="W6" s="315">
        <f>외부25년!AF3</f>
        <v>40.5</v>
      </c>
      <c r="X6" s="313"/>
      <c r="Y6" s="314">
        <f>외부25년!AI3</f>
        <v>196.7</v>
      </c>
      <c r="Z6" s="313"/>
      <c r="AA6" s="315">
        <f>외부25년!AL3</f>
        <v>557.80000000000007</v>
      </c>
      <c r="AB6" s="313"/>
      <c r="AC6" s="314">
        <f>외부25년!AO3</f>
        <v>275</v>
      </c>
      <c r="AD6" s="313"/>
      <c r="AE6" s="315">
        <f>외부25년!AR3</f>
        <v>22</v>
      </c>
      <c r="AG6" s="707"/>
      <c r="AH6" s="707"/>
      <c r="AI6" s="707"/>
      <c r="AJ6" s="707"/>
      <c r="AK6" s="707"/>
      <c r="AL6" s="707"/>
      <c r="AM6" s="707"/>
      <c r="AN6" s="707"/>
      <c r="AO6" s="707"/>
    </row>
    <row r="7" spans="1:41" ht="18" thickBot="1" x14ac:dyDescent="0.5">
      <c r="A7" s="1"/>
      <c r="B7" s="1" t="s">
        <v>188</v>
      </c>
      <c r="C7" s="1"/>
      <c r="D7" s="536"/>
      <c r="E7" s="380"/>
      <c r="F7" s="76"/>
      <c r="G7" s="685"/>
      <c r="H7" s="313"/>
      <c r="I7" s="314">
        <f>악기25년!G3</f>
        <v>0</v>
      </c>
      <c r="J7" s="313"/>
      <c r="K7" s="314">
        <f>악기25년!I3</f>
        <v>0</v>
      </c>
      <c r="L7" s="313"/>
      <c r="M7" s="314">
        <f>악기25년!K3</f>
        <v>0</v>
      </c>
      <c r="N7" s="313"/>
      <c r="O7" s="314">
        <f>악기25년!M3</f>
        <v>0</v>
      </c>
      <c r="P7" s="313"/>
      <c r="Q7" s="314">
        <f>악기25년!O3</f>
        <v>0</v>
      </c>
      <c r="R7" s="313"/>
      <c r="S7" s="314">
        <f>악기25년!Q3</f>
        <v>0</v>
      </c>
      <c r="T7" s="313"/>
      <c r="U7" s="314">
        <f>악기25년!S3</f>
        <v>0</v>
      </c>
      <c r="V7" s="313"/>
      <c r="W7" s="314">
        <f>악기25년!U3</f>
        <v>0</v>
      </c>
      <c r="X7" s="313"/>
      <c r="Y7" s="314">
        <f>악기25년!W3</f>
        <v>0</v>
      </c>
      <c r="Z7" s="313"/>
      <c r="AA7" s="314">
        <f>악기25년!Y3</f>
        <v>0</v>
      </c>
      <c r="AB7" s="313"/>
      <c r="AC7" s="314">
        <f>악기25년!AA3</f>
        <v>0</v>
      </c>
      <c r="AD7" s="313"/>
      <c r="AE7" s="314">
        <f>악기25년!AC3</f>
        <v>0</v>
      </c>
      <c r="AG7" s="707"/>
      <c r="AH7" s="707"/>
      <c r="AI7" s="707"/>
      <c r="AJ7" s="707"/>
      <c r="AK7" s="707"/>
      <c r="AL7" s="707"/>
      <c r="AM7" s="707"/>
      <c r="AN7" s="707"/>
      <c r="AO7" s="707"/>
    </row>
    <row r="8" spans="1:41" ht="18.5" thickTop="1" thickBot="1" x14ac:dyDescent="0.5">
      <c r="A8" s="40"/>
      <c r="B8" s="531"/>
      <c r="C8" s="667"/>
      <c r="D8" s="667"/>
      <c r="E8" s="667"/>
      <c r="F8" s="121">
        <f>SUM(F6:F7)</f>
        <v>0</v>
      </c>
      <c r="G8" s="685"/>
      <c r="H8" s="702"/>
      <c r="I8" s="665"/>
      <c r="J8" s="702"/>
      <c r="K8" s="665"/>
      <c r="L8" s="702"/>
      <c r="M8" s="665"/>
      <c r="N8" s="702"/>
      <c r="O8" s="665"/>
      <c r="P8" s="702"/>
      <c r="Q8" s="665"/>
      <c r="R8" s="702"/>
      <c r="S8" s="665"/>
      <c r="T8" s="702"/>
      <c r="U8" s="665"/>
      <c r="V8" s="702"/>
      <c r="W8" s="665"/>
      <c r="X8" s="702"/>
      <c r="Y8" s="665"/>
      <c r="Z8" s="702"/>
      <c r="AA8" s="665"/>
      <c r="AB8" s="702"/>
      <c r="AC8" s="665"/>
      <c r="AD8" s="702"/>
      <c r="AE8" s="665"/>
      <c r="AG8" s="707"/>
      <c r="AH8" s="707"/>
      <c r="AI8" s="707"/>
      <c r="AJ8" s="707"/>
      <c r="AK8" s="707"/>
      <c r="AL8" s="707"/>
      <c r="AM8" s="707"/>
      <c r="AN8" s="707"/>
      <c r="AO8" s="707"/>
    </row>
    <row r="9" spans="1:41" ht="22" thickTop="1" thickBot="1" x14ac:dyDescent="0.5">
      <c r="A9" s="658" t="s">
        <v>740</v>
      </c>
      <c r="B9" s="659"/>
      <c r="C9" s="672"/>
      <c r="D9" s="672"/>
      <c r="E9" s="672"/>
      <c r="F9" s="44"/>
      <c r="G9" s="685"/>
      <c r="H9" s="703"/>
      <c r="I9" s="666"/>
      <c r="J9" s="703"/>
      <c r="K9" s="666"/>
      <c r="L9" s="703"/>
      <c r="M9" s="666"/>
      <c r="N9" s="703"/>
      <c r="O9" s="666"/>
      <c r="P9" s="703"/>
      <c r="Q9" s="666"/>
      <c r="R9" s="703"/>
      <c r="S9" s="666"/>
      <c r="T9" s="703"/>
      <c r="U9" s="666"/>
      <c r="V9" s="703"/>
      <c r="W9" s="666"/>
      <c r="X9" s="703"/>
      <c r="Y9" s="666"/>
      <c r="Z9" s="703"/>
      <c r="AA9" s="666"/>
      <c r="AB9" s="703"/>
      <c r="AC9" s="666"/>
      <c r="AD9" s="703"/>
      <c r="AE9" s="666"/>
      <c r="AG9" s="707"/>
      <c r="AH9" s="707"/>
      <c r="AI9" s="707"/>
      <c r="AJ9" s="707"/>
      <c r="AK9" s="707"/>
      <c r="AL9" s="707"/>
      <c r="AM9" s="707"/>
      <c r="AN9" s="707"/>
      <c r="AO9" s="707"/>
    </row>
    <row r="10" spans="1:41" ht="18" thickTop="1" x14ac:dyDescent="0.45">
      <c r="A10" s="1">
        <v>1</v>
      </c>
      <c r="B10" s="1" t="s">
        <v>74</v>
      </c>
      <c r="C10" s="1" t="s">
        <v>75</v>
      </c>
      <c r="D10" s="537" t="s">
        <v>749</v>
      </c>
      <c r="E10" s="399"/>
      <c r="F10" s="74">
        <v>20</v>
      </c>
      <c r="G10" s="685"/>
      <c r="H10" s="449"/>
      <c r="I10" s="360"/>
      <c r="J10" s="428">
        <v>10</v>
      </c>
      <c r="K10" s="438">
        <v>20</v>
      </c>
      <c r="L10" s="424">
        <v>13</v>
      </c>
      <c r="M10" s="438">
        <v>20</v>
      </c>
      <c r="N10" s="425">
        <v>15</v>
      </c>
      <c r="O10" s="438">
        <v>20</v>
      </c>
      <c r="P10" s="425">
        <v>21</v>
      </c>
      <c r="Q10" s="438">
        <v>20</v>
      </c>
      <c r="R10" s="424">
        <v>1</v>
      </c>
      <c r="S10" s="438">
        <v>30</v>
      </c>
      <c r="T10" s="432">
        <v>15</v>
      </c>
      <c r="U10" s="438">
        <v>10</v>
      </c>
      <c r="V10" s="456"/>
      <c r="W10" s="360"/>
      <c r="X10" s="432">
        <v>2</v>
      </c>
      <c r="Y10" s="438">
        <v>20</v>
      </c>
      <c r="Z10" s="425">
        <v>25</v>
      </c>
      <c r="AA10" s="438">
        <v>20</v>
      </c>
      <c r="AB10" s="424">
        <v>20</v>
      </c>
      <c r="AC10" s="438">
        <v>20</v>
      </c>
      <c r="AD10" s="496"/>
      <c r="AE10" s="477"/>
      <c r="AG10" s="707"/>
      <c r="AH10" s="707"/>
      <c r="AI10" s="707"/>
      <c r="AJ10" s="707"/>
      <c r="AK10" s="707"/>
      <c r="AL10" s="707"/>
      <c r="AM10" s="707"/>
      <c r="AN10" s="707"/>
      <c r="AO10" s="707"/>
    </row>
    <row r="11" spans="1:41" ht="17.5" x14ac:dyDescent="0.45">
      <c r="A11" s="1">
        <v>2</v>
      </c>
      <c r="B11" s="1" t="s">
        <v>173</v>
      </c>
      <c r="C11" s="1" t="s">
        <v>174</v>
      </c>
      <c r="D11" s="537" t="s">
        <v>749</v>
      </c>
      <c r="E11" s="400"/>
      <c r="F11" s="74">
        <v>20</v>
      </c>
      <c r="G11" s="685"/>
      <c r="H11" s="428">
        <v>10</v>
      </c>
      <c r="I11" s="438">
        <v>20</v>
      </c>
      <c r="J11" s="424">
        <v>12</v>
      </c>
      <c r="K11" s="438">
        <v>20</v>
      </c>
      <c r="L11" s="425">
        <v>11</v>
      </c>
      <c r="M11" s="438">
        <v>20</v>
      </c>
      <c r="N11" s="424">
        <v>15</v>
      </c>
      <c r="O11" s="438">
        <v>20</v>
      </c>
      <c r="P11" s="424">
        <v>13</v>
      </c>
      <c r="Q11" s="438">
        <v>20</v>
      </c>
      <c r="R11" s="424">
        <v>11</v>
      </c>
      <c r="S11" s="438">
        <v>20</v>
      </c>
      <c r="T11" s="424">
        <v>20</v>
      </c>
      <c r="U11" s="438">
        <v>20</v>
      </c>
      <c r="V11" s="424">
        <v>18</v>
      </c>
      <c r="W11" s="438">
        <v>20</v>
      </c>
      <c r="X11" s="432">
        <v>18</v>
      </c>
      <c r="Y11" s="438">
        <v>20</v>
      </c>
      <c r="Z11" s="424">
        <v>15</v>
      </c>
      <c r="AA11" s="438">
        <v>20</v>
      </c>
      <c r="AB11" s="424">
        <v>25</v>
      </c>
      <c r="AC11" s="438">
        <v>20</v>
      </c>
      <c r="AD11" s="424">
        <v>28</v>
      </c>
      <c r="AE11" s="438">
        <v>20</v>
      </c>
      <c r="AG11" s="707"/>
      <c r="AH11" s="707"/>
      <c r="AI11" s="707"/>
      <c r="AJ11" s="707"/>
      <c r="AK11" s="707"/>
      <c r="AL11" s="707"/>
      <c r="AM11" s="707"/>
      <c r="AN11" s="707"/>
      <c r="AO11" s="707"/>
    </row>
    <row r="12" spans="1:41" x14ac:dyDescent="0.45">
      <c r="A12" s="1">
        <v>3</v>
      </c>
      <c r="B12" s="27" t="s">
        <v>381</v>
      </c>
      <c r="C12" s="27" t="s">
        <v>382</v>
      </c>
      <c r="D12" s="537" t="s">
        <v>749</v>
      </c>
      <c r="E12" s="400"/>
      <c r="F12" s="134">
        <v>20</v>
      </c>
      <c r="G12" s="685"/>
      <c r="H12" s="428">
        <v>18</v>
      </c>
      <c r="I12" s="438">
        <v>20</v>
      </c>
      <c r="J12" s="428">
        <v>17</v>
      </c>
      <c r="K12" s="438">
        <v>20</v>
      </c>
      <c r="L12" s="428">
        <v>17</v>
      </c>
      <c r="M12" s="438">
        <v>20</v>
      </c>
      <c r="N12" s="428">
        <v>17</v>
      </c>
      <c r="O12" s="438">
        <v>20</v>
      </c>
      <c r="P12" s="428">
        <v>17</v>
      </c>
      <c r="Q12" s="438">
        <v>20</v>
      </c>
      <c r="R12" s="428">
        <v>17</v>
      </c>
      <c r="S12" s="438">
        <v>20</v>
      </c>
      <c r="T12" s="424">
        <v>17</v>
      </c>
      <c r="U12" s="438">
        <v>20</v>
      </c>
      <c r="V12" s="424">
        <v>20</v>
      </c>
      <c r="W12" s="438">
        <v>20</v>
      </c>
      <c r="X12" s="424">
        <v>20</v>
      </c>
      <c r="Y12" s="438">
        <v>20</v>
      </c>
      <c r="Z12" s="424">
        <v>20</v>
      </c>
      <c r="AA12" s="438">
        <v>20</v>
      </c>
      <c r="AB12" s="424">
        <v>20</v>
      </c>
      <c r="AC12" s="438">
        <v>20</v>
      </c>
      <c r="AD12" s="424">
        <v>20</v>
      </c>
      <c r="AE12" s="438">
        <v>20</v>
      </c>
      <c r="AG12" s="707"/>
      <c r="AH12" s="707"/>
      <c r="AI12" s="707"/>
      <c r="AJ12" s="707"/>
      <c r="AK12" s="707"/>
      <c r="AL12" s="707"/>
      <c r="AM12" s="707"/>
      <c r="AN12" s="707"/>
      <c r="AO12" s="707"/>
    </row>
    <row r="13" spans="1:41" x14ac:dyDescent="0.45">
      <c r="A13" s="271">
        <v>4</v>
      </c>
      <c r="B13" s="293" t="s">
        <v>481</v>
      </c>
      <c r="C13" s="27" t="s">
        <v>483</v>
      </c>
      <c r="D13" s="537" t="s">
        <v>749</v>
      </c>
      <c r="E13" s="398" t="s">
        <v>488</v>
      </c>
      <c r="F13" s="364">
        <v>20</v>
      </c>
      <c r="G13" s="685"/>
      <c r="H13" s="455"/>
      <c r="I13" s="456"/>
      <c r="J13" s="456"/>
      <c r="K13" s="360"/>
      <c r="L13" s="445">
        <v>28</v>
      </c>
      <c r="M13" s="438">
        <v>20</v>
      </c>
      <c r="N13" s="445">
        <v>28</v>
      </c>
      <c r="O13" s="438">
        <v>20</v>
      </c>
      <c r="P13" s="445">
        <v>26</v>
      </c>
      <c r="Q13" s="438">
        <v>20</v>
      </c>
      <c r="R13" s="456"/>
      <c r="S13" s="360"/>
      <c r="T13" s="445">
        <v>7</v>
      </c>
      <c r="U13" s="438">
        <v>20</v>
      </c>
      <c r="V13" s="445">
        <v>28</v>
      </c>
      <c r="W13" s="438">
        <v>20</v>
      </c>
      <c r="X13" s="445">
        <v>16</v>
      </c>
      <c r="Y13" s="438">
        <v>20</v>
      </c>
      <c r="Z13" s="423">
        <v>6</v>
      </c>
      <c r="AA13" s="438">
        <v>20</v>
      </c>
      <c r="AB13" s="423">
        <v>10</v>
      </c>
      <c r="AC13" s="438">
        <v>20</v>
      </c>
      <c r="AD13" s="446">
        <v>8</v>
      </c>
      <c r="AE13" s="438">
        <v>20</v>
      </c>
      <c r="AG13" s="707"/>
      <c r="AH13" s="707"/>
      <c r="AI13" s="707"/>
      <c r="AJ13" s="707"/>
      <c r="AK13" s="707"/>
      <c r="AL13" s="707"/>
      <c r="AM13" s="707"/>
      <c r="AN13" s="707"/>
      <c r="AO13" s="707"/>
    </row>
    <row r="14" spans="1:41" x14ac:dyDescent="0.45">
      <c r="A14" s="271">
        <v>5</v>
      </c>
      <c r="B14" s="293" t="s">
        <v>490</v>
      </c>
      <c r="C14" s="27" t="s">
        <v>489</v>
      </c>
      <c r="D14" s="537" t="s">
        <v>749</v>
      </c>
      <c r="E14" s="398"/>
      <c r="F14" s="364">
        <v>30</v>
      </c>
      <c r="G14" s="685"/>
      <c r="H14" s="455"/>
      <c r="I14" s="456"/>
      <c r="J14" s="456"/>
      <c r="K14" s="360"/>
      <c r="L14" s="456"/>
      <c r="M14" s="360"/>
      <c r="N14" s="456"/>
      <c r="O14" s="360"/>
      <c r="P14" s="445">
        <v>2</v>
      </c>
      <c r="Q14" s="438">
        <v>20</v>
      </c>
      <c r="R14" s="445">
        <v>6</v>
      </c>
      <c r="S14" s="438">
        <v>20</v>
      </c>
      <c r="T14" s="445">
        <v>7</v>
      </c>
      <c r="U14" s="438">
        <v>10</v>
      </c>
      <c r="V14" s="445">
        <v>10</v>
      </c>
      <c r="W14" s="438">
        <v>10</v>
      </c>
      <c r="X14" s="445">
        <v>9</v>
      </c>
      <c r="Y14" s="438">
        <v>10</v>
      </c>
      <c r="Z14" s="423">
        <v>14</v>
      </c>
      <c r="AA14" s="438">
        <v>30</v>
      </c>
      <c r="AB14" s="423">
        <v>11</v>
      </c>
      <c r="AC14" s="438">
        <v>30</v>
      </c>
      <c r="AD14" s="446">
        <v>11</v>
      </c>
      <c r="AE14" s="438">
        <v>30</v>
      </c>
      <c r="AG14" s="707"/>
      <c r="AH14" s="707"/>
      <c r="AI14" s="707"/>
      <c r="AJ14" s="707"/>
      <c r="AK14" s="707"/>
      <c r="AL14" s="707"/>
      <c r="AM14" s="707"/>
      <c r="AN14" s="707"/>
      <c r="AO14" s="707"/>
    </row>
    <row r="15" spans="1:41" x14ac:dyDescent="0.45">
      <c r="A15" s="271">
        <v>6</v>
      </c>
      <c r="B15" s="293" t="s">
        <v>517</v>
      </c>
      <c r="C15" s="27" t="s">
        <v>703</v>
      </c>
      <c r="D15" s="537" t="s">
        <v>749</v>
      </c>
      <c r="E15" s="398"/>
      <c r="F15" s="364">
        <v>20</v>
      </c>
      <c r="G15" s="685"/>
      <c r="H15" s="455"/>
      <c r="I15" s="456"/>
      <c r="J15" s="456"/>
      <c r="K15" s="360"/>
      <c r="L15" s="456"/>
      <c r="M15" s="360"/>
      <c r="N15" s="456"/>
      <c r="O15" s="360"/>
      <c r="P15" s="456"/>
      <c r="Q15" s="360"/>
      <c r="R15" s="456"/>
      <c r="S15" s="360"/>
      <c r="T15" s="456"/>
      <c r="U15" s="360"/>
      <c r="V15" s="456"/>
      <c r="W15" s="360"/>
      <c r="X15" s="456"/>
      <c r="Y15" s="360"/>
      <c r="Z15" s="423">
        <v>28</v>
      </c>
      <c r="AA15" s="438">
        <v>10</v>
      </c>
      <c r="AB15" s="456"/>
      <c r="AC15" s="360"/>
      <c r="AD15" s="446">
        <v>3</v>
      </c>
      <c r="AE15" s="438">
        <v>20</v>
      </c>
      <c r="AG15" s="707"/>
      <c r="AH15" s="707"/>
      <c r="AI15" s="707"/>
      <c r="AJ15" s="707"/>
      <c r="AK15" s="707"/>
      <c r="AL15" s="707"/>
      <c r="AM15" s="707"/>
      <c r="AN15" s="707"/>
      <c r="AO15" s="707"/>
    </row>
    <row r="16" spans="1:41" ht="18" thickBot="1" x14ac:dyDescent="0.5">
      <c r="A16" s="27"/>
      <c r="B16" s="27"/>
      <c r="C16" s="27"/>
      <c r="D16" s="538"/>
      <c r="E16" s="384"/>
      <c r="F16" s="76"/>
      <c r="G16" s="685"/>
      <c r="H16" s="423"/>
      <c r="I16" s="442"/>
      <c r="J16" s="423"/>
      <c r="K16" s="439"/>
      <c r="L16" s="423"/>
      <c r="M16" s="439"/>
      <c r="N16" s="423"/>
      <c r="O16" s="438"/>
      <c r="P16" s="423"/>
      <c r="Q16" s="439"/>
      <c r="R16" s="423"/>
      <c r="S16" s="438"/>
      <c r="T16" s="423"/>
      <c r="U16" s="438"/>
      <c r="V16" s="423"/>
      <c r="W16" s="438"/>
      <c r="X16" s="423"/>
      <c r="Y16" s="438"/>
      <c r="Z16" s="423"/>
      <c r="AA16" s="439"/>
      <c r="AB16" s="423"/>
      <c r="AC16" s="439"/>
      <c r="AD16" s="423"/>
      <c r="AE16" s="439"/>
      <c r="AG16" s="707"/>
      <c r="AH16" s="707"/>
      <c r="AI16" s="707"/>
      <c r="AJ16" s="707"/>
      <c r="AK16" s="707"/>
      <c r="AL16" s="707"/>
      <c r="AM16" s="707"/>
      <c r="AN16" s="707"/>
      <c r="AO16" s="707"/>
    </row>
    <row r="17" spans="1:47" ht="22" thickTop="1" thickBot="1" x14ac:dyDescent="0.5">
      <c r="A17" s="273" t="s">
        <v>379</v>
      </c>
      <c r="B17" s="273">
        <v>6</v>
      </c>
      <c r="C17" s="116"/>
      <c r="D17" s="539"/>
      <c r="E17" s="265"/>
      <c r="F17" s="274">
        <f>SUM(F10:F16)</f>
        <v>130</v>
      </c>
      <c r="G17" s="685"/>
      <c r="H17" s="704"/>
      <c r="I17" s="704"/>
      <c r="J17" s="704"/>
      <c r="K17" s="704"/>
      <c r="L17" s="704"/>
      <c r="M17" s="704"/>
      <c r="N17" s="704"/>
      <c r="O17" s="704"/>
      <c r="P17" s="704"/>
      <c r="Q17" s="704"/>
      <c r="R17" s="704"/>
      <c r="S17" s="704"/>
      <c r="T17" s="704"/>
      <c r="U17" s="704"/>
      <c r="V17" s="704"/>
      <c r="W17" s="704"/>
      <c r="X17" s="704"/>
      <c r="Y17" s="704"/>
      <c r="Z17" s="704"/>
      <c r="AA17" s="704"/>
      <c r="AB17" s="704"/>
      <c r="AC17" s="704"/>
      <c r="AD17" s="704"/>
      <c r="AE17" s="704"/>
      <c r="AG17" s="707"/>
      <c r="AH17" s="707"/>
      <c r="AI17" s="707"/>
      <c r="AJ17" s="707"/>
      <c r="AK17" s="707"/>
      <c r="AL17" s="707"/>
      <c r="AM17" s="707"/>
      <c r="AN17" s="707"/>
      <c r="AO17" s="707"/>
    </row>
    <row r="18" spans="1:47" s="27" customFormat="1" ht="17.5" customHeight="1" thickTop="1" thickBot="1" x14ac:dyDescent="0.5">
      <c r="A18" s="37"/>
      <c r="B18" s="365"/>
      <c r="C18" s="662"/>
      <c r="D18" s="662"/>
      <c r="E18" s="662"/>
      <c r="F18" s="662"/>
      <c r="G18" s="685"/>
      <c r="H18" s="698"/>
      <c r="I18" s="698"/>
      <c r="J18" s="698"/>
      <c r="K18" s="698"/>
      <c r="L18" s="698"/>
      <c r="M18" s="698"/>
      <c r="N18" s="698"/>
      <c r="O18" s="698"/>
      <c r="P18" s="698"/>
      <c r="Q18" s="698"/>
      <c r="R18" s="698"/>
      <c r="S18" s="698"/>
      <c r="T18" s="698"/>
      <c r="U18" s="698"/>
      <c r="V18" s="698"/>
      <c r="W18" s="698"/>
      <c r="X18" s="698"/>
      <c r="Y18" s="698"/>
      <c r="Z18" s="698"/>
      <c r="AA18" s="698"/>
      <c r="AB18" s="698"/>
      <c r="AC18" s="698"/>
      <c r="AD18" s="698"/>
      <c r="AE18" s="698"/>
      <c r="AF18"/>
      <c r="AG18" s="707"/>
      <c r="AH18" s="707"/>
      <c r="AI18" s="707"/>
      <c r="AJ18" s="707"/>
      <c r="AK18" s="707"/>
      <c r="AL18" s="707"/>
      <c r="AM18" s="707"/>
      <c r="AN18" s="707"/>
      <c r="AO18" s="707"/>
      <c r="AP18" s="37"/>
      <c r="AQ18" s="37"/>
      <c r="AR18" s="37"/>
      <c r="AS18" s="37"/>
      <c r="AT18" s="37"/>
      <c r="AU18" s="37"/>
    </row>
    <row r="19" spans="1:47" s="27" customFormat="1" ht="17.5" customHeight="1" thickTop="1" thickBot="1" x14ac:dyDescent="0.5">
      <c r="A19" s="658" t="s">
        <v>466</v>
      </c>
      <c r="B19" s="659"/>
      <c r="C19" s="687"/>
      <c r="D19" s="687"/>
      <c r="E19" s="687"/>
      <c r="F19" s="687"/>
      <c r="G19" s="685"/>
      <c r="H19" s="698"/>
      <c r="I19" s="698"/>
      <c r="J19" s="698"/>
      <c r="K19" s="698"/>
      <c r="L19" s="698"/>
      <c r="M19" s="698"/>
      <c r="N19" s="698"/>
      <c r="O19" s="698"/>
      <c r="P19" s="698"/>
      <c r="Q19" s="698"/>
      <c r="R19" s="698"/>
      <c r="S19" s="698"/>
      <c r="T19" s="698"/>
      <c r="U19" s="698"/>
      <c r="V19" s="698"/>
      <c r="W19" s="698"/>
      <c r="X19" s="698"/>
      <c r="Y19" s="698"/>
      <c r="Z19" s="698"/>
      <c r="AA19" s="698"/>
      <c r="AB19" s="698"/>
      <c r="AC19" s="698"/>
      <c r="AD19" s="698"/>
      <c r="AE19" s="698"/>
      <c r="AF19"/>
      <c r="AG19" s="707"/>
      <c r="AH19" s="707"/>
      <c r="AI19" s="707"/>
      <c r="AJ19" s="707"/>
      <c r="AK19" s="707"/>
      <c r="AL19" s="707"/>
      <c r="AM19" s="707"/>
      <c r="AN19" s="707"/>
      <c r="AO19" s="707"/>
      <c r="AP19" s="37"/>
      <c r="AQ19" s="37"/>
      <c r="AR19" s="37"/>
      <c r="AS19" s="37"/>
      <c r="AT19" s="37"/>
      <c r="AU19" s="37"/>
    </row>
    <row r="20" spans="1:47" ht="17.5" thickTop="1" x14ac:dyDescent="0.45">
      <c r="A20" s="271">
        <v>1</v>
      </c>
      <c r="B20" s="293" t="s">
        <v>396</v>
      </c>
      <c r="C20" s="27" t="s">
        <v>412</v>
      </c>
      <c r="D20" s="537" t="s">
        <v>751</v>
      </c>
      <c r="E20" s="398" t="s">
        <v>442</v>
      </c>
      <c r="F20" s="134">
        <v>10</v>
      </c>
      <c r="G20" s="685"/>
      <c r="H20" s="471">
        <v>6</v>
      </c>
      <c r="I20" s="472">
        <v>20</v>
      </c>
      <c r="J20" s="471">
        <v>3</v>
      </c>
      <c r="K20" s="472">
        <v>20</v>
      </c>
      <c r="L20" s="473">
        <v>11</v>
      </c>
      <c r="M20" s="472">
        <v>10</v>
      </c>
      <c r="N20" s="473">
        <v>4</v>
      </c>
      <c r="O20" s="472">
        <v>10</v>
      </c>
      <c r="P20" s="473">
        <v>7</v>
      </c>
      <c r="Q20" s="472">
        <v>10</v>
      </c>
      <c r="R20" s="473">
        <v>8</v>
      </c>
      <c r="S20" s="472">
        <v>10</v>
      </c>
      <c r="T20" s="473">
        <v>1</v>
      </c>
      <c r="U20" s="472">
        <v>10</v>
      </c>
      <c r="V20" s="473">
        <v>6</v>
      </c>
      <c r="W20" s="472">
        <v>10</v>
      </c>
      <c r="X20" s="474">
        <v>5</v>
      </c>
      <c r="Y20" s="472">
        <v>10</v>
      </c>
      <c r="Z20" s="474">
        <v>10</v>
      </c>
      <c r="AA20" s="472">
        <v>10</v>
      </c>
      <c r="AB20" s="474">
        <v>5</v>
      </c>
      <c r="AC20" s="472">
        <v>10</v>
      </c>
      <c r="AD20" s="474">
        <v>5</v>
      </c>
      <c r="AE20" s="472">
        <v>10</v>
      </c>
      <c r="AG20" s="707"/>
      <c r="AH20" s="707"/>
      <c r="AI20" s="707"/>
      <c r="AJ20" s="707"/>
      <c r="AK20" s="707"/>
      <c r="AL20" s="707"/>
      <c r="AM20" s="707"/>
      <c r="AN20" s="707"/>
      <c r="AO20" s="707"/>
    </row>
    <row r="21" spans="1:47" s="27" customFormat="1" ht="17.5" customHeight="1" x14ac:dyDescent="0.45">
      <c r="A21" s="27" t="s">
        <v>695</v>
      </c>
      <c r="B21" s="27" t="s">
        <v>388</v>
      </c>
      <c r="C21" s="27" t="s">
        <v>374</v>
      </c>
      <c r="D21" s="537" t="s">
        <v>751</v>
      </c>
      <c r="E21" s="400" t="s">
        <v>479</v>
      </c>
      <c r="F21" s="134">
        <v>20</v>
      </c>
      <c r="G21" s="685"/>
      <c r="H21" s="455"/>
      <c r="I21" s="456"/>
      <c r="J21" s="456"/>
      <c r="K21" s="467"/>
      <c r="L21" s="468">
        <v>11</v>
      </c>
      <c r="M21" s="438">
        <v>20</v>
      </c>
      <c r="N21" s="468">
        <v>23</v>
      </c>
      <c r="O21" s="438">
        <v>20</v>
      </c>
      <c r="P21" s="468">
        <v>25</v>
      </c>
      <c r="Q21" s="438">
        <v>20</v>
      </c>
      <c r="R21" s="476"/>
      <c r="S21" s="477"/>
      <c r="T21" s="469">
        <v>16</v>
      </c>
      <c r="U21" s="438">
        <v>20</v>
      </c>
      <c r="V21" s="470">
        <v>5</v>
      </c>
      <c r="W21" s="438">
        <v>20</v>
      </c>
      <c r="X21" s="469">
        <v>1</v>
      </c>
      <c r="Y21" s="438">
        <v>20</v>
      </c>
      <c r="Z21" s="469">
        <v>1</v>
      </c>
      <c r="AA21" s="438">
        <v>20</v>
      </c>
      <c r="AB21" s="469">
        <v>18</v>
      </c>
      <c r="AC21" s="438">
        <v>20</v>
      </c>
      <c r="AD21" s="469">
        <v>8</v>
      </c>
      <c r="AE21" s="438">
        <v>20</v>
      </c>
      <c r="AF21"/>
      <c r="AG21" s="707"/>
      <c r="AH21" s="707"/>
      <c r="AI21" s="707"/>
      <c r="AJ21" s="707"/>
      <c r="AK21" s="707"/>
      <c r="AL21" s="707"/>
      <c r="AM21" s="707"/>
      <c r="AN21" s="707"/>
      <c r="AO21" s="707"/>
      <c r="AP21" s="37"/>
      <c r="AQ21" s="37"/>
      <c r="AR21" s="37"/>
      <c r="AS21" s="37"/>
      <c r="AT21" s="37"/>
      <c r="AU21" s="37"/>
    </row>
    <row r="22" spans="1:47" x14ac:dyDescent="0.45">
      <c r="A22" s="271">
        <v>4</v>
      </c>
      <c r="B22" s="293" t="s">
        <v>426</v>
      </c>
      <c r="C22" s="27" t="s">
        <v>429</v>
      </c>
      <c r="D22" s="537" t="s">
        <v>751</v>
      </c>
      <c r="E22" s="398"/>
      <c r="F22" s="364">
        <v>10</v>
      </c>
      <c r="G22" s="685"/>
      <c r="H22" s="455"/>
      <c r="I22" s="456"/>
      <c r="J22" s="456"/>
      <c r="K22" s="360"/>
      <c r="L22" s="456"/>
      <c r="M22" s="360"/>
      <c r="N22" s="456"/>
      <c r="O22" s="360"/>
      <c r="P22" s="456"/>
      <c r="Q22" s="360"/>
      <c r="R22" s="456"/>
      <c r="S22" s="360"/>
      <c r="T22" s="456"/>
      <c r="U22" s="360"/>
      <c r="V22" s="456"/>
      <c r="W22" s="360"/>
      <c r="X22" s="456"/>
      <c r="Y22" s="360"/>
      <c r="Z22" s="456"/>
      <c r="AA22" s="360"/>
      <c r="AB22" s="423">
        <v>19</v>
      </c>
      <c r="AC22" s="438">
        <v>10</v>
      </c>
      <c r="AD22" s="446">
        <v>9</v>
      </c>
      <c r="AE22" s="438">
        <v>10</v>
      </c>
      <c r="AG22" s="707"/>
      <c r="AH22" s="707"/>
      <c r="AI22" s="707"/>
      <c r="AJ22" s="707"/>
      <c r="AK22" s="707"/>
      <c r="AL22" s="707"/>
      <c r="AM22" s="707"/>
      <c r="AN22" s="707"/>
      <c r="AO22" s="707"/>
    </row>
    <row r="23" spans="1:47" x14ac:dyDescent="0.45">
      <c r="A23" s="271" t="s">
        <v>696</v>
      </c>
      <c r="B23" s="293" t="s">
        <v>697</v>
      </c>
      <c r="C23" s="27" t="s">
        <v>707</v>
      </c>
      <c r="D23" s="537" t="s">
        <v>751</v>
      </c>
      <c r="E23" s="398"/>
      <c r="F23" s="364">
        <v>0</v>
      </c>
      <c r="G23" s="685"/>
      <c r="H23" s="455"/>
      <c r="I23" s="456"/>
      <c r="J23" s="456"/>
      <c r="K23" s="360"/>
      <c r="L23" s="456"/>
      <c r="M23" s="360"/>
      <c r="N23" s="456"/>
      <c r="O23" s="360"/>
      <c r="P23" s="456"/>
      <c r="Q23" s="360"/>
      <c r="R23" s="456"/>
      <c r="S23" s="360"/>
      <c r="T23" s="456"/>
      <c r="U23" s="360"/>
      <c r="V23" s="456"/>
      <c r="W23" s="360"/>
      <c r="X23" s="456"/>
      <c r="Y23" s="360"/>
      <c r="Z23" s="456"/>
      <c r="AA23" s="360"/>
      <c r="AB23" s="456"/>
      <c r="AC23" s="360"/>
      <c r="AD23" s="456"/>
      <c r="AE23" s="360"/>
      <c r="AG23" s="707"/>
      <c r="AH23" s="707"/>
      <c r="AI23" s="707"/>
      <c r="AJ23" s="707"/>
      <c r="AK23" s="707"/>
      <c r="AL23" s="707"/>
      <c r="AM23" s="707"/>
      <c r="AN23" s="707"/>
      <c r="AO23" s="707"/>
    </row>
    <row r="24" spans="1:47" ht="18" thickBot="1" x14ac:dyDescent="0.5">
      <c r="A24" s="27"/>
      <c r="B24" s="293"/>
      <c r="C24" s="293"/>
      <c r="D24" s="541"/>
      <c r="E24" s="392"/>
      <c r="F24" s="76"/>
      <c r="G24" s="685"/>
      <c r="H24" s="427"/>
      <c r="I24" s="438"/>
      <c r="J24" s="427"/>
      <c r="K24" s="438"/>
      <c r="L24" s="427"/>
      <c r="M24" s="438"/>
      <c r="N24" s="427"/>
      <c r="O24" s="438"/>
      <c r="P24" s="427"/>
      <c r="Q24" s="438"/>
      <c r="R24" s="427"/>
      <c r="S24" s="438"/>
      <c r="T24" s="427"/>
      <c r="U24" s="438"/>
      <c r="V24" s="427"/>
      <c r="W24" s="438"/>
      <c r="X24" s="427"/>
      <c r="Y24" s="438"/>
      <c r="Z24" s="427"/>
      <c r="AA24" s="438"/>
      <c r="AB24" s="427"/>
      <c r="AC24" s="438"/>
      <c r="AD24" s="427"/>
      <c r="AE24" s="438"/>
      <c r="AG24" s="707"/>
      <c r="AH24" s="707"/>
      <c r="AI24" s="707"/>
      <c r="AJ24" s="707"/>
      <c r="AK24" s="707"/>
      <c r="AL24" s="707"/>
      <c r="AM24" s="707"/>
      <c r="AN24" s="707"/>
      <c r="AO24" s="707"/>
    </row>
    <row r="25" spans="1:47" ht="26.5" thickTop="1" thickBot="1" x14ac:dyDescent="0.5">
      <c r="A25" s="273" t="s">
        <v>379</v>
      </c>
      <c r="B25" s="273">
        <v>6</v>
      </c>
      <c r="C25" s="116"/>
      <c r="D25" s="539"/>
      <c r="E25" s="385"/>
      <c r="F25" s="274">
        <f>SUM(F20:F24)</f>
        <v>40</v>
      </c>
      <c r="G25" s="685"/>
      <c r="H25" s="546"/>
      <c r="I25" s="515"/>
      <c r="J25" s="546"/>
      <c r="K25" s="515"/>
      <c r="L25" s="546"/>
      <c r="M25" s="515"/>
      <c r="N25" s="546"/>
      <c r="O25" s="515"/>
      <c r="P25" s="546"/>
      <c r="Q25" s="515"/>
      <c r="R25" s="546"/>
      <c r="S25" s="515"/>
      <c r="T25" s="546"/>
      <c r="U25" s="515"/>
      <c r="V25" s="546"/>
      <c r="W25" s="515"/>
      <c r="X25" s="546"/>
      <c r="Y25" s="515"/>
      <c r="Z25" s="546"/>
      <c r="AA25" s="515"/>
      <c r="AB25" s="546"/>
      <c r="AC25" s="515"/>
      <c r="AD25" s="546"/>
      <c r="AE25" s="444">
        <f>SUM(I20:I24,K20:K24,M20:M24,O20:O24,Q20:Q24,S20:S24,U20:U24,W20:W24,Y20:Y24,AA20:AA24,AC20:AC24,AE20:AE24)</f>
        <v>340</v>
      </c>
      <c r="AG25" s="707"/>
      <c r="AH25" s="707"/>
      <c r="AI25" s="707"/>
      <c r="AJ25" s="707"/>
      <c r="AK25" s="707"/>
      <c r="AL25" s="707"/>
      <c r="AM25" s="707"/>
      <c r="AN25" s="707"/>
      <c r="AO25" s="707"/>
    </row>
    <row r="26" spans="1:47" ht="18" thickTop="1" thickBot="1" x14ac:dyDescent="0.5">
      <c r="A26" s="37"/>
      <c r="B26" s="543"/>
      <c r="C26" s="543"/>
      <c r="D26" s="543"/>
      <c r="E26" s="543"/>
      <c r="F26" s="543"/>
      <c r="G26" s="685"/>
      <c r="H26" s="546"/>
      <c r="I26" s="515"/>
      <c r="J26" s="546"/>
      <c r="K26" s="515"/>
      <c r="L26" s="546"/>
      <c r="M26" s="515"/>
      <c r="N26" s="546"/>
      <c r="O26" s="515"/>
      <c r="P26" s="546"/>
      <c r="Q26" s="515"/>
      <c r="R26" s="546"/>
      <c r="S26" s="515"/>
      <c r="T26" s="546"/>
      <c r="U26" s="515"/>
      <c r="V26" s="546"/>
      <c r="W26" s="515"/>
      <c r="X26" s="546"/>
      <c r="Y26" s="515"/>
      <c r="Z26" s="546"/>
      <c r="AA26" s="515"/>
      <c r="AB26" s="546"/>
      <c r="AC26" s="515"/>
      <c r="AD26" s="546"/>
      <c r="AE26" s="550"/>
      <c r="AG26" s="707"/>
      <c r="AH26" s="707"/>
      <c r="AI26" s="707"/>
      <c r="AJ26" s="707"/>
      <c r="AK26" s="707"/>
      <c r="AL26" s="707"/>
      <c r="AM26" s="707"/>
      <c r="AN26" s="707"/>
      <c r="AO26" s="707"/>
    </row>
    <row r="27" spans="1:47" ht="22" thickTop="1" thickBot="1" x14ac:dyDescent="0.5">
      <c r="A27" s="660" t="s">
        <v>741</v>
      </c>
      <c r="B27" s="661"/>
      <c r="C27" s="545"/>
      <c r="D27" s="545"/>
      <c r="E27" s="545"/>
      <c r="F27" s="545"/>
      <c r="G27" s="685"/>
      <c r="H27" s="546"/>
      <c r="I27" s="515"/>
      <c r="J27" s="546"/>
      <c r="K27" s="515"/>
      <c r="L27" s="546"/>
      <c r="M27" s="515"/>
      <c r="N27" s="546"/>
      <c r="O27" s="515"/>
      <c r="P27" s="546"/>
      <c r="Q27" s="515"/>
      <c r="R27" s="546"/>
      <c r="S27" s="515"/>
      <c r="T27" s="546"/>
      <c r="U27" s="515"/>
      <c r="V27" s="546"/>
      <c r="W27" s="515"/>
      <c r="X27" s="546"/>
      <c r="Y27" s="515"/>
      <c r="Z27" s="546"/>
      <c r="AA27" s="515"/>
      <c r="AB27" s="546"/>
      <c r="AC27" s="515"/>
      <c r="AD27" s="546"/>
      <c r="AE27" s="551"/>
      <c r="AG27" s="707"/>
      <c r="AH27" s="707"/>
      <c r="AI27" s="707"/>
      <c r="AJ27" s="707"/>
      <c r="AK27" s="707"/>
      <c r="AL27" s="707"/>
      <c r="AM27" s="707"/>
      <c r="AN27" s="707"/>
      <c r="AO27" s="707"/>
    </row>
    <row r="28" spans="1:47" ht="18" thickTop="1" x14ac:dyDescent="0.45">
      <c r="A28" s="68">
        <v>1</v>
      </c>
      <c r="B28" s="68" t="s">
        <v>10</v>
      </c>
      <c r="C28" s="68" t="s">
        <v>32</v>
      </c>
      <c r="D28" s="549" t="s">
        <v>752</v>
      </c>
      <c r="E28" s="554"/>
      <c r="F28" s="108">
        <v>10</v>
      </c>
      <c r="G28" s="685"/>
      <c r="H28" s="447"/>
      <c r="I28" s="558"/>
      <c r="J28" s="558"/>
      <c r="K28" s="558"/>
      <c r="L28" s="558"/>
      <c r="M28" s="558"/>
      <c r="N28" s="426">
        <v>11</v>
      </c>
      <c r="O28" s="559">
        <v>10</v>
      </c>
      <c r="P28" s="560">
        <v>30</v>
      </c>
      <c r="Q28" s="561">
        <v>10</v>
      </c>
      <c r="R28" s="560">
        <v>4</v>
      </c>
      <c r="S28" s="561">
        <v>10</v>
      </c>
      <c r="T28" s="426">
        <v>3</v>
      </c>
      <c r="U28" s="559">
        <v>10</v>
      </c>
      <c r="V28" s="426">
        <v>1</v>
      </c>
      <c r="W28" s="559">
        <v>10</v>
      </c>
      <c r="X28" s="426">
        <v>1</v>
      </c>
      <c r="Y28" s="559">
        <v>10</v>
      </c>
      <c r="Z28" s="426">
        <v>1</v>
      </c>
      <c r="AA28" s="559">
        <v>10</v>
      </c>
      <c r="AB28" s="426">
        <v>6</v>
      </c>
      <c r="AC28" s="559">
        <v>10</v>
      </c>
      <c r="AD28" s="426">
        <v>5</v>
      </c>
      <c r="AE28" s="559">
        <v>10</v>
      </c>
      <c r="AG28" s="707"/>
      <c r="AH28" s="707"/>
      <c r="AI28" s="707"/>
      <c r="AJ28" s="707"/>
      <c r="AK28" s="707"/>
      <c r="AL28" s="707"/>
      <c r="AM28" s="707"/>
      <c r="AN28" s="707"/>
      <c r="AO28" s="707"/>
    </row>
    <row r="29" spans="1:47" x14ac:dyDescent="0.45">
      <c r="A29" s="275">
        <v>2</v>
      </c>
      <c r="B29" s="420" t="s">
        <v>413</v>
      </c>
      <c r="C29" s="28" t="s">
        <v>414</v>
      </c>
      <c r="D29" s="552" t="s">
        <v>752</v>
      </c>
      <c r="E29" s="553" t="s">
        <v>443</v>
      </c>
      <c r="F29" s="134">
        <v>20</v>
      </c>
      <c r="G29" s="685"/>
      <c r="H29" s="555">
        <v>7</v>
      </c>
      <c r="I29" s="556">
        <v>20</v>
      </c>
      <c r="J29" s="555">
        <v>4</v>
      </c>
      <c r="K29" s="452">
        <v>20</v>
      </c>
      <c r="L29" s="555">
        <v>10</v>
      </c>
      <c r="M29" s="452">
        <v>20</v>
      </c>
      <c r="N29" s="555">
        <v>15</v>
      </c>
      <c r="O29" s="452">
        <v>20</v>
      </c>
      <c r="P29" s="555">
        <v>12</v>
      </c>
      <c r="Q29" s="452">
        <v>20</v>
      </c>
      <c r="R29" s="555">
        <v>11</v>
      </c>
      <c r="S29" s="452">
        <v>20</v>
      </c>
      <c r="T29" s="555">
        <v>14</v>
      </c>
      <c r="U29" s="452">
        <v>20</v>
      </c>
      <c r="V29" s="555">
        <v>12</v>
      </c>
      <c r="W29" s="452">
        <v>20</v>
      </c>
      <c r="X29" s="555">
        <v>15</v>
      </c>
      <c r="Y29" s="452">
        <v>20</v>
      </c>
      <c r="Z29" s="456"/>
      <c r="AA29" s="456"/>
      <c r="AB29" s="557">
        <v>10</v>
      </c>
      <c r="AC29" s="452">
        <v>20</v>
      </c>
      <c r="AD29" s="557">
        <v>15</v>
      </c>
      <c r="AE29" s="452">
        <v>20</v>
      </c>
      <c r="AG29" s="707"/>
      <c r="AH29" s="707"/>
      <c r="AI29" s="707"/>
      <c r="AJ29" s="707"/>
      <c r="AK29" s="707"/>
      <c r="AL29" s="707"/>
      <c r="AM29" s="707"/>
      <c r="AN29" s="707"/>
      <c r="AO29" s="707"/>
    </row>
    <row r="30" spans="1:47" x14ac:dyDescent="0.45">
      <c r="A30" s="271">
        <v>3</v>
      </c>
      <c r="B30" s="418" t="s">
        <v>529</v>
      </c>
      <c r="C30" s="27" t="s">
        <v>705</v>
      </c>
      <c r="D30" s="552" t="s">
        <v>752</v>
      </c>
      <c r="E30" s="382"/>
      <c r="F30" s="395">
        <v>20</v>
      </c>
      <c r="G30" s="685"/>
      <c r="H30" s="455"/>
      <c r="I30" s="456"/>
      <c r="J30" s="456"/>
      <c r="K30" s="360"/>
      <c r="L30" s="456"/>
      <c r="M30" s="360"/>
      <c r="N30" s="456"/>
      <c r="O30" s="360"/>
      <c r="P30" s="456"/>
      <c r="Q30" s="360"/>
      <c r="R30" s="456"/>
      <c r="S30" s="360"/>
      <c r="T30" s="456"/>
      <c r="U30" s="360"/>
      <c r="V30" s="456"/>
      <c r="W30" s="360"/>
      <c r="X30" s="456"/>
      <c r="Y30" s="360"/>
      <c r="Z30" s="456"/>
      <c r="AA30" s="360"/>
      <c r="AB30" s="456"/>
      <c r="AC30" s="360"/>
      <c r="AD30" s="431">
        <v>1</v>
      </c>
      <c r="AE30" s="438">
        <v>20</v>
      </c>
      <c r="AG30" s="707"/>
      <c r="AH30" s="707"/>
      <c r="AI30" s="707"/>
      <c r="AJ30" s="707"/>
      <c r="AK30" s="707"/>
      <c r="AL30" s="707"/>
      <c r="AM30" s="707"/>
      <c r="AN30" s="707"/>
      <c r="AO30" s="707"/>
    </row>
    <row r="31" spans="1:47" x14ac:dyDescent="0.45">
      <c r="A31" s="271">
        <v>4</v>
      </c>
      <c r="B31" s="418" t="s">
        <v>530</v>
      </c>
      <c r="C31" s="27" t="s">
        <v>706</v>
      </c>
      <c r="D31" s="552" t="s">
        <v>752</v>
      </c>
      <c r="E31" s="382"/>
      <c r="F31" s="395">
        <v>15</v>
      </c>
      <c r="G31" s="685"/>
      <c r="H31" s="455"/>
      <c r="I31" s="456"/>
      <c r="J31" s="456"/>
      <c r="K31" s="360"/>
      <c r="L31" s="456"/>
      <c r="M31" s="360"/>
      <c r="N31" s="456"/>
      <c r="O31" s="360"/>
      <c r="P31" s="456"/>
      <c r="Q31" s="360"/>
      <c r="R31" s="456"/>
      <c r="S31" s="360"/>
      <c r="T31" s="456"/>
      <c r="U31" s="360"/>
      <c r="V31" s="456"/>
      <c r="W31" s="360"/>
      <c r="X31" s="456"/>
      <c r="Y31" s="360"/>
      <c r="Z31" s="456"/>
      <c r="AA31" s="360"/>
      <c r="AB31" s="456"/>
      <c r="AC31" s="360"/>
      <c r="AD31" s="431">
        <v>12</v>
      </c>
      <c r="AE31" s="438">
        <v>15</v>
      </c>
      <c r="AG31" s="707"/>
      <c r="AH31" s="707"/>
      <c r="AI31" s="707"/>
      <c r="AJ31" s="707"/>
      <c r="AK31" s="707"/>
      <c r="AL31" s="707"/>
      <c r="AM31" s="707"/>
      <c r="AN31" s="707"/>
      <c r="AO31" s="707"/>
    </row>
    <row r="32" spans="1:47" ht="18" thickBot="1" x14ac:dyDescent="0.5">
      <c r="A32" s="27"/>
      <c r="B32" s="293"/>
      <c r="C32" s="293"/>
      <c r="D32" s="508"/>
      <c r="E32" s="505"/>
      <c r="F32" s="76"/>
      <c r="G32" s="685"/>
      <c r="H32" s="427"/>
      <c r="I32" s="518"/>
      <c r="J32" s="427"/>
      <c r="K32" s="518"/>
      <c r="L32" s="427"/>
      <c r="M32" s="519"/>
      <c r="N32" s="520"/>
      <c r="O32" s="518"/>
      <c r="P32" s="520"/>
      <c r="Q32" s="518"/>
      <c r="R32" s="520"/>
      <c r="S32" s="518"/>
      <c r="T32" s="521"/>
      <c r="U32" s="518"/>
      <c r="V32" s="521"/>
      <c r="W32" s="518"/>
      <c r="X32" s="521"/>
      <c r="Y32" s="518"/>
      <c r="Z32" s="521"/>
      <c r="AA32" s="518"/>
      <c r="AB32" s="521"/>
      <c r="AC32" s="518"/>
      <c r="AD32" s="521"/>
      <c r="AE32" s="518"/>
      <c r="AF32" s="521"/>
      <c r="AG32" s="707"/>
      <c r="AH32" s="707"/>
      <c r="AI32" s="707"/>
      <c r="AJ32" s="707"/>
      <c r="AK32" s="707"/>
      <c r="AL32" s="707"/>
      <c r="AM32" s="707"/>
      <c r="AN32" s="707"/>
      <c r="AO32" s="707"/>
    </row>
    <row r="33" spans="1:41" ht="22" thickTop="1" thickBot="1" x14ac:dyDescent="0.5">
      <c r="A33" s="273" t="s">
        <v>379</v>
      </c>
      <c r="B33" s="273">
        <v>9</v>
      </c>
      <c r="C33" s="116"/>
      <c r="D33" s="265"/>
      <c r="E33" s="385"/>
      <c r="F33" s="274">
        <f>SUM(F28:F32)</f>
        <v>65</v>
      </c>
      <c r="G33" s="685"/>
      <c r="H33" s="546"/>
      <c r="I33" s="515"/>
      <c r="J33" s="546"/>
      <c r="K33" s="515"/>
      <c r="L33" s="546"/>
      <c r="M33" s="515"/>
      <c r="N33" s="546"/>
      <c r="O33" s="515"/>
      <c r="P33" s="546"/>
      <c r="Q33" s="515"/>
      <c r="R33" s="546"/>
      <c r="S33" s="515"/>
      <c r="T33" s="546"/>
      <c r="U33" s="515"/>
      <c r="V33" s="546"/>
      <c r="W33" s="515"/>
      <c r="X33" s="546"/>
      <c r="Y33" s="515"/>
      <c r="Z33" s="546"/>
      <c r="AA33" s="515"/>
      <c r="AB33" s="546"/>
      <c r="AC33" s="515"/>
      <c r="AD33" s="546"/>
      <c r="AE33" s="551"/>
      <c r="AG33" s="707"/>
      <c r="AH33" s="707"/>
      <c r="AI33" s="707"/>
      <c r="AJ33" s="707"/>
      <c r="AK33" s="707"/>
      <c r="AL33" s="707"/>
      <c r="AM33" s="707"/>
      <c r="AN33" s="707"/>
      <c r="AO33" s="707"/>
    </row>
    <row r="34" spans="1:41" ht="18" thickTop="1" thickBot="1" x14ac:dyDescent="0.5">
      <c r="A34" s="523"/>
      <c r="B34" s="545"/>
      <c r="C34" s="545"/>
      <c r="D34" s="545"/>
      <c r="E34" s="545"/>
      <c r="F34" s="545"/>
      <c r="G34" s="685"/>
      <c r="H34" s="546"/>
      <c r="I34" s="515"/>
      <c r="J34" s="546"/>
      <c r="K34" s="515"/>
      <c r="L34" s="546"/>
      <c r="M34" s="515"/>
      <c r="N34" s="546"/>
      <c r="O34" s="515"/>
      <c r="P34" s="546"/>
      <c r="Q34" s="515"/>
      <c r="R34" s="546"/>
      <c r="S34" s="515"/>
      <c r="T34" s="546"/>
      <c r="U34" s="515"/>
      <c r="V34" s="546"/>
      <c r="W34" s="515"/>
      <c r="X34" s="546"/>
      <c r="Y34" s="515"/>
      <c r="Z34" s="546"/>
      <c r="AA34" s="515"/>
      <c r="AB34" s="546"/>
      <c r="AC34" s="515"/>
      <c r="AD34" s="546"/>
      <c r="AE34" s="551"/>
      <c r="AG34" s="707"/>
      <c r="AH34" s="707"/>
      <c r="AI34" s="707"/>
      <c r="AJ34" s="707"/>
      <c r="AK34" s="707"/>
      <c r="AL34" s="707"/>
      <c r="AM34" s="707"/>
      <c r="AN34" s="707"/>
      <c r="AO34" s="707"/>
    </row>
    <row r="35" spans="1:41" ht="22" thickTop="1" thickBot="1" x14ac:dyDescent="0.5">
      <c r="A35" s="658" t="s">
        <v>710</v>
      </c>
      <c r="B35" s="659"/>
      <c r="C35" s="544"/>
      <c r="D35" s="544"/>
      <c r="E35" s="544"/>
      <c r="F35" s="544"/>
      <c r="G35" s="685"/>
      <c r="H35" s="547"/>
      <c r="I35" s="532"/>
      <c r="J35" s="547"/>
      <c r="K35" s="532"/>
      <c r="L35" s="547"/>
      <c r="M35" s="532"/>
      <c r="N35" s="547"/>
      <c r="O35" s="532"/>
      <c r="P35" s="547"/>
      <c r="Q35" s="532"/>
      <c r="R35" s="547"/>
      <c r="S35" s="532"/>
      <c r="T35" s="547"/>
      <c r="U35" s="532"/>
      <c r="V35" s="547"/>
      <c r="W35" s="532"/>
      <c r="X35" s="547"/>
      <c r="Y35" s="532"/>
      <c r="Z35" s="547"/>
      <c r="AA35" s="532"/>
      <c r="AB35" s="547"/>
      <c r="AC35" s="532"/>
      <c r="AD35" s="547"/>
      <c r="AE35" s="532"/>
      <c r="AG35" s="707"/>
      <c r="AH35" s="707"/>
      <c r="AI35" s="707"/>
      <c r="AJ35" s="707"/>
      <c r="AK35" s="707"/>
      <c r="AL35" s="707"/>
      <c r="AM35" s="707"/>
      <c r="AN35" s="707"/>
      <c r="AO35" s="707"/>
    </row>
    <row r="36" spans="1:41" ht="18" thickTop="1" x14ac:dyDescent="0.45">
      <c r="A36" s="174">
        <v>1</v>
      </c>
      <c r="B36" s="421" t="s">
        <v>10</v>
      </c>
      <c r="C36" s="1" t="s">
        <v>32</v>
      </c>
      <c r="D36" s="537" t="s">
        <v>753</v>
      </c>
      <c r="E36" s="387"/>
      <c r="F36" s="108">
        <v>8</v>
      </c>
      <c r="G36" s="685"/>
      <c r="H36" s="447"/>
      <c r="I36" s="360"/>
      <c r="J36" s="360"/>
      <c r="K36" s="360"/>
      <c r="L36" s="427">
        <v>4</v>
      </c>
      <c r="M36" s="438">
        <v>24</v>
      </c>
      <c r="N36" s="447"/>
      <c r="O36" s="360"/>
      <c r="P36" s="360"/>
      <c r="Q36" s="460"/>
      <c r="R36" s="430">
        <v>4</v>
      </c>
      <c r="S36" s="438">
        <v>24</v>
      </c>
      <c r="T36" s="447"/>
      <c r="U36" s="360"/>
      <c r="V36" s="360"/>
      <c r="W36" s="460"/>
      <c r="X36" s="360"/>
      <c r="Y36" s="460"/>
      <c r="Z36" s="426">
        <v>1</v>
      </c>
      <c r="AA36" s="438">
        <v>24</v>
      </c>
      <c r="AB36" s="447"/>
      <c r="AC36" s="360"/>
      <c r="AD36" s="360"/>
      <c r="AE36" s="460"/>
      <c r="AG36" s="707"/>
      <c r="AH36" s="707"/>
      <c r="AI36" s="707"/>
      <c r="AJ36" s="707"/>
      <c r="AK36" s="707"/>
      <c r="AL36" s="707"/>
      <c r="AM36" s="707"/>
      <c r="AN36" s="707"/>
      <c r="AO36" s="707"/>
    </row>
    <row r="37" spans="1:41" ht="17.5" x14ac:dyDescent="0.45">
      <c r="A37" s="270">
        <v>2</v>
      </c>
      <c r="B37" s="417" t="s">
        <v>127</v>
      </c>
      <c r="C37" s="1" t="s">
        <v>128</v>
      </c>
      <c r="D37" s="537" t="s">
        <v>753</v>
      </c>
      <c r="E37" s="381"/>
      <c r="F37" s="74">
        <v>5</v>
      </c>
      <c r="G37" s="685"/>
      <c r="H37" s="427">
        <v>1</v>
      </c>
      <c r="I37" s="438">
        <v>5</v>
      </c>
      <c r="J37" s="427">
        <v>1</v>
      </c>
      <c r="K37" s="438">
        <v>5</v>
      </c>
      <c r="L37" s="427">
        <v>1</v>
      </c>
      <c r="M37" s="438">
        <v>5</v>
      </c>
      <c r="N37" s="427">
        <v>1</v>
      </c>
      <c r="O37" s="438">
        <v>5</v>
      </c>
      <c r="P37" s="427">
        <v>1</v>
      </c>
      <c r="Q37" s="438">
        <v>5</v>
      </c>
      <c r="R37" s="427">
        <v>1</v>
      </c>
      <c r="S37" s="438">
        <v>5</v>
      </c>
      <c r="T37" s="427">
        <v>1</v>
      </c>
      <c r="U37" s="438">
        <v>5</v>
      </c>
      <c r="V37" s="427">
        <v>1</v>
      </c>
      <c r="W37" s="438">
        <v>5</v>
      </c>
      <c r="X37" s="427">
        <v>1</v>
      </c>
      <c r="Y37" s="438">
        <v>5</v>
      </c>
      <c r="Z37" s="476"/>
      <c r="AA37" s="477"/>
      <c r="AB37" s="427">
        <v>1</v>
      </c>
      <c r="AC37" s="438">
        <v>5</v>
      </c>
      <c r="AD37" s="427">
        <v>1</v>
      </c>
      <c r="AE37" s="438">
        <v>5</v>
      </c>
      <c r="AG37" s="707"/>
      <c r="AH37" s="707"/>
      <c r="AI37" s="707"/>
      <c r="AJ37" s="707"/>
      <c r="AK37" s="707"/>
      <c r="AL37" s="707"/>
      <c r="AM37" s="707"/>
      <c r="AN37" s="707"/>
      <c r="AO37" s="707"/>
    </row>
    <row r="38" spans="1:41" ht="17.5" x14ac:dyDescent="0.45">
      <c r="A38" s="270">
        <v>3</v>
      </c>
      <c r="B38" s="417" t="s">
        <v>135</v>
      </c>
      <c r="C38" s="1" t="s">
        <v>136</v>
      </c>
      <c r="D38" s="537" t="s">
        <v>753</v>
      </c>
      <c r="E38" s="381"/>
      <c r="F38" s="74">
        <v>8</v>
      </c>
      <c r="G38" s="685"/>
      <c r="H38" s="429">
        <v>1</v>
      </c>
      <c r="I38" s="438">
        <v>8</v>
      </c>
      <c r="J38" s="427">
        <v>1</v>
      </c>
      <c r="K38" s="438">
        <v>8</v>
      </c>
      <c r="L38" s="427">
        <v>1</v>
      </c>
      <c r="M38" s="438">
        <v>8</v>
      </c>
      <c r="N38" s="427">
        <v>1</v>
      </c>
      <c r="O38" s="438">
        <v>8</v>
      </c>
      <c r="P38" s="427">
        <v>1</v>
      </c>
      <c r="Q38" s="438">
        <v>8</v>
      </c>
      <c r="R38" s="427">
        <v>1</v>
      </c>
      <c r="S38" s="438">
        <v>8</v>
      </c>
      <c r="T38" s="427">
        <v>1</v>
      </c>
      <c r="U38" s="438">
        <v>8</v>
      </c>
      <c r="V38" s="427">
        <v>1</v>
      </c>
      <c r="W38" s="438">
        <v>8</v>
      </c>
      <c r="X38" s="427">
        <v>1</v>
      </c>
      <c r="Y38" s="438">
        <v>8</v>
      </c>
      <c r="Z38" s="427">
        <v>1</v>
      </c>
      <c r="AA38" s="438">
        <v>8</v>
      </c>
      <c r="AB38" s="427">
        <v>1</v>
      </c>
      <c r="AC38" s="438">
        <v>8</v>
      </c>
      <c r="AD38" s="431">
        <v>1</v>
      </c>
      <c r="AE38" s="438">
        <v>8</v>
      </c>
      <c r="AG38" s="707"/>
      <c r="AH38" s="707"/>
      <c r="AI38" s="707"/>
      <c r="AJ38" s="707"/>
      <c r="AK38" s="707"/>
      <c r="AL38" s="707"/>
      <c r="AM38" s="707"/>
      <c r="AN38" s="707"/>
      <c r="AO38" s="707"/>
    </row>
    <row r="39" spans="1:41" ht="17.5" x14ac:dyDescent="0.45">
      <c r="A39" s="271">
        <v>4</v>
      </c>
      <c r="B39" s="418" t="s">
        <v>206</v>
      </c>
      <c r="C39" s="27" t="s">
        <v>209</v>
      </c>
      <c r="D39" s="537" t="s">
        <v>753</v>
      </c>
      <c r="E39" s="382"/>
      <c r="F39" s="74">
        <v>10</v>
      </c>
      <c r="G39" s="685"/>
      <c r="H39" s="429" t="s">
        <v>458</v>
      </c>
      <c r="I39" s="441">
        <v>10</v>
      </c>
      <c r="J39" s="429">
        <v>5</v>
      </c>
      <c r="K39" s="438">
        <v>10</v>
      </c>
      <c r="L39" s="427">
        <v>27</v>
      </c>
      <c r="M39" s="438">
        <v>10</v>
      </c>
      <c r="N39" s="427">
        <v>31</v>
      </c>
      <c r="O39" s="438">
        <v>10</v>
      </c>
      <c r="P39" s="427">
        <v>1</v>
      </c>
      <c r="Q39" s="438">
        <v>10</v>
      </c>
      <c r="R39" s="427">
        <v>1</v>
      </c>
      <c r="S39" s="438">
        <v>10</v>
      </c>
      <c r="T39" s="427">
        <v>1</v>
      </c>
      <c r="U39" s="438">
        <v>10</v>
      </c>
      <c r="V39" s="427">
        <v>27</v>
      </c>
      <c r="W39" s="438">
        <v>10</v>
      </c>
      <c r="X39" s="427">
        <v>30</v>
      </c>
      <c r="Y39" s="438">
        <v>10</v>
      </c>
      <c r="Z39" s="427">
        <v>29</v>
      </c>
      <c r="AA39" s="438">
        <v>10</v>
      </c>
      <c r="AB39" s="480"/>
      <c r="AC39" s="477"/>
      <c r="AD39" s="427">
        <v>1</v>
      </c>
      <c r="AE39" s="438">
        <v>10</v>
      </c>
      <c r="AG39" s="707"/>
      <c r="AH39" s="707"/>
      <c r="AI39" s="707"/>
      <c r="AJ39" s="707"/>
      <c r="AK39" s="707"/>
      <c r="AL39" s="707"/>
      <c r="AM39" s="707"/>
      <c r="AN39" s="707"/>
      <c r="AO39" s="707"/>
    </row>
    <row r="40" spans="1:41" x14ac:dyDescent="0.45">
      <c r="A40" s="271">
        <v>5</v>
      </c>
      <c r="B40" s="418" t="s">
        <v>210</v>
      </c>
      <c r="C40" s="27" t="s">
        <v>211</v>
      </c>
      <c r="D40" s="537" t="s">
        <v>753</v>
      </c>
      <c r="E40" s="382"/>
      <c r="F40" s="134">
        <v>10</v>
      </c>
      <c r="G40" s="685"/>
      <c r="H40" s="429">
        <v>8</v>
      </c>
      <c r="I40" s="441">
        <v>10</v>
      </c>
      <c r="J40" s="429">
        <v>5</v>
      </c>
      <c r="K40" s="438">
        <v>10</v>
      </c>
      <c r="L40" s="427">
        <v>5</v>
      </c>
      <c r="M40" s="438">
        <v>10</v>
      </c>
      <c r="N40" s="427">
        <v>4</v>
      </c>
      <c r="O40" s="438">
        <v>10</v>
      </c>
      <c r="P40" s="427">
        <v>10</v>
      </c>
      <c r="Q40" s="438">
        <v>10</v>
      </c>
      <c r="R40" s="431">
        <v>7</v>
      </c>
      <c r="S40" s="438">
        <v>10</v>
      </c>
      <c r="T40" s="431">
        <v>3</v>
      </c>
      <c r="U40" s="438">
        <v>10</v>
      </c>
      <c r="V40" s="427">
        <v>6</v>
      </c>
      <c r="W40" s="438">
        <v>10</v>
      </c>
      <c r="X40" s="427">
        <v>5</v>
      </c>
      <c r="Y40" s="438">
        <v>10</v>
      </c>
      <c r="Z40" s="427">
        <v>14</v>
      </c>
      <c r="AA40" s="438">
        <v>10</v>
      </c>
      <c r="AB40" s="427">
        <v>14</v>
      </c>
      <c r="AC40" s="438">
        <v>10</v>
      </c>
      <c r="AD40" s="427">
        <v>1</v>
      </c>
      <c r="AE40" s="438">
        <v>10</v>
      </c>
      <c r="AG40" s="707"/>
      <c r="AH40" s="707"/>
      <c r="AI40" s="707"/>
      <c r="AJ40" s="707"/>
      <c r="AK40" s="707"/>
      <c r="AL40" s="707"/>
      <c r="AM40" s="707"/>
      <c r="AN40" s="707"/>
      <c r="AO40" s="707"/>
    </row>
    <row r="41" spans="1:41" x14ac:dyDescent="0.45">
      <c r="A41" s="271">
        <v>6</v>
      </c>
      <c r="B41" s="418" t="s">
        <v>457</v>
      </c>
      <c r="C41" s="27" t="s">
        <v>469</v>
      </c>
      <c r="D41" s="537" t="s">
        <v>753</v>
      </c>
      <c r="E41" s="382"/>
      <c r="F41" s="134">
        <v>10</v>
      </c>
      <c r="G41" s="685"/>
      <c r="H41" s="429">
        <v>1</v>
      </c>
      <c r="I41" s="441">
        <v>10</v>
      </c>
      <c r="J41" s="429">
        <v>2</v>
      </c>
      <c r="K41" s="438">
        <v>10</v>
      </c>
      <c r="L41" s="427">
        <v>4</v>
      </c>
      <c r="M41" s="438">
        <v>10</v>
      </c>
      <c r="N41" s="427">
        <v>1</v>
      </c>
      <c r="O41" s="438">
        <v>10</v>
      </c>
      <c r="P41" s="427">
        <v>1</v>
      </c>
      <c r="Q41" s="438">
        <v>10</v>
      </c>
      <c r="R41" s="431">
        <v>1</v>
      </c>
      <c r="S41" s="438">
        <v>10</v>
      </c>
      <c r="T41" s="427">
        <v>1</v>
      </c>
      <c r="U41" s="438">
        <v>10</v>
      </c>
      <c r="V41" s="427">
        <v>1</v>
      </c>
      <c r="W41" s="438">
        <v>10</v>
      </c>
      <c r="X41" s="427">
        <v>1</v>
      </c>
      <c r="Y41" s="438">
        <v>10</v>
      </c>
      <c r="Z41" s="427">
        <v>1</v>
      </c>
      <c r="AA41" s="438">
        <v>10</v>
      </c>
      <c r="AB41" s="427">
        <v>2</v>
      </c>
      <c r="AC41" s="438">
        <v>10</v>
      </c>
      <c r="AD41" s="431">
        <v>1</v>
      </c>
      <c r="AE41" s="438">
        <v>10</v>
      </c>
      <c r="AG41" s="707"/>
      <c r="AH41" s="707"/>
      <c r="AI41" s="707"/>
      <c r="AJ41" s="707"/>
      <c r="AK41" s="707"/>
      <c r="AL41" s="707"/>
      <c r="AM41" s="707"/>
      <c r="AN41" s="707"/>
      <c r="AO41" s="707"/>
    </row>
    <row r="42" spans="1:41" x14ac:dyDescent="0.45">
      <c r="A42" s="271">
        <v>7</v>
      </c>
      <c r="B42" s="417" t="s">
        <v>163</v>
      </c>
      <c r="C42" s="1" t="s">
        <v>131</v>
      </c>
      <c r="D42" s="537" t="s">
        <v>753</v>
      </c>
      <c r="E42" s="382"/>
      <c r="F42" s="134">
        <v>10</v>
      </c>
      <c r="G42" s="685"/>
      <c r="H42" s="429">
        <v>2</v>
      </c>
      <c r="I42" s="441">
        <v>10</v>
      </c>
      <c r="J42" s="429">
        <v>5</v>
      </c>
      <c r="K42" s="438">
        <v>10</v>
      </c>
      <c r="L42" s="427">
        <v>4</v>
      </c>
      <c r="M42" s="438">
        <v>10</v>
      </c>
      <c r="N42" s="427">
        <v>2</v>
      </c>
      <c r="O42" s="438">
        <v>10</v>
      </c>
      <c r="P42" s="427">
        <v>5</v>
      </c>
      <c r="Q42" s="438">
        <v>10</v>
      </c>
      <c r="R42" s="431">
        <v>4</v>
      </c>
      <c r="S42" s="438">
        <v>10</v>
      </c>
      <c r="T42" s="427">
        <v>2</v>
      </c>
      <c r="U42" s="438">
        <v>10</v>
      </c>
      <c r="V42" s="427">
        <v>6</v>
      </c>
      <c r="W42" s="438">
        <v>10</v>
      </c>
      <c r="X42" s="427">
        <v>1</v>
      </c>
      <c r="Y42" s="438">
        <v>10</v>
      </c>
      <c r="Z42" s="427">
        <v>2</v>
      </c>
      <c r="AA42" s="438">
        <v>10</v>
      </c>
      <c r="AB42" s="427">
        <v>1</v>
      </c>
      <c r="AC42" s="438">
        <v>10</v>
      </c>
      <c r="AD42" s="431">
        <v>1</v>
      </c>
      <c r="AE42" s="438">
        <v>10</v>
      </c>
      <c r="AG42" s="707"/>
      <c r="AH42" s="707"/>
      <c r="AI42" s="707"/>
      <c r="AJ42" s="707"/>
      <c r="AK42" s="707"/>
      <c r="AL42" s="707"/>
      <c r="AM42" s="707"/>
      <c r="AN42" s="707"/>
      <c r="AO42" s="707"/>
    </row>
    <row r="43" spans="1:41" x14ac:dyDescent="0.45">
      <c r="A43" s="271">
        <v>9</v>
      </c>
      <c r="B43" s="418" t="s">
        <v>247</v>
      </c>
      <c r="C43" s="27" t="s">
        <v>279</v>
      </c>
      <c r="D43" s="537" t="s">
        <v>753</v>
      </c>
      <c r="E43" s="382"/>
      <c r="F43" s="134">
        <v>10</v>
      </c>
      <c r="G43" s="685"/>
      <c r="H43" s="455"/>
      <c r="I43" s="456"/>
      <c r="J43" s="456"/>
      <c r="K43" s="360"/>
      <c r="L43" s="427">
        <v>14</v>
      </c>
      <c r="M43" s="438">
        <v>10</v>
      </c>
      <c r="N43" s="427">
        <v>14</v>
      </c>
      <c r="O43" s="438">
        <v>10</v>
      </c>
      <c r="P43" s="427">
        <v>14</v>
      </c>
      <c r="Q43" s="438">
        <v>10</v>
      </c>
      <c r="R43" s="431">
        <v>14</v>
      </c>
      <c r="S43" s="438">
        <v>10</v>
      </c>
      <c r="T43" s="428">
        <v>14</v>
      </c>
      <c r="U43" s="438">
        <v>20</v>
      </c>
      <c r="V43" s="427">
        <v>13</v>
      </c>
      <c r="W43" s="438">
        <v>20</v>
      </c>
      <c r="X43" s="427">
        <v>14</v>
      </c>
      <c r="Y43" s="438">
        <v>10</v>
      </c>
      <c r="Z43" s="427">
        <v>14</v>
      </c>
      <c r="AA43" s="438">
        <v>10</v>
      </c>
      <c r="AB43" s="427">
        <v>16</v>
      </c>
      <c r="AC43" s="438">
        <v>10</v>
      </c>
      <c r="AD43" s="456"/>
      <c r="AE43" s="360"/>
      <c r="AG43" s="707"/>
      <c r="AH43" s="707"/>
      <c r="AI43" s="707"/>
      <c r="AJ43" s="707"/>
      <c r="AK43" s="707"/>
      <c r="AL43" s="707"/>
      <c r="AM43" s="707"/>
      <c r="AN43" s="707"/>
      <c r="AO43" s="707"/>
    </row>
    <row r="44" spans="1:41" x14ac:dyDescent="0.45">
      <c r="A44" s="271">
        <v>10</v>
      </c>
      <c r="B44" s="418" t="s">
        <v>508</v>
      </c>
      <c r="C44" s="27" t="s">
        <v>509</v>
      </c>
      <c r="D44" s="537" t="s">
        <v>753</v>
      </c>
      <c r="E44" s="382"/>
      <c r="F44" s="395">
        <v>10</v>
      </c>
      <c r="G44" s="685"/>
      <c r="H44" s="455"/>
      <c r="I44" s="456"/>
      <c r="J44" s="456"/>
      <c r="K44" s="360"/>
      <c r="L44" s="456"/>
      <c r="M44" s="360"/>
      <c r="N44" s="456"/>
      <c r="O44" s="360"/>
      <c r="P44" s="456"/>
      <c r="Q44" s="360"/>
      <c r="R44" s="431">
        <v>28</v>
      </c>
      <c r="S44" s="438">
        <v>10</v>
      </c>
      <c r="T44" s="427">
        <v>19</v>
      </c>
      <c r="U44" s="438">
        <v>10</v>
      </c>
      <c r="V44" s="456"/>
      <c r="W44" s="360"/>
      <c r="X44" s="456"/>
      <c r="Y44" s="360"/>
      <c r="Z44" s="456"/>
      <c r="AA44" s="360"/>
      <c r="AB44" s="427">
        <v>24</v>
      </c>
      <c r="AC44" s="438">
        <v>10</v>
      </c>
      <c r="AD44" s="431">
        <v>22</v>
      </c>
      <c r="AE44" s="438">
        <v>10</v>
      </c>
      <c r="AG44" s="707"/>
      <c r="AH44" s="707"/>
      <c r="AI44" s="707"/>
      <c r="AJ44" s="707"/>
      <c r="AK44" s="707"/>
      <c r="AL44" s="707"/>
      <c r="AM44" s="707"/>
      <c r="AN44" s="707"/>
      <c r="AO44" s="707"/>
    </row>
    <row r="45" spans="1:41" x14ac:dyDescent="0.45">
      <c r="A45" s="271">
        <v>11</v>
      </c>
      <c r="B45" s="418" t="s">
        <v>516</v>
      </c>
      <c r="C45" s="27" t="s">
        <v>704</v>
      </c>
      <c r="D45" s="537" t="s">
        <v>753</v>
      </c>
      <c r="E45" s="382"/>
      <c r="F45" s="395">
        <v>10</v>
      </c>
      <c r="G45" s="685"/>
      <c r="H45" s="455"/>
      <c r="I45" s="456"/>
      <c r="J45" s="456"/>
      <c r="K45" s="360"/>
      <c r="L45" s="456"/>
      <c r="M45" s="360"/>
      <c r="N45" s="456"/>
      <c r="O45" s="360"/>
      <c r="P45" s="456"/>
      <c r="Q45" s="360"/>
      <c r="R45" s="456"/>
      <c r="S45" s="360"/>
      <c r="T45" s="456"/>
      <c r="U45" s="360"/>
      <c r="V45" s="456"/>
      <c r="W45" s="360"/>
      <c r="X45" s="456"/>
      <c r="Y45" s="360"/>
      <c r="Z45" s="427">
        <v>13</v>
      </c>
      <c r="AA45" s="438">
        <v>13</v>
      </c>
      <c r="AB45" s="456"/>
      <c r="AC45" s="360"/>
      <c r="AD45" s="431">
        <v>5</v>
      </c>
      <c r="AE45" s="438">
        <v>10</v>
      </c>
      <c r="AG45" s="707"/>
      <c r="AH45" s="707"/>
      <c r="AI45" s="707"/>
      <c r="AJ45" s="707"/>
      <c r="AK45" s="707"/>
      <c r="AL45" s="707"/>
      <c r="AM45" s="707"/>
      <c r="AN45" s="707"/>
      <c r="AO45" s="707"/>
    </row>
    <row r="46" spans="1:41" x14ac:dyDescent="0.45">
      <c r="A46" s="271">
        <v>14</v>
      </c>
      <c r="B46" s="418" t="s">
        <v>698</v>
      </c>
      <c r="C46" s="27" t="s">
        <v>708</v>
      </c>
      <c r="D46" s="537" t="s">
        <v>753</v>
      </c>
      <c r="E46" s="382"/>
      <c r="F46" s="451"/>
      <c r="G46" s="685"/>
      <c r="H46" s="455"/>
      <c r="I46" s="456"/>
      <c r="J46" s="456"/>
      <c r="K46" s="360"/>
      <c r="L46" s="456"/>
      <c r="M46" s="360"/>
      <c r="N46" s="456"/>
      <c r="O46" s="360"/>
      <c r="P46" s="456"/>
      <c r="Q46" s="360"/>
      <c r="R46" s="456"/>
      <c r="S46" s="360"/>
      <c r="T46" s="456"/>
      <c r="U46" s="360"/>
      <c r="V46" s="456"/>
      <c r="W46" s="360"/>
      <c r="X46" s="456"/>
      <c r="Y46" s="360"/>
      <c r="Z46" s="456"/>
      <c r="AA46" s="360"/>
      <c r="AB46" s="456"/>
      <c r="AC46" s="360"/>
      <c r="AD46" s="431">
        <v>24</v>
      </c>
      <c r="AE46" s="438">
        <v>10</v>
      </c>
      <c r="AG46" s="707"/>
      <c r="AH46" s="707"/>
      <c r="AI46" s="707"/>
      <c r="AJ46" s="707"/>
      <c r="AK46" s="707"/>
      <c r="AL46" s="707"/>
      <c r="AM46" s="707"/>
      <c r="AN46" s="707"/>
      <c r="AO46" s="707"/>
    </row>
    <row r="47" spans="1:41" ht="17.5" thickBot="1" x14ac:dyDescent="0.5">
      <c r="A47" s="27"/>
      <c r="B47" s="27"/>
      <c r="C47" s="27"/>
      <c r="D47" s="540"/>
      <c r="E47" s="391"/>
      <c r="F47" s="135"/>
      <c r="G47" s="685"/>
      <c r="H47" s="427"/>
      <c r="I47" s="441"/>
      <c r="J47" s="427"/>
      <c r="K47" s="438"/>
      <c r="L47" s="427"/>
      <c r="M47" s="438"/>
      <c r="N47" s="427"/>
      <c r="O47" s="438"/>
      <c r="P47" s="427"/>
      <c r="Q47" s="438"/>
      <c r="R47" s="427"/>
      <c r="S47" s="438"/>
      <c r="T47" s="427"/>
      <c r="U47" s="438"/>
      <c r="V47" s="427"/>
      <c r="W47" s="438"/>
      <c r="X47" s="427"/>
      <c r="Y47" s="438"/>
      <c r="Z47" s="427"/>
      <c r="AA47" s="438"/>
      <c r="AB47" s="427"/>
      <c r="AC47" s="438"/>
      <c r="AD47" s="427"/>
      <c r="AE47" s="438"/>
      <c r="AG47" s="707"/>
      <c r="AH47" s="707"/>
      <c r="AI47" s="707"/>
      <c r="AJ47" s="707"/>
      <c r="AK47" s="707"/>
      <c r="AL47" s="707"/>
      <c r="AM47" s="707"/>
      <c r="AN47" s="707"/>
      <c r="AO47" s="707"/>
    </row>
    <row r="48" spans="1:41" ht="22" thickTop="1" thickBot="1" x14ac:dyDescent="0.5">
      <c r="A48" s="273" t="s">
        <v>379</v>
      </c>
      <c r="B48" s="273">
        <v>14</v>
      </c>
      <c r="C48" s="116"/>
      <c r="D48" s="539"/>
      <c r="E48" s="385"/>
      <c r="F48" s="274">
        <f>SUM(F36:F47)</f>
        <v>91</v>
      </c>
      <c r="G48" s="685"/>
      <c r="H48" s="702"/>
      <c r="I48" s="665"/>
      <c r="J48" s="702"/>
      <c r="K48" s="665"/>
      <c r="L48" s="702"/>
      <c r="M48" s="665"/>
      <c r="N48" s="702"/>
      <c r="O48" s="665"/>
      <c r="P48" s="702"/>
      <c r="Q48" s="665"/>
      <c r="R48" s="702"/>
      <c r="S48" s="665"/>
      <c r="T48" s="702"/>
      <c r="U48" s="665"/>
      <c r="V48" s="702"/>
      <c r="W48" s="665"/>
      <c r="X48" s="702"/>
      <c r="Y48" s="665"/>
      <c r="Z48" s="702"/>
      <c r="AA48" s="665"/>
      <c r="AB48" s="702"/>
      <c r="AC48" s="665"/>
      <c r="AD48" s="702"/>
      <c r="AE48" s="665"/>
      <c r="AG48" s="707"/>
      <c r="AH48" s="707"/>
      <c r="AI48" s="707"/>
      <c r="AJ48" s="707"/>
      <c r="AK48" s="707"/>
      <c r="AL48" s="707"/>
      <c r="AM48" s="707"/>
      <c r="AN48" s="707"/>
      <c r="AO48" s="707"/>
    </row>
    <row r="49" spans="1:47" ht="18" thickTop="1" thickBot="1" x14ac:dyDescent="0.5">
      <c r="A49" s="37"/>
      <c r="B49" s="662"/>
      <c r="C49" s="662"/>
      <c r="D49" s="662"/>
      <c r="E49" s="662"/>
      <c r="F49" s="662"/>
      <c r="G49" s="685"/>
      <c r="H49" s="702"/>
      <c r="I49" s="665"/>
      <c r="J49" s="702"/>
      <c r="K49" s="665"/>
      <c r="L49" s="702"/>
      <c r="M49" s="665"/>
      <c r="N49" s="702"/>
      <c r="O49" s="665"/>
      <c r="P49" s="702"/>
      <c r="Q49" s="665"/>
      <c r="R49" s="702"/>
      <c r="S49" s="665"/>
      <c r="T49" s="702"/>
      <c r="U49" s="665"/>
      <c r="V49" s="702"/>
      <c r="W49" s="665"/>
      <c r="X49" s="702"/>
      <c r="Y49" s="665"/>
      <c r="Z49" s="702"/>
      <c r="AA49" s="665"/>
      <c r="AB49" s="702"/>
      <c r="AC49" s="665"/>
      <c r="AD49" s="702"/>
      <c r="AE49" s="665"/>
      <c r="AG49" s="707"/>
      <c r="AH49" s="707"/>
      <c r="AI49" s="707"/>
      <c r="AJ49" s="707"/>
      <c r="AK49" s="707"/>
      <c r="AL49" s="707"/>
      <c r="AM49" s="707"/>
      <c r="AN49" s="707"/>
      <c r="AO49" s="707"/>
    </row>
    <row r="50" spans="1:47" ht="18" thickTop="1" thickBot="1" x14ac:dyDescent="0.5">
      <c r="A50" s="37"/>
      <c r="B50" s="662"/>
      <c r="C50" s="662"/>
      <c r="D50" s="662"/>
      <c r="E50" s="662"/>
      <c r="F50" s="662"/>
      <c r="G50" s="685"/>
      <c r="H50" s="702"/>
      <c r="I50" s="665"/>
      <c r="J50" s="702"/>
      <c r="K50" s="665"/>
      <c r="L50" s="702"/>
      <c r="M50" s="665"/>
      <c r="N50" s="702"/>
      <c r="O50" s="665"/>
      <c r="P50" s="702"/>
      <c r="Q50" s="665"/>
      <c r="R50" s="702"/>
      <c r="S50" s="665"/>
      <c r="T50" s="702"/>
      <c r="U50" s="665"/>
      <c r="V50" s="702"/>
      <c r="W50" s="665"/>
      <c r="X50" s="702"/>
      <c r="Y50" s="665"/>
      <c r="Z50" s="702"/>
      <c r="AA50" s="665"/>
      <c r="AB50" s="702"/>
      <c r="AC50" s="665"/>
      <c r="AD50" s="702"/>
      <c r="AE50" s="665"/>
      <c r="AG50" s="707"/>
      <c r="AH50" s="707"/>
      <c r="AI50" s="707"/>
      <c r="AJ50" s="707"/>
      <c r="AK50" s="707"/>
      <c r="AL50" s="707"/>
      <c r="AM50" s="707"/>
      <c r="AN50" s="707"/>
      <c r="AO50" s="707"/>
    </row>
    <row r="51" spans="1:47" ht="22" thickTop="1" thickBot="1" x14ac:dyDescent="0.5">
      <c r="A51" s="131" t="s">
        <v>167</v>
      </c>
      <c r="B51" s="701"/>
      <c r="C51" s="701"/>
      <c r="D51" s="701"/>
      <c r="E51" s="701"/>
      <c r="F51" s="701"/>
      <c r="G51" s="685"/>
      <c r="H51" s="709"/>
      <c r="I51" s="693"/>
      <c r="J51" s="709"/>
      <c r="K51" s="693"/>
      <c r="L51" s="709"/>
      <c r="M51" s="693"/>
      <c r="N51" s="709"/>
      <c r="O51" s="693"/>
      <c r="P51" s="709"/>
      <c r="Q51" s="693"/>
      <c r="R51" s="709"/>
      <c r="S51" s="693"/>
      <c r="T51" s="709"/>
      <c r="U51" s="693"/>
      <c r="V51" s="709"/>
      <c r="W51" s="693"/>
      <c r="X51" s="709"/>
      <c r="Y51" s="693"/>
      <c r="Z51" s="709"/>
      <c r="AA51" s="693"/>
      <c r="AB51" s="709"/>
      <c r="AC51" s="693"/>
      <c r="AD51" s="709"/>
      <c r="AE51" s="693"/>
      <c r="AG51" s="707"/>
      <c r="AH51" s="707"/>
      <c r="AI51" s="707"/>
      <c r="AJ51" s="707"/>
      <c r="AK51" s="707"/>
      <c r="AL51" s="707"/>
      <c r="AM51" s="707"/>
      <c r="AN51" s="707"/>
      <c r="AO51" s="707"/>
    </row>
    <row r="52" spans="1:47" s="27" customFormat="1" ht="17.5" customHeight="1" thickTop="1" x14ac:dyDescent="0.45">
      <c r="B52" s="293" t="s">
        <v>438</v>
      </c>
      <c r="C52" s="27" t="s">
        <v>415</v>
      </c>
      <c r="D52" s="537" t="s">
        <v>751</v>
      </c>
      <c r="E52" s="400"/>
      <c r="F52" s="364">
        <v>20</v>
      </c>
      <c r="G52" s="685"/>
      <c r="H52" s="429">
        <v>8</v>
      </c>
      <c r="I52" s="438">
        <v>20</v>
      </c>
      <c r="J52" s="429"/>
      <c r="K52" s="438"/>
      <c r="L52" s="429"/>
      <c r="M52" s="438"/>
      <c r="N52" s="429"/>
      <c r="O52" s="438"/>
      <c r="P52" s="429"/>
      <c r="Q52" s="438"/>
      <c r="R52" s="429"/>
      <c r="S52" s="438"/>
      <c r="T52" s="429"/>
      <c r="U52" s="438"/>
      <c r="V52" s="429"/>
      <c r="W52" s="438"/>
      <c r="X52" s="429"/>
      <c r="Y52" s="438"/>
      <c r="Z52" s="427"/>
      <c r="AA52" s="438"/>
      <c r="AB52" s="427"/>
      <c r="AC52" s="438"/>
      <c r="AD52" s="431"/>
      <c r="AE52" s="438"/>
      <c r="AF52"/>
      <c r="AG52" s="707"/>
      <c r="AH52" s="707"/>
      <c r="AI52" s="707"/>
      <c r="AJ52" s="707"/>
      <c r="AK52" s="707"/>
      <c r="AL52" s="707"/>
      <c r="AM52" s="707"/>
      <c r="AN52" s="707"/>
      <c r="AO52" s="707"/>
      <c r="AP52" s="37"/>
      <c r="AQ52" s="37"/>
      <c r="AR52" s="37"/>
      <c r="AS52" s="37"/>
      <c r="AT52" s="37"/>
      <c r="AU52" s="37"/>
    </row>
    <row r="53" spans="1:47" s="37" customFormat="1" x14ac:dyDescent="0.45">
      <c r="A53" s="27"/>
      <c r="B53" s="27" t="s">
        <v>295</v>
      </c>
      <c r="C53" s="27" t="s">
        <v>297</v>
      </c>
      <c r="D53" s="537" t="s">
        <v>751</v>
      </c>
      <c r="E53" s="400"/>
      <c r="F53" s="364">
        <v>10</v>
      </c>
      <c r="G53" s="685"/>
      <c r="H53" s="429">
        <v>7</v>
      </c>
      <c r="I53" s="441">
        <v>10</v>
      </c>
      <c r="J53" s="429"/>
      <c r="K53" s="438"/>
      <c r="L53" s="429"/>
      <c r="M53" s="438"/>
      <c r="N53" s="429"/>
      <c r="O53" s="438"/>
      <c r="P53" s="429"/>
      <c r="Q53" s="438"/>
      <c r="R53" s="429"/>
      <c r="S53" s="438"/>
      <c r="T53" s="429"/>
      <c r="U53" s="438"/>
      <c r="V53" s="429"/>
      <c r="W53" s="438"/>
      <c r="X53" s="429"/>
      <c r="Y53" s="438"/>
      <c r="Z53" s="427"/>
      <c r="AA53" s="438"/>
      <c r="AB53" s="427"/>
      <c r="AC53" s="438"/>
      <c r="AD53" s="427"/>
      <c r="AE53" s="438"/>
      <c r="AF53"/>
      <c r="AG53" s="707"/>
      <c r="AH53" s="707"/>
      <c r="AI53" s="707"/>
      <c r="AJ53" s="707"/>
      <c r="AK53" s="707"/>
      <c r="AL53" s="707"/>
      <c r="AM53" s="707"/>
      <c r="AN53" s="707"/>
      <c r="AO53" s="707"/>
    </row>
    <row r="54" spans="1:47" x14ac:dyDescent="0.45">
      <c r="A54" s="271"/>
      <c r="B54" s="418" t="s">
        <v>431</v>
      </c>
      <c r="C54" s="27" t="s">
        <v>430</v>
      </c>
      <c r="D54" s="538" t="s">
        <v>752</v>
      </c>
      <c r="E54" s="398"/>
      <c r="F54" s="134">
        <v>20</v>
      </c>
      <c r="G54" s="685"/>
      <c r="H54" s="445">
        <v>16</v>
      </c>
      <c r="I54" s="441">
        <v>20</v>
      </c>
      <c r="J54" s="428"/>
      <c r="K54" s="438"/>
      <c r="L54" s="428"/>
      <c r="M54" s="438"/>
      <c r="N54" s="428"/>
      <c r="O54" s="438"/>
      <c r="P54" s="428"/>
      <c r="Q54" s="438"/>
      <c r="R54" s="428"/>
      <c r="S54" s="438"/>
      <c r="T54" s="428"/>
      <c r="U54" s="438"/>
      <c r="V54" s="428"/>
      <c r="W54" s="438"/>
      <c r="X54" s="428"/>
      <c r="Y54" s="438"/>
      <c r="Z54" s="424"/>
      <c r="AA54" s="438"/>
      <c r="AB54" s="424"/>
      <c r="AC54" s="438"/>
      <c r="AD54" s="432"/>
      <c r="AE54" s="438"/>
      <c r="AG54" s="707"/>
      <c r="AH54" s="707"/>
      <c r="AI54" s="707"/>
      <c r="AJ54" s="707"/>
      <c r="AK54" s="707"/>
      <c r="AL54" s="707"/>
      <c r="AM54" s="707"/>
      <c r="AN54" s="707"/>
      <c r="AO54" s="707"/>
    </row>
    <row r="55" spans="1:47" s="37" customFormat="1" x14ac:dyDescent="0.45">
      <c r="A55" s="27"/>
      <c r="B55" s="418" t="s">
        <v>467</v>
      </c>
      <c r="C55" s="27" t="s">
        <v>468</v>
      </c>
      <c r="D55" s="537" t="s">
        <v>753</v>
      </c>
      <c r="E55" s="400"/>
      <c r="F55" s="364">
        <v>10</v>
      </c>
      <c r="G55" s="685"/>
      <c r="H55" s="429">
        <v>27</v>
      </c>
      <c r="I55" s="438">
        <v>10</v>
      </c>
      <c r="J55" s="428"/>
      <c r="K55" s="438"/>
      <c r="L55" s="429"/>
      <c r="M55" s="438"/>
      <c r="N55" s="429"/>
      <c r="O55" s="438"/>
      <c r="P55" s="429"/>
      <c r="Q55" s="438"/>
      <c r="R55" s="429"/>
      <c r="S55" s="438"/>
      <c r="T55" s="429"/>
      <c r="U55" s="438"/>
      <c r="V55" s="429"/>
      <c r="W55" s="438"/>
      <c r="X55" s="429"/>
      <c r="Y55" s="438"/>
      <c r="Z55" s="427"/>
      <c r="AA55" s="438"/>
      <c r="AB55" s="427"/>
      <c r="AC55" s="438"/>
      <c r="AD55" s="427"/>
      <c r="AE55" s="438"/>
      <c r="AF55"/>
      <c r="AG55" s="707"/>
      <c r="AH55" s="707"/>
      <c r="AI55" s="707"/>
      <c r="AJ55" s="707"/>
      <c r="AK55" s="707"/>
      <c r="AL55" s="707"/>
      <c r="AM55" s="707"/>
      <c r="AN55" s="707"/>
      <c r="AO55" s="707"/>
    </row>
    <row r="56" spans="1:47" ht="17.5" x14ac:dyDescent="0.45">
      <c r="A56" s="1"/>
      <c r="B56" s="1" t="s">
        <v>20</v>
      </c>
      <c r="C56" s="1" t="s">
        <v>36</v>
      </c>
      <c r="D56" s="537" t="s">
        <v>749</v>
      </c>
      <c r="E56" s="399"/>
      <c r="F56" s="74">
        <v>20</v>
      </c>
      <c r="G56" s="685"/>
      <c r="H56" s="423">
        <v>24</v>
      </c>
      <c r="I56" s="438">
        <v>30</v>
      </c>
      <c r="J56" s="423"/>
      <c r="K56" s="438"/>
      <c r="L56" s="423"/>
      <c r="M56" s="438"/>
      <c r="N56" s="423"/>
      <c r="O56" s="438"/>
      <c r="P56" s="423"/>
      <c r="Q56" s="438"/>
      <c r="R56" s="423"/>
      <c r="S56" s="438"/>
      <c r="T56" s="423"/>
      <c r="U56" s="438"/>
      <c r="V56" s="423"/>
      <c r="W56" s="438"/>
      <c r="X56" s="423"/>
      <c r="Y56" s="438"/>
      <c r="Z56" s="423"/>
      <c r="AA56" s="438"/>
      <c r="AB56" s="423"/>
      <c r="AC56" s="438"/>
      <c r="AD56" s="423"/>
      <c r="AE56" s="438"/>
      <c r="AG56" s="707"/>
      <c r="AH56" s="707"/>
      <c r="AI56" s="707"/>
      <c r="AJ56" s="707"/>
      <c r="AK56" s="707"/>
      <c r="AL56" s="707"/>
      <c r="AM56" s="707"/>
      <c r="AN56" s="707"/>
      <c r="AO56" s="707"/>
    </row>
    <row r="57" spans="1:47" x14ac:dyDescent="0.45">
      <c r="A57" s="271"/>
      <c r="B57" s="293" t="s">
        <v>472</v>
      </c>
      <c r="C57" s="27" t="s">
        <v>471</v>
      </c>
      <c r="D57" s="538" t="s">
        <v>749</v>
      </c>
      <c r="E57" s="400"/>
      <c r="F57" s="364">
        <v>20</v>
      </c>
      <c r="G57" s="685"/>
      <c r="H57" s="445">
        <v>9</v>
      </c>
      <c r="I57" s="438">
        <v>20</v>
      </c>
      <c r="J57" s="445"/>
      <c r="K57" s="438"/>
      <c r="L57" s="445"/>
      <c r="M57" s="438"/>
      <c r="N57" s="445"/>
      <c r="O57" s="438"/>
      <c r="P57" s="445"/>
      <c r="Q57" s="438"/>
      <c r="R57" s="445"/>
      <c r="S57" s="438"/>
      <c r="T57" s="445"/>
      <c r="U57" s="438"/>
      <c r="V57" s="445"/>
      <c r="W57" s="438"/>
      <c r="X57" s="445"/>
      <c r="Y57" s="438"/>
      <c r="Z57" s="423"/>
      <c r="AA57" s="438"/>
      <c r="AB57" s="423"/>
      <c r="AC57" s="438"/>
      <c r="AD57" s="446"/>
      <c r="AE57" s="438"/>
      <c r="AG57" s="707"/>
      <c r="AH57" s="707"/>
      <c r="AI57" s="707"/>
      <c r="AJ57" s="707"/>
      <c r="AK57" s="707"/>
      <c r="AL57" s="707"/>
      <c r="AM57" s="707"/>
      <c r="AN57" s="707"/>
      <c r="AO57" s="707"/>
    </row>
    <row r="58" spans="1:47" ht="17.5" x14ac:dyDescent="0.45">
      <c r="A58" s="28"/>
      <c r="B58" s="27" t="s">
        <v>20</v>
      </c>
      <c r="C58" s="27" t="s">
        <v>36</v>
      </c>
      <c r="D58" s="537" t="s">
        <v>751</v>
      </c>
      <c r="E58" s="399"/>
      <c r="F58" s="74">
        <v>10</v>
      </c>
      <c r="G58" s="685"/>
      <c r="H58" s="429">
        <v>5</v>
      </c>
      <c r="I58" s="438">
        <v>10</v>
      </c>
      <c r="J58" s="429">
        <v>5</v>
      </c>
      <c r="K58" s="438">
        <v>10</v>
      </c>
      <c r="L58" s="429"/>
      <c r="M58" s="438"/>
      <c r="N58" s="429"/>
      <c r="O58" s="438"/>
      <c r="P58" s="429"/>
      <c r="Q58" s="438"/>
      <c r="R58" s="429"/>
      <c r="S58" s="438"/>
      <c r="T58" s="429"/>
      <c r="U58" s="438"/>
      <c r="V58" s="429"/>
      <c r="W58" s="438"/>
      <c r="X58" s="429"/>
      <c r="Y58" s="438"/>
      <c r="Z58" s="429"/>
      <c r="AA58" s="438"/>
      <c r="AB58" s="427"/>
      <c r="AC58" s="438"/>
      <c r="AD58" s="427"/>
      <c r="AE58" s="438"/>
      <c r="AG58" s="707"/>
      <c r="AH58" s="707"/>
      <c r="AI58" s="707"/>
      <c r="AJ58" s="707"/>
      <c r="AK58" s="707"/>
      <c r="AL58" s="707"/>
      <c r="AM58" s="707"/>
      <c r="AN58" s="707"/>
      <c r="AO58" s="707"/>
    </row>
    <row r="59" spans="1:47" s="37" customFormat="1" x14ac:dyDescent="0.45">
      <c r="A59" s="27"/>
      <c r="B59" s="418" t="s">
        <v>474</v>
      </c>
      <c r="C59" s="27" t="s">
        <v>473</v>
      </c>
      <c r="D59" s="538" t="s">
        <v>752</v>
      </c>
      <c r="E59" s="400"/>
      <c r="F59" s="451">
        <v>80</v>
      </c>
      <c r="G59" s="685"/>
      <c r="H59" s="462"/>
      <c r="I59" s="450"/>
      <c r="J59" s="429">
        <v>5</v>
      </c>
      <c r="K59" s="438">
        <v>80</v>
      </c>
      <c r="L59" s="429">
        <v>8</v>
      </c>
      <c r="M59" s="438">
        <v>80</v>
      </c>
      <c r="N59" s="429"/>
      <c r="O59" s="438"/>
      <c r="P59" s="429"/>
      <c r="Q59" s="438"/>
      <c r="R59" s="429"/>
      <c r="S59" s="438"/>
      <c r="T59" s="429"/>
      <c r="U59" s="438"/>
      <c r="V59" s="429"/>
      <c r="W59" s="438"/>
      <c r="X59" s="429"/>
      <c r="Y59" s="438"/>
      <c r="Z59" s="427"/>
      <c r="AA59" s="438"/>
      <c r="AB59" s="427"/>
      <c r="AC59" s="438"/>
      <c r="AD59" s="427"/>
      <c r="AE59" s="438"/>
      <c r="AF59"/>
      <c r="AG59" s="707"/>
      <c r="AH59" s="707"/>
      <c r="AI59" s="707"/>
      <c r="AJ59" s="707"/>
      <c r="AK59" s="707"/>
      <c r="AL59" s="707"/>
      <c r="AM59" s="707"/>
      <c r="AN59" s="707"/>
      <c r="AO59" s="707"/>
    </row>
    <row r="60" spans="1:47" x14ac:dyDescent="0.45">
      <c r="A60" s="271"/>
      <c r="B60" s="293" t="s">
        <v>480</v>
      </c>
      <c r="C60" s="27" t="s">
        <v>484</v>
      </c>
      <c r="D60" s="538" t="s">
        <v>752</v>
      </c>
      <c r="E60" s="414"/>
      <c r="F60" s="364">
        <v>20</v>
      </c>
      <c r="G60" s="685"/>
      <c r="H60" s="455"/>
      <c r="I60" s="456"/>
      <c r="J60" s="456"/>
      <c r="K60" s="360"/>
      <c r="L60" s="445">
        <v>22</v>
      </c>
      <c r="M60" s="438">
        <v>20</v>
      </c>
      <c r="N60" s="429"/>
      <c r="O60" s="438"/>
      <c r="P60" s="445"/>
      <c r="Q60" s="438"/>
      <c r="R60" s="445"/>
      <c r="S60" s="438"/>
      <c r="T60" s="445"/>
      <c r="U60" s="438"/>
      <c r="V60" s="445"/>
      <c r="W60" s="438"/>
      <c r="X60" s="445"/>
      <c r="Y60" s="438"/>
      <c r="Z60" s="423"/>
      <c r="AA60" s="438"/>
      <c r="AB60" s="423"/>
      <c r="AC60" s="438"/>
      <c r="AD60" s="446"/>
      <c r="AE60" s="438"/>
      <c r="AG60" s="707"/>
      <c r="AH60" s="707"/>
      <c r="AI60" s="707"/>
      <c r="AJ60" s="707"/>
      <c r="AK60" s="707"/>
      <c r="AL60" s="707"/>
      <c r="AM60" s="707"/>
      <c r="AN60" s="707"/>
      <c r="AO60" s="707"/>
    </row>
    <row r="61" spans="1:47" ht="17.5" x14ac:dyDescent="0.45">
      <c r="A61" s="1"/>
      <c r="B61" s="27" t="s">
        <v>482</v>
      </c>
      <c r="C61" s="27"/>
      <c r="D61" s="538" t="s">
        <v>753</v>
      </c>
      <c r="E61" s="387"/>
      <c r="F61" s="75">
        <v>10</v>
      </c>
      <c r="G61" s="685"/>
      <c r="H61" s="455"/>
      <c r="I61" s="456"/>
      <c r="J61" s="456"/>
      <c r="K61" s="360"/>
      <c r="L61" s="453">
        <v>16</v>
      </c>
      <c r="M61" s="438">
        <v>10</v>
      </c>
      <c r="N61" s="429"/>
      <c r="O61" s="438"/>
      <c r="P61" s="459"/>
      <c r="Q61" s="441"/>
      <c r="R61" s="459"/>
      <c r="S61" s="441"/>
      <c r="T61" s="427"/>
      <c r="U61" s="438"/>
      <c r="V61" s="427"/>
      <c r="W61" s="438"/>
      <c r="X61" s="427"/>
      <c r="Y61" s="438"/>
      <c r="Z61" s="427"/>
      <c r="AA61" s="438"/>
      <c r="AB61" s="427"/>
      <c r="AC61" s="438"/>
      <c r="AD61" s="427"/>
      <c r="AE61" s="438"/>
      <c r="AG61" s="707"/>
      <c r="AH61" s="707"/>
      <c r="AI61" s="707"/>
      <c r="AJ61" s="707"/>
      <c r="AK61" s="707"/>
      <c r="AL61" s="707"/>
      <c r="AM61" s="707"/>
      <c r="AN61" s="707"/>
      <c r="AO61" s="707"/>
    </row>
    <row r="62" spans="1:47" x14ac:dyDescent="0.45">
      <c r="A62" s="271"/>
      <c r="B62" s="418" t="s">
        <v>498</v>
      </c>
      <c r="C62" s="27" t="s">
        <v>499</v>
      </c>
      <c r="D62" s="537" t="s">
        <v>753</v>
      </c>
      <c r="E62" s="382"/>
      <c r="F62" s="451">
        <v>10</v>
      </c>
      <c r="G62" s="685"/>
      <c r="H62" s="455"/>
      <c r="I62" s="456"/>
      <c r="J62" s="456"/>
      <c r="K62" s="360"/>
      <c r="L62" s="458"/>
      <c r="M62" s="360"/>
      <c r="N62" s="458"/>
      <c r="O62" s="360"/>
      <c r="P62" s="427">
        <v>28</v>
      </c>
      <c r="Q62" s="438">
        <v>10</v>
      </c>
      <c r="R62" s="431"/>
      <c r="S62" s="438"/>
      <c r="T62" s="427"/>
      <c r="U62" s="438"/>
      <c r="V62" s="427"/>
      <c r="W62" s="438"/>
      <c r="X62" s="427"/>
      <c r="Y62" s="438"/>
      <c r="Z62" s="427"/>
      <c r="AA62" s="438"/>
      <c r="AB62" s="427"/>
      <c r="AC62" s="438"/>
      <c r="AD62" s="431"/>
      <c r="AE62" s="438"/>
      <c r="AG62" s="707"/>
      <c r="AH62" s="707"/>
      <c r="AI62" s="707"/>
      <c r="AJ62" s="707"/>
      <c r="AK62" s="707"/>
      <c r="AL62" s="707"/>
      <c r="AM62" s="707"/>
      <c r="AN62" s="707"/>
      <c r="AO62" s="707"/>
    </row>
    <row r="63" spans="1:47" x14ac:dyDescent="0.45">
      <c r="A63" s="271"/>
      <c r="B63" s="293" t="s">
        <v>485</v>
      </c>
      <c r="C63" s="27" t="s">
        <v>486</v>
      </c>
      <c r="D63" s="538" t="s">
        <v>749</v>
      </c>
      <c r="E63" s="398"/>
      <c r="F63" s="364">
        <v>20</v>
      </c>
      <c r="G63" s="685"/>
      <c r="H63" s="455"/>
      <c r="I63" s="456"/>
      <c r="J63" s="456"/>
      <c r="K63" s="360"/>
      <c r="L63" s="445">
        <v>30</v>
      </c>
      <c r="M63" s="438">
        <v>20</v>
      </c>
      <c r="N63" s="445">
        <v>26</v>
      </c>
      <c r="O63" s="438">
        <v>20</v>
      </c>
      <c r="P63" s="464"/>
      <c r="Q63" s="465"/>
      <c r="R63" s="445"/>
      <c r="S63" s="438"/>
      <c r="T63" s="445"/>
      <c r="U63" s="438"/>
      <c r="V63" s="445"/>
      <c r="W63" s="438"/>
      <c r="X63" s="445"/>
      <c r="Y63" s="438"/>
      <c r="Z63" s="423"/>
      <c r="AA63" s="438"/>
      <c r="AB63" s="423"/>
      <c r="AC63" s="438"/>
      <c r="AD63" s="446"/>
      <c r="AE63" s="438"/>
      <c r="AG63" s="707"/>
      <c r="AH63" s="707"/>
      <c r="AI63" s="707"/>
      <c r="AJ63" s="707"/>
      <c r="AK63" s="707"/>
      <c r="AL63" s="707"/>
      <c r="AM63" s="707"/>
      <c r="AN63" s="707"/>
      <c r="AO63" s="707"/>
    </row>
    <row r="64" spans="1:47" x14ac:dyDescent="0.45">
      <c r="A64" s="270"/>
      <c r="B64" s="293" t="s">
        <v>426</v>
      </c>
      <c r="C64" s="27" t="s">
        <v>429</v>
      </c>
      <c r="D64" s="538" t="s">
        <v>749</v>
      </c>
      <c r="E64" s="398" t="s">
        <v>447</v>
      </c>
      <c r="F64" s="395">
        <v>20</v>
      </c>
      <c r="G64" s="685"/>
      <c r="H64" s="428">
        <v>10</v>
      </c>
      <c r="I64" s="438">
        <v>20</v>
      </c>
      <c r="J64" s="428">
        <v>5</v>
      </c>
      <c r="K64" s="438">
        <v>20</v>
      </c>
      <c r="L64" s="428">
        <v>5</v>
      </c>
      <c r="M64" s="438">
        <v>20</v>
      </c>
      <c r="N64" s="428">
        <v>1</v>
      </c>
      <c r="O64" s="438">
        <v>20</v>
      </c>
      <c r="P64" s="428">
        <v>13</v>
      </c>
      <c r="Q64" s="438">
        <v>20</v>
      </c>
      <c r="R64" s="428">
        <v>10</v>
      </c>
      <c r="S64" s="438">
        <v>20</v>
      </c>
      <c r="T64" s="428"/>
      <c r="U64" s="438"/>
      <c r="V64" s="428"/>
      <c r="W64" s="438"/>
      <c r="X64" s="428"/>
      <c r="Y64" s="438"/>
      <c r="Z64" s="424"/>
      <c r="AA64" s="438"/>
      <c r="AB64" s="424"/>
      <c r="AC64" s="438"/>
      <c r="AD64" s="424"/>
      <c r="AE64" s="438"/>
      <c r="AG64" s="707"/>
      <c r="AH64" s="707"/>
      <c r="AI64" s="707"/>
      <c r="AJ64" s="707"/>
      <c r="AK64" s="707"/>
      <c r="AL64" s="707"/>
      <c r="AM64" s="707"/>
      <c r="AN64" s="707"/>
      <c r="AO64" s="707"/>
    </row>
    <row r="65" spans="1:41" ht="17.5" x14ac:dyDescent="0.45">
      <c r="A65" s="28"/>
      <c r="B65" s="1" t="s">
        <v>74</v>
      </c>
      <c r="C65" s="1" t="s">
        <v>75</v>
      </c>
      <c r="D65" s="538" t="s">
        <v>751</v>
      </c>
      <c r="E65" s="393"/>
      <c r="F65" s="74">
        <v>10</v>
      </c>
      <c r="G65" s="685"/>
      <c r="H65" s="455"/>
      <c r="I65" s="360"/>
      <c r="J65" s="469">
        <v>10</v>
      </c>
      <c r="K65" s="438">
        <v>10</v>
      </c>
      <c r="L65" s="469">
        <v>13</v>
      </c>
      <c r="M65" s="438">
        <v>10</v>
      </c>
      <c r="N65" s="469">
        <v>15</v>
      </c>
      <c r="O65" s="438">
        <v>10</v>
      </c>
      <c r="P65" s="475">
        <v>21</v>
      </c>
      <c r="Q65" s="441">
        <v>10</v>
      </c>
      <c r="R65" s="475"/>
      <c r="S65" s="441"/>
      <c r="T65" s="469"/>
      <c r="U65" s="438"/>
      <c r="V65" s="469"/>
      <c r="W65" s="438"/>
      <c r="X65" s="469"/>
      <c r="Y65" s="438"/>
      <c r="Z65" s="469"/>
      <c r="AA65" s="438"/>
      <c r="AB65" s="469"/>
      <c r="AC65" s="438"/>
      <c r="AD65" s="469"/>
      <c r="AE65" s="438"/>
      <c r="AG65" s="707"/>
      <c r="AH65" s="707"/>
      <c r="AI65" s="707"/>
      <c r="AJ65" s="707"/>
      <c r="AK65" s="707"/>
      <c r="AL65" s="707"/>
      <c r="AM65" s="707"/>
      <c r="AN65" s="707"/>
      <c r="AO65" s="707"/>
    </row>
    <row r="66" spans="1:41" ht="17.5" x14ac:dyDescent="0.45">
      <c r="A66" s="1"/>
      <c r="B66" s="27" t="s">
        <v>163</v>
      </c>
      <c r="C66" s="1" t="s">
        <v>131</v>
      </c>
      <c r="D66" s="538" t="s">
        <v>752</v>
      </c>
      <c r="E66" s="387"/>
      <c r="F66" s="75">
        <v>10</v>
      </c>
      <c r="G66" s="685"/>
      <c r="H66" s="455"/>
      <c r="I66" s="456"/>
      <c r="J66" s="456"/>
      <c r="K66" s="360"/>
      <c r="L66" s="453">
        <v>4</v>
      </c>
      <c r="M66" s="438">
        <v>10</v>
      </c>
      <c r="N66" s="453">
        <v>2</v>
      </c>
      <c r="O66" s="438">
        <v>10</v>
      </c>
      <c r="P66" s="454">
        <v>5</v>
      </c>
      <c r="Q66" s="441">
        <v>10</v>
      </c>
      <c r="R66" s="456"/>
      <c r="S66" s="360"/>
      <c r="T66" s="453"/>
      <c r="U66" s="438"/>
      <c r="V66" s="453"/>
      <c r="W66" s="438"/>
      <c r="X66" s="453"/>
      <c r="Y66" s="438"/>
      <c r="Z66" s="453"/>
      <c r="AA66" s="438"/>
      <c r="AB66" s="453"/>
      <c r="AC66" s="438"/>
      <c r="AD66" s="453"/>
      <c r="AE66" s="438"/>
      <c r="AG66" s="707"/>
      <c r="AH66" s="707"/>
      <c r="AI66" s="707"/>
      <c r="AJ66" s="707"/>
      <c r="AK66" s="707"/>
      <c r="AL66" s="707"/>
      <c r="AM66" s="707"/>
      <c r="AN66" s="707"/>
      <c r="AO66" s="707"/>
    </row>
    <row r="67" spans="1:41" ht="17.5" x14ac:dyDescent="0.45">
      <c r="A67" s="1"/>
      <c r="B67" s="27" t="s">
        <v>210</v>
      </c>
      <c r="C67" s="27" t="s">
        <v>211</v>
      </c>
      <c r="D67" s="538" t="s">
        <v>752</v>
      </c>
      <c r="E67" s="387"/>
      <c r="F67" s="75">
        <v>10</v>
      </c>
      <c r="G67" s="685"/>
      <c r="H67" s="455"/>
      <c r="I67" s="456"/>
      <c r="J67" s="456"/>
      <c r="K67" s="360"/>
      <c r="L67" s="453">
        <v>5</v>
      </c>
      <c r="M67" s="438">
        <v>10</v>
      </c>
      <c r="N67" s="427">
        <v>4</v>
      </c>
      <c r="O67" s="438">
        <v>10</v>
      </c>
      <c r="P67" s="459">
        <v>10</v>
      </c>
      <c r="Q67" s="441">
        <v>10</v>
      </c>
      <c r="R67" s="459">
        <v>7</v>
      </c>
      <c r="S67" s="441">
        <v>10</v>
      </c>
      <c r="T67" s="427"/>
      <c r="U67" s="438"/>
      <c r="V67" s="427"/>
      <c r="W67" s="438"/>
      <c r="X67" s="427"/>
      <c r="Y67" s="438"/>
      <c r="Z67" s="427"/>
      <c r="AA67" s="438"/>
      <c r="AB67" s="427"/>
      <c r="AC67" s="438"/>
      <c r="AD67" s="427"/>
      <c r="AE67" s="438"/>
      <c r="AG67" s="707"/>
      <c r="AH67" s="707"/>
      <c r="AI67" s="707"/>
      <c r="AJ67" s="707"/>
      <c r="AK67" s="707"/>
      <c r="AL67" s="707"/>
      <c r="AM67" s="707"/>
      <c r="AN67" s="707"/>
      <c r="AO67" s="707"/>
    </row>
    <row r="68" spans="1:41" x14ac:dyDescent="0.45">
      <c r="A68" s="271"/>
      <c r="B68" s="293" t="s">
        <v>463</v>
      </c>
      <c r="C68" s="27" t="s">
        <v>464</v>
      </c>
      <c r="D68" s="538" t="s">
        <v>749</v>
      </c>
      <c r="E68" s="398" t="s">
        <v>465</v>
      </c>
      <c r="F68" s="364">
        <v>20</v>
      </c>
      <c r="G68" s="685"/>
      <c r="H68" s="445">
        <v>4</v>
      </c>
      <c r="I68" s="438">
        <v>20</v>
      </c>
      <c r="J68" s="456"/>
      <c r="K68" s="360"/>
      <c r="L68" s="445">
        <v>8</v>
      </c>
      <c r="M68" s="438">
        <v>20</v>
      </c>
      <c r="N68" s="445">
        <v>5</v>
      </c>
      <c r="O68" s="438">
        <v>20</v>
      </c>
      <c r="P68" s="445">
        <v>16</v>
      </c>
      <c r="Q68" s="438">
        <v>20</v>
      </c>
      <c r="R68" s="445">
        <v>27</v>
      </c>
      <c r="S68" s="438">
        <v>20</v>
      </c>
      <c r="T68" s="445"/>
      <c r="U68" s="438"/>
      <c r="V68" s="445"/>
      <c r="W68" s="438"/>
      <c r="X68" s="445"/>
      <c r="Y68" s="438"/>
      <c r="Z68" s="423"/>
      <c r="AA68" s="438"/>
      <c r="AB68" s="423"/>
      <c r="AC68" s="438"/>
      <c r="AD68" s="446"/>
      <c r="AE68" s="438"/>
      <c r="AG68" s="707"/>
      <c r="AH68" s="707"/>
      <c r="AI68" s="707"/>
      <c r="AJ68" s="707"/>
      <c r="AK68" s="707"/>
      <c r="AL68" s="707"/>
      <c r="AM68" s="707"/>
      <c r="AN68" s="707"/>
      <c r="AO68" s="707"/>
    </row>
    <row r="69" spans="1:41" x14ac:dyDescent="0.45">
      <c r="A69" s="271"/>
      <c r="B69" s="293" t="s">
        <v>510</v>
      </c>
      <c r="C69" s="27" t="s">
        <v>511</v>
      </c>
      <c r="D69" s="538" t="s">
        <v>752</v>
      </c>
      <c r="E69" s="398" t="s">
        <v>512</v>
      </c>
      <c r="F69" s="364">
        <v>20</v>
      </c>
      <c r="G69" s="685"/>
      <c r="H69" s="455"/>
      <c r="I69" s="456"/>
      <c r="J69" s="456"/>
      <c r="K69" s="360"/>
      <c r="L69" s="456"/>
      <c r="M69" s="360"/>
      <c r="N69" s="456"/>
      <c r="O69" s="360"/>
      <c r="P69" s="456"/>
      <c r="Q69" s="360"/>
      <c r="R69" s="456"/>
      <c r="S69" s="360"/>
      <c r="T69" s="445">
        <v>19</v>
      </c>
      <c r="U69" s="438">
        <v>20</v>
      </c>
      <c r="V69" s="445">
        <v>20</v>
      </c>
      <c r="W69" s="438">
        <v>20</v>
      </c>
      <c r="X69" s="445"/>
      <c r="Y69" s="438"/>
      <c r="Z69" s="423"/>
      <c r="AA69" s="438"/>
      <c r="AB69" s="423"/>
      <c r="AC69" s="438"/>
      <c r="AD69" s="446"/>
      <c r="AE69" s="438"/>
      <c r="AG69" s="707"/>
      <c r="AH69" s="707"/>
      <c r="AI69" s="707"/>
      <c r="AJ69" s="707"/>
      <c r="AK69" s="707"/>
      <c r="AL69" s="707"/>
      <c r="AM69" s="707"/>
      <c r="AN69" s="707"/>
      <c r="AO69" s="707"/>
    </row>
    <row r="70" spans="1:41" x14ac:dyDescent="0.45">
      <c r="A70" s="271"/>
      <c r="B70" s="418" t="s">
        <v>513</v>
      </c>
      <c r="C70" s="27" t="s">
        <v>514</v>
      </c>
      <c r="D70" s="538" t="s">
        <v>753</v>
      </c>
      <c r="E70" s="382"/>
      <c r="F70" s="451">
        <v>10</v>
      </c>
      <c r="G70" s="685"/>
      <c r="H70" s="455"/>
      <c r="I70" s="456"/>
      <c r="J70" s="456"/>
      <c r="K70" s="360"/>
      <c r="L70" s="456"/>
      <c r="M70" s="360"/>
      <c r="N70" s="456"/>
      <c r="O70" s="360"/>
      <c r="P70" s="456"/>
      <c r="Q70" s="360"/>
      <c r="R70" s="456"/>
      <c r="S70" s="360"/>
      <c r="T70" s="427">
        <v>18</v>
      </c>
      <c r="U70" s="438">
        <v>10</v>
      </c>
      <c r="V70" s="427"/>
      <c r="W70" s="438"/>
      <c r="X70" s="427"/>
      <c r="Y70" s="438"/>
      <c r="Z70" s="427"/>
      <c r="AA70" s="438"/>
      <c r="AB70" s="427"/>
      <c r="AC70" s="438"/>
      <c r="AD70" s="431"/>
      <c r="AE70" s="438"/>
      <c r="AG70" s="707"/>
      <c r="AH70" s="707"/>
      <c r="AI70" s="707"/>
      <c r="AJ70" s="707"/>
      <c r="AK70" s="707"/>
      <c r="AL70" s="707"/>
      <c r="AM70" s="707"/>
      <c r="AN70" s="707"/>
      <c r="AO70" s="707"/>
    </row>
    <row r="71" spans="1:41" x14ac:dyDescent="0.45">
      <c r="A71" s="271"/>
      <c r="B71" s="418" t="s">
        <v>506</v>
      </c>
      <c r="C71" s="27" t="s">
        <v>507</v>
      </c>
      <c r="D71" s="538" t="s">
        <v>752</v>
      </c>
      <c r="E71" s="382"/>
      <c r="F71" s="395">
        <v>20</v>
      </c>
      <c r="G71" s="685"/>
      <c r="H71" s="455"/>
      <c r="I71" s="456"/>
      <c r="J71" s="456"/>
      <c r="K71" s="360"/>
      <c r="L71" s="456"/>
      <c r="M71" s="360"/>
      <c r="N71" s="456"/>
      <c r="O71" s="360"/>
      <c r="P71" s="456"/>
      <c r="Q71" s="360"/>
      <c r="R71" s="431">
        <v>11</v>
      </c>
      <c r="S71" s="438">
        <v>20</v>
      </c>
      <c r="T71" s="427">
        <v>11</v>
      </c>
      <c r="U71" s="438">
        <v>20</v>
      </c>
      <c r="V71" s="427"/>
      <c r="W71" s="438"/>
      <c r="X71" s="427"/>
      <c r="Y71" s="438"/>
      <c r="Z71" s="427"/>
      <c r="AA71" s="438"/>
      <c r="AB71" s="427"/>
      <c r="AC71" s="438"/>
      <c r="AD71" s="431"/>
      <c r="AE71" s="438"/>
      <c r="AG71" s="707"/>
      <c r="AH71" s="707"/>
      <c r="AI71" s="707"/>
      <c r="AJ71" s="707"/>
      <c r="AK71" s="707"/>
      <c r="AL71" s="707"/>
      <c r="AM71" s="707"/>
      <c r="AN71" s="707"/>
      <c r="AO71" s="707"/>
    </row>
    <row r="72" spans="1:41" x14ac:dyDescent="0.45">
      <c r="A72" s="271"/>
      <c r="B72" s="418" t="s">
        <v>515</v>
      </c>
      <c r="C72" s="27" t="s">
        <v>742</v>
      </c>
      <c r="D72" s="538" t="s">
        <v>752</v>
      </c>
      <c r="E72" s="382"/>
      <c r="F72" s="451">
        <v>30</v>
      </c>
      <c r="G72" s="685"/>
      <c r="H72" s="455"/>
      <c r="I72" s="456"/>
      <c r="J72" s="456"/>
      <c r="K72" s="360"/>
      <c r="L72" s="456"/>
      <c r="M72" s="360"/>
      <c r="N72" s="456"/>
      <c r="O72" s="360"/>
      <c r="P72" s="456"/>
      <c r="Q72" s="360"/>
      <c r="R72" s="456"/>
      <c r="S72" s="360"/>
      <c r="T72" s="360"/>
      <c r="U72" s="456"/>
      <c r="V72" s="360"/>
      <c r="W72" s="456"/>
      <c r="X72" s="427">
        <v>11</v>
      </c>
      <c r="Y72" s="438">
        <v>30</v>
      </c>
      <c r="Z72" s="427"/>
      <c r="AA72" s="438"/>
      <c r="AB72" s="427"/>
      <c r="AC72" s="438"/>
      <c r="AD72" s="431"/>
      <c r="AE72" s="438"/>
      <c r="AG72" s="707"/>
      <c r="AH72" s="707"/>
      <c r="AI72" s="707"/>
      <c r="AJ72" s="707"/>
      <c r="AK72" s="707"/>
      <c r="AL72" s="707"/>
      <c r="AM72" s="707"/>
      <c r="AN72" s="707"/>
      <c r="AO72" s="707"/>
    </row>
    <row r="73" spans="1:41" ht="17.5" x14ac:dyDescent="0.45">
      <c r="A73" s="271"/>
      <c r="B73" s="27" t="s">
        <v>502</v>
      </c>
      <c r="C73" s="27" t="s">
        <v>503</v>
      </c>
      <c r="D73" s="538" t="s">
        <v>749</v>
      </c>
      <c r="E73" s="466" t="s">
        <v>504</v>
      </c>
      <c r="F73" s="75">
        <v>20</v>
      </c>
      <c r="G73" s="685"/>
      <c r="H73" s="455"/>
      <c r="I73" s="457"/>
      <c r="J73" s="456"/>
      <c r="K73" s="360"/>
      <c r="L73" s="456"/>
      <c r="M73" s="360"/>
      <c r="N73" s="360"/>
      <c r="O73" s="456"/>
      <c r="P73" s="360"/>
      <c r="Q73" s="457"/>
      <c r="R73" s="454">
        <v>7</v>
      </c>
      <c r="S73" s="441">
        <v>20</v>
      </c>
      <c r="T73" s="453">
        <v>7</v>
      </c>
      <c r="U73" s="438">
        <v>20</v>
      </c>
      <c r="V73" s="453"/>
      <c r="W73" s="438"/>
      <c r="X73" s="453"/>
      <c r="Y73" s="438"/>
      <c r="Z73" s="453"/>
      <c r="AA73" s="438"/>
      <c r="AB73" s="453"/>
      <c r="AC73" s="438"/>
      <c r="AD73" s="453"/>
      <c r="AE73" s="438"/>
      <c r="AG73" s="707"/>
      <c r="AH73" s="707"/>
      <c r="AI73" s="707"/>
      <c r="AJ73" s="707"/>
      <c r="AK73" s="707"/>
      <c r="AL73" s="707"/>
      <c r="AM73" s="707"/>
      <c r="AN73" s="707"/>
      <c r="AO73" s="707"/>
    </row>
    <row r="74" spans="1:41" ht="17.5" x14ac:dyDescent="0.45">
      <c r="A74" s="271"/>
      <c r="B74" s="27"/>
      <c r="C74" s="27"/>
      <c r="D74" s="540"/>
      <c r="E74" s="466"/>
      <c r="F74" s="75"/>
      <c r="G74" s="685"/>
      <c r="H74" s="454"/>
      <c r="I74" s="441"/>
      <c r="J74" s="453"/>
      <c r="K74" s="438"/>
      <c r="L74" s="453"/>
      <c r="M74" s="438"/>
      <c r="N74" s="453"/>
      <c r="O74" s="438"/>
      <c r="P74" s="453"/>
      <c r="Q74" s="438"/>
      <c r="R74" s="454"/>
      <c r="S74" s="441"/>
      <c r="T74" s="453"/>
      <c r="U74" s="438"/>
      <c r="V74" s="453"/>
      <c r="W74" s="438"/>
      <c r="X74" s="453"/>
      <c r="Y74" s="438"/>
      <c r="Z74" s="453"/>
      <c r="AA74" s="438"/>
      <c r="AB74" s="453"/>
      <c r="AC74" s="438"/>
      <c r="AD74" s="453"/>
      <c r="AE74" s="438"/>
      <c r="AG74" s="707"/>
      <c r="AH74" s="707"/>
      <c r="AI74" s="707"/>
      <c r="AJ74" s="707"/>
      <c r="AK74" s="707"/>
      <c r="AL74" s="707"/>
      <c r="AM74" s="707"/>
      <c r="AN74" s="707"/>
      <c r="AO74" s="707"/>
    </row>
    <row r="75" spans="1:41" x14ac:dyDescent="0.45">
      <c r="A75" s="1"/>
      <c r="B75" s="1"/>
      <c r="C75" s="1"/>
      <c r="D75" s="541"/>
      <c r="E75" s="399"/>
      <c r="F75" s="134"/>
      <c r="G75" s="685"/>
      <c r="H75" s="429"/>
      <c r="I75" s="438"/>
      <c r="J75" s="429"/>
      <c r="K75" s="452"/>
      <c r="L75" s="429"/>
      <c r="M75" s="438"/>
      <c r="N75" s="429"/>
      <c r="O75" s="438"/>
      <c r="P75" s="429"/>
      <c r="Q75" s="438"/>
      <c r="R75" s="429"/>
      <c r="S75" s="438"/>
      <c r="T75" s="429"/>
      <c r="U75" s="438"/>
      <c r="V75" s="429"/>
      <c r="W75" s="438"/>
      <c r="X75" s="429"/>
      <c r="Y75" s="438"/>
      <c r="Z75" s="429"/>
      <c r="AA75" s="438"/>
      <c r="AB75" s="429"/>
      <c r="AC75" s="438"/>
      <c r="AD75" s="429"/>
      <c r="AE75" s="438"/>
      <c r="AG75" s="707"/>
      <c r="AH75" s="707"/>
      <c r="AI75" s="707"/>
      <c r="AJ75" s="707"/>
      <c r="AK75" s="707"/>
      <c r="AL75" s="707"/>
      <c r="AM75" s="707"/>
      <c r="AN75" s="707"/>
      <c r="AO75" s="707"/>
    </row>
    <row r="76" spans="1:41" ht="17.25" customHeight="1" x14ac:dyDescent="0.45">
      <c r="A76" s="667"/>
      <c r="B76" s="667"/>
      <c r="C76" s="667"/>
      <c r="D76" s="667"/>
      <c r="E76" s="667"/>
      <c r="F76" s="443">
        <f>SUM(F52:F75)</f>
        <v>420</v>
      </c>
      <c r="G76" s="685"/>
      <c r="H76" s="674"/>
      <c r="I76" s="674"/>
      <c r="J76" s="674"/>
      <c r="K76" s="674"/>
      <c r="L76" s="674"/>
      <c r="M76" s="674"/>
      <c r="N76" s="674"/>
      <c r="O76" s="674"/>
      <c r="P76" s="674"/>
      <c r="Q76" s="674"/>
      <c r="R76" s="674"/>
      <c r="S76" s="674"/>
      <c r="T76" s="674"/>
      <c r="U76" s="674"/>
      <c r="V76" s="674"/>
      <c r="W76" s="674"/>
      <c r="X76" s="674"/>
      <c r="Y76" s="674"/>
      <c r="Z76" s="674"/>
      <c r="AA76" s="674"/>
      <c r="AB76" s="674"/>
      <c r="AC76" s="674"/>
      <c r="AD76" s="674"/>
      <c r="AE76" s="674"/>
      <c r="AG76" s="707"/>
      <c r="AH76" s="707"/>
      <c r="AI76" s="707"/>
      <c r="AJ76" s="707"/>
      <c r="AK76" s="707"/>
      <c r="AL76" s="707"/>
      <c r="AM76" s="707"/>
      <c r="AN76" s="707"/>
      <c r="AO76" s="707"/>
    </row>
    <row r="77" spans="1:41" x14ac:dyDescent="0.45">
      <c r="A77" s="707"/>
      <c r="B77" s="707"/>
      <c r="C77" s="707"/>
      <c r="D77" s="707"/>
      <c r="E77" s="707"/>
      <c r="F77" s="669"/>
      <c r="G77" s="685"/>
      <c r="H77" s="674"/>
      <c r="I77" s="674"/>
      <c r="J77" s="674"/>
      <c r="K77" s="674"/>
      <c r="L77" s="674"/>
      <c r="M77" s="674"/>
      <c r="N77" s="674"/>
      <c r="O77" s="674"/>
      <c r="P77" s="674"/>
      <c r="Q77" s="674"/>
      <c r="R77" s="674"/>
      <c r="S77" s="674"/>
      <c r="T77" s="674"/>
      <c r="U77" s="674"/>
      <c r="V77" s="674"/>
      <c r="W77" s="674"/>
      <c r="X77" s="674"/>
      <c r="Y77" s="674"/>
      <c r="Z77" s="674"/>
      <c r="AA77" s="674"/>
      <c r="AB77" s="674"/>
      <c r="AC77" s="674"/>
      <c r="AD77" s="674"/>
      <c r="AE77" s="674"/>
      <c r="AG77" s="707"/>
      <c r="AH77" s="707"/>
      <c r="AI77" s="707"/>
      <c r="AJ77" s="707"/>
      <c r="AK77" s="707"/>
      <c r="AL77" s="707"/>
      <c r="AM77" s="707"/>
      <c r="AN77" s="707"/>
      <c r="AO77" s="707"/>
    </row>
    <row r="78" spans="1:41" x14ac:dyDescent="0.45">
      <c r="A78" s="707"/>
      <c r="B78" s="707"/>
      <c r="C78" s="707"/>
      <c r="D78" s="707"/>
      <c r="E78" s="707"/>
      <c r="F78" s="710"/>
      <c r="G78" s="685"/>
      <c r="H78" s="674"/>
      <c r="I78" s="674"/>
      <c r="J78" s="674"/>
      <c r="K78" s="674"/>
      <c r="L78" s="674"/>
      <c r="M78" s="674"/>
      <c r="N78" s="674"/>
      <c r="O78" s="674"/>
      <c r="P78" s="674"/>
      <c r="Q78" s="674"/>
      <c r="R78" s="674"/>
      <c r="S78" s="674"/>
      <c r="T78" s="674"/>
      <c r="U78" s="674"/>
      <c r="V78" s="674"/>
      <c r="W78" s="674"/>
      <c r="X78" s="674"/>
      <c r="Y78" s="674"/>
      <c r="Z78" s="674"/>
      <c r="AA78" s="674"/>
      <c r="AB78" s="674"/>
      <c r="AC78" s="674"/>
      <c r="AD78" s="674"/>
      <c r="AE78" s="674"/>
      <c r="AG78" s="707"/>
      <c r="AH78" s="707"/>
      <c r="AI78" s="707"/>
      <c r="AJ78" s="707"/>
      <c r="AK78" s="707"/>
      <c r="AL78" s="707"/>
      <c r="AM78" s="707"/>
      <c r="AN78" s="707"/>
      <c r="AO78" s="707"/>
    </row>
    <row r="79" spans="1:41" x14ac:dyDescent="0.45">
      <c r="A79" s="707"/>
      <c r="B79" s="707"/>
      <c r="C79" s="707"/>
      <c r="D79" s="707"/>
      <c r="E79" s="707"/>
      <c r="F79" s="707"/>
      <c r="G79" s="685"/>
      <c r="H79" s="674"/>
      <c r="I79" s="674"/>
      <c r="J79" s="674"/>
      <c r="K79" s="674"/>
      <c r="L79" s="674"/>
      <c r="M79" s="674"/>
      <c r="N79" s="674"/>
      <c r="O79" s="674"/>
      <c r="P79" s="674"/>
      <c r="Q79" s="674"/>
      <c r="R79" s="674"/>
      <c r="S79" s="674"/>
      <c r="T79" s="674"/>
      <c r="U79" s="674"/>
      <c r="V79" s="674"/>
      <c r="W79" s="674"/>
      <c r="X79" s="674"/>
      <c r="Y79" s="674"/>
      <c r="Z79" s="674"/>
      <c r="AA79" s="674"/>
      <c r="AB79" s="674"/>
      <c r="AC79" s="674"/>
      <c r="AD79" s="674"/>
      <c r="AE79" s="706"/>
      <c r="AG79" s="707"/>
      <c r="AH79" s="707"/>
    </row>
    <row r="80" spans="1:41" x14ac:dyDescent="0.45">
      <c r="A80" s="707"/>
      <c r="B80" s="707"/>
      <c r="C80" s="707"/>
      <c r="D80" s="707"/>
      <c r="E80" s="707"/>
      <c r="F80" s="707"/>
      <c r="G80" s="685"/>
      <c r="H80" s="674"/>
      <c r="I80" s="674"/>
      <c r="J80" s="674"/>
      <c r="K80" s="674"/>
      <c r="L80" s="674"/>
      <c r="M80" s="674"/>
      <c r="N80" s="674"/>
      <c r="O80" s="674"/>
      <c r="P80" s="674"/>
      <c r="Q80" s="674"/>
      <c r="R80" s="674"/>
      <c r="S80" s="674"/>
      <c r="T80" s="674"/>
      <c r="U80" s="674"/>
      <c r="V80" s="674"/>
      <c r="W80" s="674"/>
      <c r="X80" s="674"/>
      <c r="Y80" s="674"/>
      <c r="Z80" s="674"/>
      <c r="AA80" s="674"/>
      <c r="AB80" s="674"/>
      <c r="AC80" s="674"/>
      <c r="AD80" s="674"/>
      <c r="AE80" s="707"/>
      <c r="AG80" s="707"/>
      <c r="AH80" s="707"/>
    </row>
    <row r="81" spans="1:34" x14ac:dyDescent="0.45">
      <c r="A81" s="707"/>
      <c r="B81" s="707"/>
      <c r="C81" s="707"/>
      <c r="D81" s="707"/>
      <c r="E81" s="707"/>
      <c r="F81" s="707"/>
      <c r="G81" s="685"/>
      <c r="H81" s="674"/>
      <c r="I81" s="674"/>
      <c r="J81" s="674"/>
      <c r="K81" s="674"/>
      <c r="L81" s="674"/>
      <c r="M81" s="674"/>
      <c r="N81" s="674"/>
      <c r="O81" s="674"/>
      <c r="P81" s="674"/>
      <c r="Q81" s="674"/>
      <c r="R81" s="674"/>
      <c r="S81" s="674"/>
      <c r="T81" s="674"/>
      <c r="U81" s="674"/>
      <c r="V81" s="674"/>
      <c r="W81" s="674"/>
      <c r="X81" s="674"/>
      <c r="Y81" s="674"/>
      <c r="Z81" s="674"/>
      <c r="AA81" s="674"/>
      <c r="AB81" s="674"/>
      <c r="AC81" s="674"/>
      <c r="AD81" s="674"/>
      <c r="AE81" s="707"/>
      <c r="AG81" s="707"/>
      <c r="AH81" s="707"/>
    </row>
    <row r="82" spans="1:34" x14ac:dyDescent="0.45">
      <c r="A82" s="707"/>
      <c r="B82" s="707"/>
      <c r="C82" s="707"/>
      <c r="D82" s="707"/>
      <c r="E82" s="707"/>
      <c r="F82" s="707"/>
      <c r="G82" s="685"/>
      <c r="H82" s="674"/>
      <c r="I82" s="674"/>
      <c r="J82" s="674"/>
      <c r="K82" s="674"/>
      <c r="L82" s="674"/>
      <c r="M82" s="674"/>
      <c r="N82" s="674"/>
      <c r="O82" s="674"/>
      <c r="P82" s="674"/>
      <c r="Q82" s="674"/>
      <c r="R82" s="674"/>
      <c r="S82" s="674"/>
      <c r="T82" s="674"/>
      <c r="U82" s="674"/>
      <c r="V82" s="674"/>
      <c r="W82" s="674"/>
      <c r="X82" s="674"/>
      <c r="Y82" s="674"/>
      <c r="Z82" s="674"/>
      <c r="AA82" s="674"/>
      <c r="AB82" s="674"/>
      <c r="AC82" s="674"/>
      <c r="AD82" s="674"/>
      <c r="AE82" s="707"/>
      <c r="AG82" s="707"/>
      <c r="AH82" s="707"/>
    </row>
    <row r="83" spans="1:34" x14ac:dyDescent="0.45">
      <c r="A83" s="707"/>
      <c r="B83" s="707"/>
      <c r="C83" s="707"/>
      <c r="D83" s="707"/>
      <c r="E83" s="707"/>
      <c r="F83" s="707"/>
      <c r="G83" s="685"/>
      <c r="H83" s="674"/>
      <c r="I83" s="674"/>
      <c r="J83" s="674"/>
      <c r="K83" s="674"/>
      <c r="L83" s="674"/>
      <c r="M83" s="674"/>
      <c r="N83" s="674"/>
      <c r="O83" s="674"/>
      <c r="P83" s="674"/>
      <c r="Q83" s="674"/>
      <c r="R83" s="674"/>
      <c r="S83" s="674"/>
      <c r="T83" s="674"/>
      <c r="U83" s="674"/>
      <c r="V83" s="674"/>
      <c r="W83" s="674"/>
      <c r="X83" s="674"/>
      <c r="Y83" s="674"/>
      <c r="Z83" s="674"/>
      <c r="AA83" s="674"/>
      <c r="AB83" s="674"/>
      <c r="AC83" s="674"/>
      <c r="AD83" s="674"/>
      <c r="AE83" s="707"/>
      <c r="AG83" s="707"/>
      <c r="AH83" s="707"/>
    </row>
    <row r="84" spans="1:34" x14ac:dyDescent="0.45">
      <c r="A84" s="707"/>
      <c r="B84" s="707"/>
      <c r="C84" s="707"/>
      <c r="D84" s="707"/>
      <c r="E84" s="707"/>
      <c r="F84" s="707"/>
      <c r="G84" s="685"/>
      <c r="H84" s="674"/>
      <c r="I84" s="674"/>
      <c r="J84" s="674"/>
      <c r="K84" s="674"/>
      <c r="L84" s="674"/>
      <c r="M84" s="674"/>
      <c r="N84" s="674"/>
      <c r="O84" s="674"/>
      <c r="P84" s="674"/>
      <c r="Q84" s="674"/>
      <c r="R84" s="674"/>
      <c r="S84" s="674"/>
      <c r="T84" s="674"/>
      <c r="U84" s="674"/>
      <c r="V84" s="674"/>
      <c r="W84" s="674"/>
      <c r="X84" s="674"/>
      <c r="Y84" s="674"/>
      <c r="Z84" s="674"/>
      <c r="AA84" s="674"/>
      <c r="AB84" s="674"/>
      <c r="AC84" s="674"/>
      <c r="AD84" s="674"/>
      <c r="AE84" s="707"/>
      <c r="AG84" s="707"/>
      <c r="AH84" s="707"/>
    </row>
    <row r="85" spans="1:34" x14ac:dyDescent="0.45">
      <c r="A85" s="707"/>
      <c r="B85" s="707"/>
      <c r="C85" s="707"/>
      <c r="D85" s="707"/>
      <c r="E85" s="707"/>
      <c r="F85" s="707"/>
      <c r="G85" s="685"/>
      <c r="H85" s="674"/>
      <c r="I85" s="674"/>
      <c r="J85" s="674"/>
      <c r="K85" s="674"/>
      <c r="L85" s="674"/>
      <c r="M85" s="674"/>
      <c r="N85" s="674"/>
      <c r="O85" s="674"/>
      <c r="P85" s="674"/>
      <c r="Q85" s="674"/>
      <c r="R85" s="674"/>
      <c r="S85" s="674"/>
      <c r="T85" s="674"/>
      <c r="U85" s="674"/>
      <c r="V85" s="674"/>
      <c r="W85" s="674"/>
      <c r="X85" s="674"/>
      <c r="Y85" s="674"/>
      <c r="Z85" s="674"/>
      <c r="AA85" s="674"/>
      <c r="AB85" s="674"/>
      <c r="AC85" s="674"/>
      <c r="AD85" s="674"/>
      <c r="AE85" s="707"/>
      <c r="AG85" s="707"/>
      <c r="AH85" s="707"/>
    </row>
    <row r="86" spans="1:34" x14ac:dyDescent="0.45">
      <c r="A86" s="707"/>
      <c r="B86" s="707"/>
      <c r="C86" s="707"/>
      <c r="D86" s="707"/>
      <c r="E86" s="707"/>
      <c r="F86" s="707"/>
      <c r="G86" s="685"/>
      <c r="H86" s="674"/>
      <c r="I86" s="674"/>
      <c r="J86" s="674"/>
      <c r="K86" s="674"/>
      <c r="L86" s="674"/>
      <c r="M86" s="674"/>
      <c r="N86" s="674"/>
      <c r="O86" s="674"/>
      <c r="P86" s="674"/>
      <c r="Q86" s="674"/>
      <c r="R86" s="674"/>
      <c r="S86" s="674"/>
      <c r="T86" s="674"/>
      <c r="U86" s="674"/>
      <c r="V86" s="674"/>
      <c r="W86" s="674"/>
      <c r="X86" s="674"/>
      <c r="Y86" s="674"/>
      <c r="Z86" s="674"/>
      <c r="AA86" s="674"/>
      <c r="AB86" s="674"/>
      <c r="AC86" s="674"/>
      <c r="AD86" s="674"/>
      <c r="AE86" s="707"/>
      <c r="AG86" s="707"/>
      <c r="AH86" s="707"/>
    </row>
    <row r="87" spans="1:34" x14ac:dyDescent="0.45">
      <c r="A87" s="707"/>
      <c r="B87" s="707"/>
      <c r="C87" s="707"/>
      <c r="D87" s="707"/>
      <c r="E87" s="707"/>
      <c r="F87" s="707"/>
      <c r="G87" s="685"/>
      <c r="H87" s="674"/>
      <c r="I87" s="674"/>
      <c r="J87" s="674"/>
      <c r="K87" s="674"/>
      <c r="L87" s="674"/>
      <c r="M87" s="674"/>
      <c r="N87" s="674"/>
      <c r="O87" s="674"/>
      <c r="P87" s="674"/>
      <c r="Q87" s="674"/>
      <c r="R87" s="674"/>
      <c r="S87" s="674"/>
      <c r="T87" s="674"/>
      <c r="U87" s="674"/>
      <c r="V87" s="674"/>
      <c r="W87" s="674"/>
      <c r="X87" s="674"/>
      <c r="Y87" s="674"/>
      <c r="Z87" s="674"/>
      <c r="AA87" s="674"/>
      <c r="AB87" s="674"/>
      <c r="AC87" s="674"/>
      <c r="AD87" s="674"/>
      <c r="AE87" s="707"/>
      <c r="AG87" s="707"/>
      <c r="AH87" s="707"/>
    </row>
    <row r="88" spans="1:34" x14ac:dyDescent="0.45">
      <c r="A88" s="707"/>
      <c r="B88" s="707"/>
      <c r="C88" s="707"/>
      <c r="D88" s="707"/>
      <c r="E88" s="707"/>
      <c r="F88" s="707"/>
      <c r="G88" s="685"/>
      <c r="H88" s="674"/>
      <c r="I88" s="674"/>
      <c r="J88" s="674"/>
      <c r="K88" s="674"/>
      <c r="L88" s="674"/>
      <c r="M88" s="674"/>
      <c r="N88" s="674"/>
      <c r="O88" s="674"/>
      <c r="P88" s="674"/>
      <c r="Q88" s="674"/>
      <c r="R88" s="674"/>
      <c r="S88" s="674"/>
      <c r="T88" s="674"/>
      <c r="U88" s="674"/>
      <c r="V88" s="674"/>
      <c r="W88" s="674"/>
      <c r="X88" s="674"/>
      <c r="Y88" s="674"/>
      <c r="Z88" s="674"/>
      <c r="AA88" s="674"/>
      <c r="AB88" s="674"/>
      <c r="AC88" s="674"/>
      <c r="AD88" s="674"/>
      <c r="AE88" s="707"/>
      <c r="AG88" s="707"/>
      <c r="AH88" s="707"/>
    </row>
    <row r="89" spans="1:34" x14ac:dyDescent="0.45">
      <c r="A89" s="707"/>
      <c r="B89" s="707"/>
      <c r="C89" s="707"/>
      <c r="D89" s="707"/>
      <c r="E89" s="707"/>
      <c r="F89" s="707"/>
      <c r="G89" s="685"/>
      <c r="H89" s="674"/>
      <c r="I89" s="674"/>
      <c r="J89" s="674"/>
      <c r="K89" s="674"/>
      <c r="L89" s="674"/>
      <c r="M89" s="674"/>
      <c r="N89" s="674"/>
      <c r="O89" s="674"/>
      <c r="P89" s="674"/>
      <c r="Q89" s="674"/>
      <c r="R89" s="674"/>
      <c r="S89" s="674"/>
      <c r="T89" s="674"/>
      <c r="U89" s="674"/>
      <c r="V89" s="674"/>
      <c r="W89" s="674"/>
      <c r="X89" s="674"/>
      <c r="Y89" s="674"/>
      <c r="Z89" s="674"/>
      <c r="AA89" s="674"/>
      <c r="AB89" s="674"/>
      <c r="AC89" s="674"/>
      <c r="AD89" s="674"/>
      <c r="AE89" s="707"/>
      <c r="AG89" s="707"/>
      <c r="AH89" s="707"/>
    </row>
    <row r="90" spans="1:34" x14ac:dyDescent="0.45">
      <c r="A90" s="707"/>
      <c r="B90" s="707"/>
      <c r="C90" s="707"/>
      <c r="D90" s="707"/>
      <c r="E90" s="707"/>
      <c r="F90" s="707"/>
      <c r="G90" s="685"/>
      <c r="H90" s="674"/>
      <c r="I90" s="674"/>
      <c r="J90" s="674"/>
      <c r="K90" s="674"/>
      <c r="L90" s="674"/>
      <c r="M90" s="674"/>
      <c r="N90" s="674"/>
      <c r="O90" s="674"/>
      <c r="P90" s="674"/>
      <c r="Q90" s="674"/>
      <c r="R90" s="674"/>
      <c r="S90" s="674"/>
      <c r="T90" s="674"/>
      <c r="U90" s="674"/>
      <c r="V90" s="674"/>
      <c r="W90" s="674"/>
      <c r="X90" s="674"/>
      <c r="Y90" s="674"/>
      <c r="Z90" s="674"/>
      <c r="AA90" s="674"/>
      <c r="AB90" s="674"/>
      <c r="AC90" s="674"/>
      <c r="AD90" s="674"/>
      <c r="AE90" s="707"/>
      <c r="AG90" s="707"/>
      <c r="AH90" s="707"/>
    </row>
    <row r="91" spans="1:34" x14ac:dyDescent="0.45">
      <c r="A91" s="707"/>
      <c r="B91" s="707"/>
      <c r="C91" s="707"/>
      <c r="D91" s="707"/>
      <c r="E91" s="707"/>
      <c r="F91" s="707"/>
      <c r="G91" s="685"/>
      <c r="H91" s="674"/>
      <c r="I91" s="674"/>
      <c r="J91" s="674"/>
      <c r="K91" s="674"/>
      <c r="L91" s="674"/>
      <c r="M91" s="674"/>
      <c r="N91" s="674"/>
      <c r="O91" s="674"/>
      <c r="P91" s="674"/>
      <c r="Q91" s="674"/>
      <c r="R91" s="674"/>
      <c r="S91" s="674"/>
      <c r="T91" s="674"/>
      <c r="U91" s="674"/>
      <c r="V91" s="674"/>
      <c r="W91" s="674"/>
      <c r="X91" s="674"/>
      <c r="Y91" s="674"/>
      <c r="Z91" s="674"/>
      <c r="AA91" s="674"/>
      <c r="AB91" s="674"/>
      <c r="AC91" s="674"/>
      <c r="AD91" s="674"/>
      <c r="AE91" s="707"/>
      <c r="AG91" s="707"/>
      <c r="AH91" s="707"/>
    </row>
    <row r="92" spans="1:34" x14ac:dyDescent="0.45">
      <c r="A92" s="707"/>
      <c r="B92" s="707"/>
      <c r="C92" s="707"/>
      <c r="D92" s="707"/>
      <c r="E92" s="707"/>
      <c r="F92" s="707"/>
      <c r="G92" s="685"/>
      <c r="H92" s="674"/>
      <c r="I92" s="674"/>
      <c r="J92" s="674"/>
      <c r="K92" s="674"/>
      <c r="L92" s="674"/>
      <c r="M92" s="674"/>
      <c r="N92" s="674"/>
      <c r="O92" s="674"/>
      <c r="P92" s="674"/>
      <c r="Q92" s="674"/>
      <c r="R92" s="674"/>
      <c r="S92" s="674"/>
      <c r="T92" s="674"/>
      <c r="U92" s="674"/>
      <c r="V92" s="674"/>
      <c r="W92" s="674"/>
      <c r="X92" s="674"/>
      <c r="Y92" s="674"/>
      <c r="Z92" s="674"/>
      <c r="AA92" s="674"/>
      <c r="AB92" s="674"/>
      <c r="AC92" s="674"/>
      <c r="AD92" s="674"/>
      <c r="AE92" s="707"/>
      <c r="AG92" s="707"/>
      <c r="AH92" s="707"/>
    </row>
    <row r="93" spans="1:34" x14ac:dyDescent="0.45">
      <c r="A93" s="707"/>
      <c r="B93" s="707"/>
      <c r="C93" s="707"/>
      <c r="D93" s="707"/>
      <c r="E93" s="707"/>
      <c r="F93" s="707"/>
      <c r="G93" s="685"/>
      <c r="H93" s="674"/>
      <c r="I93" s="674"/>
      <c r="J93" s="674"/>
      <c r="K93" s="674"/>
      <c r="L93" s="674"/>
      <c r="M93" s="674"/>
      <c r="N93" s="674"/>
      <c r="O93" s="674"/>
      <c r="P93" s="674"/>
      <c r="Q93" s="674"/>
      <c r="R93" s="674"/>
      <c r="S93" s="674"/>
      <c r="T93" s="674"/>
      <c r="U93" s="674"/>
      <c r="V93" s="674"/>
      <c r="W93" s="674"/>
      <c r="X93" s="674"/>
      <c r="Y93" s="674"/>
      <c r="Z93" s="674"/>
      <c r="AA93" s="674"/>
      <c r="AB93" s="674"/>
      <c r="AC93" s="674"/>
      <c r="AD93" s="674"/>
      <c r="AE93" s="707"/>
      <c r="AG93" s="707"/>
      <c r="AH93" s="707"/>
    </row>
    <row r="94" spans="1:34" x14ac:dyDescent="0.45">
      <c r="A94" s="707"/>
      <c r="B94" s="707"/>
      <c r="C94" s="707"/>
      <c r="D94" s="707"/>
      <c r="E94" s="707"/>
      <c r="F94" s="707"/>
      <c r="G94" s="685"/>
      <c r="H94" s="674"/>
      <c r="I94" s="674"/>
      <c r="J94" s="674"/>
      <c r="K94" s="674"/>
      <c r="L94" s="674"/>
      <c r="M94" s="674"/>
      <c r="N94" s="674"/>
      <c r="O94" s="674"/>
      <c r="P94" s="674"/>
      <c r="Q94" s="674"/>
      <c r="R94" s="674"/>
      <c r="S94" s="674"/>
      <c r="T94" s="674"/>
      <c r="U94" s="674"/>
      <c r="V94" s="674"/>
      <c r="W94" s="674"/>
      <c r="X94" s="674"/>
      <c r="Y94" s="674"/>
      <c r="Z94" s="674"/>
      <c r="AA94" s="674"/>
      <c r="AB94" s="674"/>
      <c r="AC94" s="674"/>
      <c r="AD94" s="674"/>
      <c r="AE94" s="707"/>
      <c r="AG94" s="707"/>
      <c r="AH94" s="707"/>
    </row>
    <row r="95" spans="1:34" x14ac:dyDescent="0.45">
      <c r="A95" s="707"/>
      <c r="B95" s="707"/>
      <c r="C95" s="707"/>
      <c r="D95" s="707"/>
      <c r="E95" s="707"/>
      <c r="F95" s="707"/>
      <c r="G95" s="685"/>
      <c r="H95" s="674"/>
      <c r="I95" s="674"/>
      <c r="J95" s="674"/>
      <c r="K95" s="674"/>
      <c r="L95" s="674"/>
      <c r="M95" s="674"/>
      <c r="N95" s="674"/>
      <c r="O95" s="674"/>
      <c r="P95" s="674"/>
      <c r="Q95" s="674"/>
      <c r="R95" s="674"/>
      <c r="S95" s="674"/>
      <c r="T95" s="674"/>
      <c r="U95" s="674"/>
      <c r="V95" s="674"/>
      <c r="W95" s="674"/>
      <c r="X95" s="674"/>
      <c r="Y95" s="674"/>
      <c r="Z95" s="674"/>
      <c r="AA95" s="674"/>
      <c r="AB95" s="674"/>
      <c r="AC95" s="674"/>
      <c r="AD95" s="674"/>
      <c r="AE95" s="707"/>
      <c r="AG95" s="707"/>
      <c r="AH95" s="707"/>
    </row>
    <row r="96" spans="1:34" x14ac:dyDescent="0.45">
      <c r="A96" s="707"/>
      <c r="B96" s="707"/>
      <c r="C96" s="707"/>
      <c r="D96" s="707"/>
      <c r="E96" s="707"/>
      <c r="F96" s="707"/>
      <c r="G96" s="685"/>
      <c r="H96" s="674"/>
      <c r="I96" s="674"/>
      <c r="J96" s="674"/>
      <c r="K96" s="674"/>
      <c r="L96" s="674"/>
      <c r="M96" s="674"/>
      <c r="N96" s="674"/>
      <c r="O96" s="674"/>
      <c r="P96" s="674"/>
      <c r="Q96" s="674"/>
      <c r="R96" s="674"/>
      <c r="S96" s="674"/>
      <c r="T96" s="674"/>
      <c r="U96" s="674"/>
      <c r="V96" s="674"/>
      <c r="W96" s="674"/>
      <c r="X96" s="674"/>
      <c r="Y96" s="674"/>
      <c r="Z96" s="674"/>
      <c r="AA96" s="674"/>
      <c r="AB96" s="674"/>
      <c r="AC96" s="674"/>
      <c r="AD96" s="674"/>
      <c r="AE96" s="707"/>
      <c r="AG96" s="707"/>
      <c r="AH96" s="707"/>
    </row>
    <row r="97" spans="1:34" x14ac:dyDescent="0.45">
      <c r="A97" s="707"/>
      <c r="B97" s="707"/>
      <c r="C97" s="707"/>
      <c r="D97" s="707"/>
      <c r="E97" s="707"/>
      <c r="F97" s="707"/>
      <c r="G97" s="685"/>
      <c r="H97" s="674"/>
      <c r="I97" s="674"/>
      <c r="J97" s="674"/>
      <c r="K97" s="674"/>
      <c r="L97" s="674"/>
      <c r="M97" s="674"/>
      <c r="N97" s="674"/>
      <c r="O97" s="674"/>
      <c r="P97" s="674"/>
      <c r="Q97" s="674"/>
      <c r="R97" s="674"/>
      <c r="S97" s="674"/>
      <c r="T97" s="674"/>
      <c r="U97" s="674"/>
      <c r="V97" s="674"/>
      <c r="W97" s="674"/>
      <c r="X97" s="674"/>
      <c r="Y97" s="674"/>
      <c r="Z97" s="674"/>
      <c r="AA97" s="674"/>
      <c r="AB97" s="674"/>
      <c r="AC97" s="674"/>
      <c r="AD97" s="674"/>
      <c r="AE97" s="708"/>
      <c r="AG97" s="707"/>
      <c r="AH97" s="707"/>
    </row>
    <row r="98" spans="1:34" x14ac:dyDescent="0.45">
      <c r="G98" s="685"/>
    </row>
    <row r="99" spans="1:34" x14ac:dyDescent="0.45">
      <c r="G99" s="685"/>
    </row>
    <row r="100" spans="1:34" x14ac:dyDescent="0.45">
      <c r="G100" s="685"/>
    </row>
    <row r="101" spans="1:34" x14ac:dyDescent="0.45">
      <c r="G101" s="685"/>
    </row>
    <row r="102" spans="1:34" x14ac:dyDescent="0.45">
      <c r="G102" s="685"/>
    </row>
    <row r="103" spans="1:34" x14ac:dyDescent="0.45">
      <c r="G103" s="685"/>
    </row>
    <row r="104" spans="1:34" x14ac:dyDescent="0.45">
      <c r="G104" s="685"/>
    </row>
    <row r="105" spans="1:34" x14ac:dyDescent="0.45">
      <c r="G105" s="685"/>
    </row>
    <row r="106" spans="1:34" x14ac:dyDescent="0.45">
      <c r="G106" s="685"/>
    </row>
    <row r="107" spans="1:34" x14ac:dyDescent="0.45">
      <c r="G107" s="685"/>
    </row>
    <row r="108" spans="1:34" x14ac:dyDescent="0.45">
      <c r="G108" s="685"/>
    </row>
    <row r="109" spans="1:34" x14ac:dyDescent="0.45">
      <c r="G109" s="685"/>
    </row>
    <row r="110" spans="1:34" x14ac:dyDescent="0.45">
      <c r="G110" s="685"/>
    </row>
    <row r="111" spans="1:34" x14ac:dyDescent="0.45">
      <c r="G111" s="685"/>
    </row>
    <row r="112" spans="1:34" x14ac:dyDescent="0.45">
      <c r="G112" s="685"/>
    </row>
    <row r="113" spans="7:7" x14ac:dyDescent="0.45">
      <c r="G113" s="685"/>
    </row>
    <row r="114" spans="7:7" x14ac:dyDescent="0.45">
      <c r="G114" s="685"/>
    </row>
    <row r="115" spans="7:7" x14ac:dyDescent="0.45">
      <c r="G115" s="685"/>
    </row>
    <row r="116" spans="7:7" x14ac:dyDescent="0.45">
      <c r="G116" s="685"/>
    </row>
    <row r="117" spans="7:7" x14ac:dyDescent="0.45">
      <c r="G117" s="685"/>
    </row>
    <row r="118" spans="7:7" x14ac:dyDescent="0.45">
      <c r="G118" s="685"/>
    </row>
    <row r="119" spans="7:7" x14ac:dyDescent="0.45">
      <c r="G119" s="685"/>
    </row>
    <row r="120" spans="7:7" x14ac:dyDescent="0.45">
      <c r="G120" s="685"/>
    </row>
    <row r="121" spans="7:7" x14ac:dyDescent="0.45">
      <c r="G121" s="685"/>
    </row>
    <row r="122" spans="7:7" x14ac:dyDescent="0.45">
      <c r="G122" s="685"/>
    </row>
    <row r="123" spans="7:7" x14ac:dyDescent="0.45">
      <c r="G123" s="685"/>
    </row>
  </sheetData>
  <mergeCells count="31">
    <mergeCell ref="AI1:AO78"/>
    <mergeCell ref="H5:AE5"/>
    <mergeCell ref="F1:F2"/>
    <mergeCell ref="A1:A2"/>
    <mergeCell ref="B1:B2"/>
    <mergeCell ref="C1:C2"/>
    <mergeCell ref="G1:G51"/>
    <mergeCell ref="D1:D2"/>
    <mergeCell ref="E1:E2"/>
    <mergeCell ref="B5:F5"/>
    <mergeCell ref="A19:B19"/>
    <mergeCell ref="C18:F19"/>
    <mergeCell ref="AG4:AH97"/>
    <mergeCell ref="A35:B35"/>
    <mergeCell ref="A27:B27"/>
    <mergeCell ref="AE79:AE97"/>
    <mergeCell ref="H48:AE49"/>
    <mergeCell ref="B49:F49"/>
    <mergeCell ref="H50:AE51"/>
    <mergeCell ref="B50:F51"/>
    <mergeCell ref="G52:G123"/>
    <mergeCell ref="H76:AE78"/>
    <mergeCell ref="H79:AD97"/>
    <mergeCell ref="A79:F97"/>
    <mergeCell ref="A76:E78"/>
    <mergeCell ref="F77:F78"/>
    <mergeCell ref="H8:AE9"/>
    <mergeCell ref="H17:AE19"/>
    <mergeCell ref="H4:AE4"/>
    <mergeCell ref="A9:B9"/>
    <mergeCell ref="C8:E9"/>
  </mergeCells>
  <phoneticPr fontId="1" type="noConversion"/>
  <pageMargins left="0.7" right="0.7" top="0.75" bottom="0.75" header="0.3" footer="0.3"/>
  <pageSetup paperSize="9" orientation="portrait" horizontalDpi="1200" verticalDpi="1200"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096B5-4F6D-48F9-AAF0-FCE9B59FCD8D}">
  <sheetPr>
    <tabColor theme="5" tint="0.39997558519241921"/>
  </sheetPr>
  <dimension ref="A1:AU137"/>
  <sheetViews>
    <sheetView topLeftCell="A19" zoomScaleNormal="100" workbookViewId="0">
      <selection activeCell="R12" sqref="R12"/>
    </sheetView>
  </sheetViews>
  <sheetFormatPr defaultRowHeight="17" x14ac:dyDescent="0.45"/>
  <cols>
    <col min="1" max="1" width="9" style="195"/>
    <col min="2" max="2" width="12.33203125" customWidth="1"/>
    <col min="3" max="3" width="15.5" customWidth="1"/>
    <col min="4" max="4" width="9.33203125" customWidth="1"/>
    <col min="5" max="5" width="9" customWidth="1"/>
    <col min="6" max="6" width="12.25" customWidth="1"/>
    <col min="7" max="7" width="1" customWidth="1"/>
    <col min="8" max="8" width="5" style="104" customWidth="1"/>
    <col min="9" max="9" width="9" style="440"/>
    <col min="10" max="10" width="5" style="104" customWidth="1"/>
    <col min="11" max="11" width="9" style="440"/>
    <col min="12" max="12" width="5" style="104" customWidth="1"/>
    <col min="13" max="13" width="9" style="440"/>
    <col min="14" max="14" width="5" style="104" customWidth="1"/>
    <col min="15" max="15" width="9" style="440"/>
    <col min="16" max="16" width="5" style="104" customWidth="1"/>
    <col min="17" max="17" width="9" style="461"/>
    <col min="18" max="18" width="5" style="104" customWidth="1"/>
    <col min="19" max="19" width="9" style="461"/>
    <col min="20" max="20" width="5" style="104" customWidth="1"/>
    <col min="21" max="21" width="9" style="440"/>
    <col min="22" max="22" width="5" style="104" customWidth="1"/>
    <col min="23" max="23" width="9" style="440"/>
    <col min="24" max="24" width="5" style="104" customWidth="1"/>
    <col min="25" max="25" width="9" style="440"/>
    <col min="26" max="26" width="5" style="104" customWidth="1"/>
    <col min="27" max="27" width="9" style="440"/>
    <col min="28" max="28" width="5" style="104" customWidth="1"/>
    <col min="29" max="29" width="9" style="440"/>
    <col min="30" max="30" width="5" style="104" customWidth="1"/>
    <col min="31" max="31" width="9" style="440"/>
    <col min="32" max="32" width="1" customWidth="1"/>
    <col min="33" max="33" width="9" style="37"/>
  </cols>
  <sheetData>
    <row r="1" spans="1:34" ht="18.5" thickTop="1" thickBot="1" x14ac:dyDescent="0.5">
      <c r="A1" s="676" t="s">
        <v>85</v>
      </c>
      <c r="B1" s="678">
        <f>SUM(I3,K3,M3,O3,Q3,S3,U3,W3,Y3,AA3,AC3,AE3)</f>
        <v>1551</v>
      </c>
      <c r="C1" s="680" t="s">
        <v>9</v>
      </c>
      <c r="D1" s="700">
        <f>SUM(AE31)</f>
        <v>190</v>
      </c>
      <c r="E1" s="684" t="s">
        <v>397</v>
      </c>
      <c r="F1" s="689">
        <f>SUM(B1-D1)</f>
        <v>1361</v>
      </c>
      <c r="G1" s="685"/>
      <c r="H1" s="89"/>
      <c r="I1" s="85">
        <f>I3</f>
        <v>498</v>
      </c>
      <c r="J1" s="181"/>
      <c r="K1" s="85">
        <f t="shared" ref="K1" si="0">K3</f>
        <v>416</v>
      </c>
      <c r="L1" s="181"/>
      <c r="M1" s="85">
        <f t="shared" ref="M1" si="1">M3</f>
        <v>572</v>
      </c>
      <c r="N1" s="181"/>
      <c r="O1" s="85">
        <f t="shared" ref="O1" si="2">O3</f>
        <v>65</v>
      </c>
      <c r="P1" s="181"/>
      <c r="Q1" s="85">
        <f t="shared" ref="Q1" si="3">Q3</f>
        <v>0</v>
      </c>
      <c r="R1" s="181"/>
      <c r="S1" s="85">
        <f t="shared" ref="S1" si="4">S3</f>
        <v>0</v>
      </c>
      <c r="T1" s="181"/>
      <c r="U1" s="463">
        <f t="shared" ref="U1" si="5">U3</f>
        <v>0</v>
      </c>
      <c r="V1" s="181"/>
      <c r="W1" s="85">
        <f t="shared" ref="W1" si="6">W3</f>
        <v>0</v>
      </c>
      <c r="X1" s="181"/>
      <c r="Y1" s="85">
        <f t="shared" ref="Y1" si="7">Y3</f>
        <v>0</v>
      </c>
      <c r="Z1" s="181"/>
      <c r="AA1" s="85">
        <f t="shared" ref="AA1" si="8">AA3</f>
        <v>0</v>
      </c>
      <c r="AB1" s="181"/>
      <c r="AC1" s="85">
        <f t="shared" ref="AC1" si="9">AC3</f>
        <v>0</v>
      </c>
      <c r="AD1" s="181"/>
      <c r="AE1" s="85">
        <f t="shared" ref="AE1" si="10">AE3</f>
        <v>0</v>
      </c>
      <c r="AH1" s="515"/>
    </row>
    <row r="2" spans="1:34" ht="18" thickTop="1" x14ac:dyDescent="0.45">
      <c r="A2" s="677"/>
      <c r="B2" s="679"/>
      <c r="C2" s="681"/>
      <c r="D2" s="715"/>
      <c r="E2" s="684"/>
      <c r="F2" s="689"/>
      <c r="G2" s="685"/>
      <c r="H2" s="97" t="s">
        <v>113</v>
      </c>
      <c r="I2" s="436" t="s">
        <v>85</v>
      </c>
      <c r="J2" s="97" t="s">
        <v>114</v>
      </c>
      <c r="K2" s="436" t="s">
        <v>85</v>
      </c>
      <c r="L2" s="97" t="s">
        <v>115</v>
      </c>
      <c r="M2" s="436" t="s">
        <v>85</v>
      </c>
      <c r="N2" s="97" t="s">
        <v>116</v>
      </c>
      <c r="O2" s="436" t="s">
        <v>85</v>
      </c>
      <c r="P2" s="97" t="s">
        <v>117</v>
      </c>
      <c r="Q2" s="436" t="s">
        <v>85</v>
      </c>
      <c r="R2" s="97" t="s">
        <v>118</v>
      </c>
      <c r="S2" s="436" t="s">
        <v>85</v>
      </c>
      <c r="T2" s="97" t="s">
        <v>119</v>
      </c>
      <c r="U2" s="436" t="s">
        <v>85</v>
      </c>
      <c r="V2" s="97" t="s">
        <v>120</v>
      </c>
      <c r="W2" s="436" t="s">
        <v>85</v>
      </c>
      <c r="X2" s="433" t="s">
        <v>121</v>
      </c>
      <c r="Y2" s="436" t="s">
        <v>85</v>
      </c>
      <c r="Z2" s="97" t="s">
        <v>122</v>
      </c>
      <c r="AA2" s="436" t="s">
        <v>85</v>
      </c>
      <c r="AB2" s="97" t="s">
        <v>123</v>
      </c>
      <c r="AC2" s="436" t="s">
        <v>85</v>
      </c>
      <c r="AD2" s="97" t="s">
        <v>124</v>
      </c>
      <c r="AE2" s="436" t="s">
        <v>85</v>
      </c>
      <c r="AG2" s="478" t="s">
        <v>460</v>
      </c>
      <c r="AH2" s="517" t="s">
        <v>739</v>
      </c>
    </row>
    <row r="3" spans="1:34" ht="18" thickBot="1" x14ac:dyDescent="0.5">
      <c r="A3" s="276" t="s">
        <v>2</v>
      </c>
      <c r="B3" s="276" t="s">
        <v>0</v>
      </c>
      <c r="C3" s="276" t="s">
        <v>4</v>
      </c>
      <c r="D3" s="276" t="s">
        <v>750</v>
      </c>
      <c r="E3" s="379" t="s">
        <v>748</v>
      </c>
      <c r="F3" s="345" t="str">
        <f>SUM(F5,F18,F31,F59,F44) &amp; "만"</f>
        <v>553만</v>
      </c>
      <c r="G3" s="685"/>
      <c r="H3" s="448"/>
      <c r="I3" s="437">
        <f>SUM(I5:I101)</f>
        <v>498</v>
      </c>
      <c r="J3" s="422"/>
      <c r="K3" s="437">
        <f>SUM(K5:K101)</f>
        <v>416</v>
      </c>
      <c r="L3" s="422"/>
      <c r="M3" s="437">
        <f>SUM(M5:M101)</f>
        <v>572</v>
      </c>
      <c r="N3" s="422"/>
      <c r="O3" s="437">
        <f>SUM(O5:O101)</f>
        <v>65</v>
      </c>
      <c r="P3" s="422"/>
      <c r="Q3" s="437">
        <f>SUM(Q5:Q101)</f>
        <v>0</v>
      </c>
      <c r="R3" s="422"/>
      <c r="S3" s="437">
        <f>SUM(S5:S101)</f>
        <v>0</v>
      </c>
      <c r="T3" s="422"/>
      <c r="U3" s="437">
        <f>SUM(U5:U101)</f>
        <v>0</v>
      </c>
      <c r="V3" s="422"/>
      <c r="W3" s="437">
        <f>SUM(W5:W101)</f>
        <v>0</v>
      </c>
      <c r="X3" s="422"/>
      <c r="Y3" s="437">
        <f>SUM(Y5:Y101)</f>
        <v>0</v>
      </c>
      <c r="Z3" s="422"/>
      <c r="AA3" s="437">
        <f>SUM(AA5:AA101)</f>
        <v>0</v>
      </c>
      <c r="AB3" s="422"/>
      <c r="AC3" s="437">
        <f>SUM(AC5:AC101)</f>
        <v>0</v>
      </c>
      <c r="AD3" s="422"/>
      <c r="AE3" s="437">
        <f>SUM(AE5:AE5,AE8:AE17,AE21:AE30,AE34:AE43,AE47:AE58)</f>
        <v>0</v>
      </c>
      <c r="AG3" s="479">
        <f>AVERAGE(I3,K3,M3,O3,Q3,S3,U3,W3,Y3,AA3,AC3,AE3)</f>
        <v>129.25</v>
      </c>
      <c r="AH3" s="516">
        <f>SUM(B18,B31,B44,B59)</f>
        <v>40</v>
      </c>
    </row>
    <row r="4" spans="1:34" ht="22" thickTop="1" thickBot="1" x14ac:dyDescent="0.5">
      <c r="A4" s="33" t="s">
        <v>177</v>
      </c>
      <c r="B4" s="687"/>
      <c r="C4" s="687"/>
      <c r="D4" s="687"/>
      <c r="E4" s="687"/>
      <c r="F4" s="687"/>
      <c r="G4" s="685"/>
      <c r="H4" s="703"/>
      <c r="I4" s="666"/>
      <c r="J4" s="703"/>
      <c r="K4" s="666"/>
      <c r="L4" s="703"/>
      <c r="M4" s="666"/>
      <c r="N4" s="703"/>
      <c r="O4" s="666"/>
      <c r="P4" s="703"/>
      <c r="Q4" s="666"/>
      <c r="R4" s="703"/>
      <c r="S4" s="666"/>
      <c r="T4" s="703"/>
      <c r="U4" s="666"/>
      <c r="V4" s="703"/>
      <c r="W4" s="666"/>
      <c r="X4" s="703"/>
      <c r="Y4" s="666"/>
      <c r="Z4" s="703"/>
      <c r="AA4" s="666"/>
      <c r="AB4" s="703"/>
      <c r="AC4" s="666"/>
      <c r="AD4" s="703"/>
      <c r="AE4" s="666"/>
      <c r="AG4" s="707"/>
      <c r="AH4" s="707"/>
    </row>
    <row r="5" spans="1:34" ht="18" thickTop="1" x14ac:dyDescent="0.45">
      <c r="A5" s="28"/>
      <c r="B5" s="28" t="s">
        <v>532</v>
      </c>
      <c r="C5" s="28"/>
      <c r="D5" s="264"/>
      <c r="E5" s="380"/>
      <c r="F5" s="74"/>
      <c r="G5" s="685"/>
      <c r="H5" s="313"/>
      <c r="I5" s="314">
        <f>외부26년!L3</f>
        <v>196</v>
      </c>
      <c r="J5" s="313"/>
      <c r="K5" s="315">
        <f>외부26년!O3</f>
        <v>103</v>
      </c>
      <c r="L5" s="313"/>
      <c r="M5" s="314">
        <f>외부26년!R3</f>
        <v>57</v>
      </c>
      <c r="N5" s="313"/>
      <c r="O5" s="315">
        <f>외부26년!U3</f>
        <v>0</v>
      </c>
      <c r="P5" s="313"/>
      <c r="Q5" s="314">
        <f>외부26년!X3</f>
        <v>0</v>
      </c>
      <c r="R5" s="313"/>
      <c r="S5" s="315">
        <f>외부26년!AA3</f>
        <v>0</v>
      </c>
      <c r="T5" s="313"/>
      <c r="U5" s="314">
        <f>외부26년!AD3</f>
        <v>0</v>
      </c>
      <c r="V5" s="313"/>
      <c r="W5" s="315">
        <f>외부26년!AG3</f>
        <v>0</v>
      </c>
      <c r="X5" s="313"/>
      <c r="Y5" s="314">
        <f>외부26년!AJ3</f>
        <v>0</v>
      </c>
      <c r="Z5" s="313"/>
      <c r="AA5" s="315">
        <f>외부26년!AM3</f>
        <v>0</v>
      </c>
      <c r="AB5" s="313"/>
      <c r="AC5" s="314">
        <f>외부26년!AP3</f>
        <v>0</v>
      </c>
      <c r="AD5" s="313"/>
      <c r="AE5" s="315">
        <f>외부26년!AS3</f>
        <v>0</v>
      </c>
      <c r="AG5" s="707"/>
      <c r="AH5" s="707"/>
    </row>
    <row r="6" spans="1:34" ht="17.5" thickBot="1" x14ac:dyDescent="0.5">
      <c r="A6" s="714"/>
      <c r="B6" s="714"/>
      <c r="C6" s="667"/>
      <c r="D6" s="667"/>
      <c r="E6" s="667"/>
      <c r="F6" s="667"/>
      <c r="G6" s="685"/>
      <c r="H6" s="702"/>
      <c r="I6" s="665"/>
      <c r="J6" s="702"/>
      <c r="K6" s="665"/>
      <c r="L6" s="702"/>
      <c r="M6" s="665"/>
      <c r="N6" s="702"/>
      <c r="O6" s="665"/>
      <c r="P6" s="702"/>
      <c r="Q6" s="665"/>
      <c r="R6" s="702"/>
      <c r="S6" s="665"/>
      <c r="T6" s="702"/>
      <c r="U6" s="665"/>
      <c r="V6" s="702"/>
      <c r="W6" s="665"/>
      <c r="X6" s="702"/>
      <c r="Y6" s="665"/>
      <c r="Z6" s="702"/>
      <c r="AA6" s="665"/>
      <c r="AB6" s="702"/>
      <c r="AC6" s="665"/>
      <c r="AD6" s="702"/>
      <c r="AE6" s="665"/>
      <c r="AG6" s="707"/>
      <c r="AH6" s="707"/>
    </row>
    <row r="7" spans="1:34" ht="22" thickTop="1" thickBot="1" x14ac:dyDescent="0.5">
      <c r="A7" s="658" t="s">
        <v>740</v>
      </c>
      <c r="B7" s="659"/>
      <c r="C7" s="672"/>
      <c r="D7" s="672"/>
      <c r="E7" s="672"/>
      <c r="F7" s="672"/>
      <c r="G7" s="685"/>
      <c r="H7" s="703"/>
      <c r="I7" s="666"/>
      <c r="J7" s="703"/>
      <c r="K7" s="666"/>
      <c r="L7" s="703"/>
      <c r="M7" s="666"/>
      <c r="N7" s="703"/>
      <c r="O7" s="666"/>
      <c r="P7" s="703"/>
      <c r="Q7" s="666"/>
      <c r="R7" s="703"/>
      <c r="S7" s="666"/>
      <c r="T7" s="703"/>
      <c r="U7" s="666"/>
      <c r="V7" s="703"/>
      <c r="W7" s="666"/>
      <c r="X7" s="703"/>
      <c r="Y7" s="666"/>
      <c r="Z7" s="703"/>
      <c r="AA7" s="666"/>
      <c r="AB7" s="703"/>
      <c r="AC7" s="666"/>
      <c r="AD7" s="703"/>
      <c r="AE7" s="666"/>
      <c r="AG7" s="707"/>
      <c r="AH7" s="707"/>
    </row>
    <row r="8" spans="1:34" ht="17.5" thickTop="1" x14ac:dyDescent="0.45">
      <c r="A8" s="1">
        <v>1</v>
      </c>
      <c r="B8" s="1" t="s">
        <v>74</v>
      </c>
      <c r="C8" s="1" t="s">
        <v>75</v>
      </c>
      <c r="D8" s="507" t="s">
        <v>749</v>
      </c>
      <c r="E8" s="399"/>
      <c r="F8" s="134">
        <v>20</v>
      </c>
      <c r="G8" s="685"/>
      <c r="H8" s="497"/>
      <c r="I8" s="360"/>
      <c r="J8" s="506"/>
      <c r="K8" s="360"/>
      <c r="L8" s="425">
        <v>4</v>
      </c>
      <c r="M8" s="438">
        <v>20</v>
      </c>
      <c r="N8" s="425"/>
      <c r="O8" s="438"/>
      <c r="P8" s="424"/>
      <c r="Q8" s="438"/>
      <c r="R8" s="432"/>
      <c r="S8" s="438"/>
      <c r="T8" s="428"/>
      <c r="U8" s="438"/>
      <c r="V8" s="424"/>
      <c r="W8" s="438"/>
      <c r="X8" s="425"/>
      <c r="Y8" s="438"/>
      <c r="Z8" s="425"/>
      <c r="AA8" s="438"/>
      <c r="AB8" s="424"/>
      <c r="AC8" s="438"/>
      <c r="AD8" s="432"/>
      <c r="AE8" s="438"/>
      <c r="AG8" s="707"/>
      <c r="AH8" s="707"/>
    </row>
    <row r="9" spans="1:34" x14ac:dyDescent="0.45">
      <c r="A9" s="1">
        <v>2</v>
      </c>
      <c r="B9" s="7" t="s">
        <v>173</v>
      </c>
      <c r="C9" s="1" t="s">
        <v>174</v>
      </c>
      <c r="D9" s="507" t="s">
        <v>749</v>
      </c>
      <c r="E9" s="400"/>
      <c r="F9" s="134">
        <v>20</v>
      </c>
      <c r="G9" s="685"/>
      <c r="H9" s="455"/>
      <c r="I9" s="456"/>
      <c r="J9" s="456"/>
      <c r="K9" s="360"/>
      <c r="L9" s="428">
        <v>24</v>
      </c>
      <c r="M9" s="438">
        <v>20</v>
      </c>
      <c r="N9" s="428"/>
      <c r="O9" s="438"/>
      <c r="P9" s="428"/>
      <c r="Q9" s="438"/>
      <c r="R9" s="428"/>
      <c r="S9" s="438"/>
      <c r="T9" s="424"/>
      <c r="U9" s="438"/>
      <c r="V9" s="424"/>
      <c r="W9" s="438"/>
      <c r="X9" s="424"/>
      <c r="Y9" s="438"/>
      <c r="Z9" s="424"/>
      <c r="AA9" s="438"/>
      <c r="AB9" s="424"/>
      <c r="AC9" s="438"/>
      <c r="AD9" s="424"/>
      <c r="AE9" s="438"/>
      <c r="AG9" s="707"/>
      <c r="AH9" s="707"/>
    </row>
    <row r="10" spans="1:34" x14ac:dyDescent="0.45">
      <c r="A10" s="1">
        <v>3</v>
      </c>
      <c r="B10" s="293" t="s">
        <v>381</v>
      </c>
      <c r="C10" s="27" t="s">
        <v>382</v>
      </c>
      <c r="D10" s="507" t="s">
        <v>749</v>
      </c>
      <c r="E10" s="400"/>
      <c r="F10" s="134">
        <v>20</v>
      </c>
      <c r="G10" s="685"/>
      <c r="H10" s="428">
        <v>20</v>
      </c>
      <c r="I10" s="438">
        <v>20</v>
      </c>
      <c r="J10" s="428">
        <v>20</v>
      </c>
      <c r="K10" s="438">
        <v>20</v>
      </c>
      <c r="L10" s="428">
        <v>20</v>
      </c>
      <c r="M10" s="438">
        <v>20</v>
      </c>
      <c r="N10" s="428"/>
      <c r="O10" s="438"/>
      <c r="P10" s="428"/>
      <c r="Q10" s="438"/>
      <c r="R10" s="428"/>
      <c r="S10" s="438"/>
      <c r="T10" s="424"/>
      <c r="U10" s="438"/>
      <c r="V10" s="424"/>
      <c r="W10" s="438"/>
      <c r="X10" s="424"/>
      <c r="Y10" s="438"/>
      <c r="Z10" s="424"/>
      <c r="AA10" s="438"/>
      <c r="AB10" s="424"/>
      <c r="AC10" s="438"/>
      <c r="AD10" s="424"/>
      <c r="AE10" s="438"/>
      <c r="AG10" s="707"/>
      <c r="AH10" s="707"/>
    </row>
    <row r="11" spans="1:34" x14ac:dyDescent="0.45">
      <c r="A11" s="271">
        <v>4</v>
      </c>
      <c r="B11" s="293" t="s">
        <v>481</v>
      </c>
      <c r="C11" s="27" t="s">
        <v>483</v>
      </c>
      <c r="D11" s="507" t="s">
        <v>749</v>
      </c>
      <c r="E11" s="398" t="s">
        <v>443</v>
      </c>
      <c r="F11" s="364">
        <v>20</v>
      </c>
      <c r="G11" s="685"/>
      <c r="H11" s="428">
        <v>8</v>
      </c>
      <c r="I11" s="438">
        <v>20</v>
      </c>
      <c r="J11" s="428">
        <v>9</v>
      </c>
      <c r="K11" s="438">
        <v>20</v>
      </c>
      <c r="L11" s="428">
        <v>17</v>
      </c>
      <c r="M11" s="438">
        <v>20</v>
      </c>
      <c r="N11" s="428"/>
      <c r="O11" s="438"/>
      <c r="P11" s="428"/>
      <c r="Q11" s="438"/>
      <c r="R11" s="428"/>
      <c r="S11" s="438"/>
      <c r="T11" s="424"/>
      <c r="U11" s="438"/>
      <c r="V11" s="424"/>
      <c r="W11" s="438"/>
      <c r="X11" s="424"/>
      <c r="Y11" s="438"/>
      <c r="Z11" s="424"/>
      <c r="AA11" s="438"/>
      <c r="AB11" s="424"/>
      <c r="AC11" s="438"/>
      <c r="AD11" s="424"/>
      <c r="AE11" s="438"/>
      <c r="AG11" s="707"/>
      <c r="AH11" s="707"/>
    </row>
    <row r="12" spans="1:34" x14ac:dyDescent="0.45">
      <c r="A12" s="271">
        <v>5</v>
      </c>
      <c r="B12" s="293" t="s">
        <v>490</v>
      </c>
      <c r="C12" s="27" t="s">
        <v>489</v>
      </c>
      <c r="D12" s="507" t="s">
        <v>749</v>
      </c>
      <c r="E12" s="398"/>
      <c r="F12" s="364">
        <v>30</v>
      </c>
      <c r="G12" s="685"/>
      <c r="H12" s="428">
        <v>20</v>
      </c>
      <c r="I12" s="438">
        <v>30</v>
      </c>
      <c r="J12" s="428">
        <v>12</v>
      </c>
      <c r="K12" s="438">
        <v>30</v>
      </c>
      <c r="L12" s="428">
        <v>23</v>
      </c>
      <c r="M12" s="438">
        <v>30</v>
      </c>
      <c r="N12" s="428"/>
      <c r="O12" s="438"/>
      <c r="P12" s="428"/>
      <c r="Q12" s="438"/>
      <c r="R12" s="428"/>
      <c r="S12" s="438"/>
      <c r="T12" s="424"/>
      <c r="U12" s="438"/>
      <c r="V12" s="424"/>
      <c r="W12" s="438"/>
      <c r="X12" s="424"/>
      <c r="Y12" s="438"/>
      <c r="Z12" s="424"/>
      <c r="AA12" s="438"/>
      <c r="AB12" s="424"/>
      <c r="AC12" s="438"/>
      <c r="AD12" s="424"/>
      <c r="AE12" s="438"/>
      <c r="AG12" s="707"/>
      <c r="AH12" s="707"/>
    </row>
    <row r="13" spans="1:34" x14ac:dyDescent="0.45">
      <c r="A13" s="271">
        <v>6</v>
      </c>
      <c r="B13" s="293" t="s">
        <v>517</v>
      </c>
      <c r="C13" s="27" t="s">
        <v>703</v>
      </c>
      <c r="D13" s="507" t="s">
        <v>749</v>
      </c>
      <c r="E13" s="398" t="s">
        <v>701</v>
      </c>
      <c r="F13" s="364">
        <v>20</v>
      </c>
      <c r="G13" s="685"/>
      <c r="H13" s="428">
        <v>2</v>
      </c>
      <c r="I13" s="438">
        <v>20</v>
      </c>
      <c r="J13" s="428">
        <v>4</v>
      </c>
      <c r="K13" s="438">
        <v>20</v>
      </c>
      <c r="L13" s="428">
        <v>3</v>
      </c>
      <c r="M13" s="438">
        <v>20</v>
      </c>
      <c r="N13" s="428">
        <v>1</v>
      </c>
      <c r="O13" s="438">
        <v>20</v>
      </c>
      <c r="P13" s="428"/>
      <c r="Q13" s="438"/>
      <c r="R13" s="428"/>
      <c r="S13" s="438"/>
      <c r="T13" s="424"/>
      <c r="U13" s="438"/>
      <c r="V13" s="424"/>
      <c r="W13" s="438"/>
      <c r="X13" s="424"/>
      <c r="Y13" s="438"/>
      <c r="Z13" s="424"/>
      <c r="AA13" s="438"/>
      <c r="AB13" s="424"/>
      <c r="AC13" s="438"/>
      <c r="AD13" s="424"/>
      <c r="AE13" s="438"/>
      <c r="AG13" s="707"/>
      <c r="AH13" s="707"/>
    </row>
    <row r="14" spans="1:34" x14ac:dyDescent="0.45">
      <c r="A14" s="271">
        <v>7</v>
      </c>
      <c r="B14" s="293" t="s">
        <v>713</v>
      </c>
      <c r="C14" s="27" t="s">
        <v>714</v>
      </c>
      <c r="D14" s="507" t="s">
        <v>749</v>
      </c>
      <c r="E14" s="398"/>
      <c r="F14" s="364">
        <v>30</v>
      </c>
      <c r="G14" s="685"/>
      <c r="H14" s="455"/>
      <c r="I14" s="456"/>
      <c r="J14" s="456"/>
      <c r="K14" s="360"/>
      <c r="L14" s="445">
        <v>5</v>
      </c>
      <c r="M14" s="526">
        <v>20</v>
      </c>
      <c r="N14" s="445"/>
      <c r="O14" s="526"/>
      <c r="P14" s="445"/>
      <c r="Q14" s="526"/>
      <c r="R14" s="445"/>
      <c r="S14" s="526"/>
      <c r="T14" s="423"/>
      <c r="U14" s="526"/>
      <c r="V14" s="423"/>
      <c r="W14" s="526"/>
      <c r="X14" s="423"/>
      <c r="Y14" s="526"/>
      <c r="Z14" s="423"/>
      <c r="AA14" s="526"/>
      <c r="AB14" s="423"/>
      <c r="AC14" s="526"/>
      <c r="AD14" s="423"/>
      <c r="AE14" s="526"/>
      <c r="AG14" s="707"/>
      <c r="AH14" s="707"/>
    </row>
    <row r="15" spans="1:34" x14ac:dyDescent="0.45">
      <c r="A15" s="271">
        <v>8</v>
      </c>
      <c r="B15" s="293" t="s">
        <v>396</v>
      </c>
      <c r="C15" s="27" t="s">
        <v>412</v>
      </c>
      <c r="D15" s="507" t="s">
        <v>749</v>
      </c>
      <c r="E15" s="398" t="s">
        <v>442</v>
      </c>
      <c r="F15" s="134">
        <v>20</v>
      </c>
      <c r="G15" s="685"/>
      <c r="H15" s="428">
        <v>5</v>
      </c>
      <c r="I15" s="527">
        <v>10</v>
      </c>
      <c r="J15" s="428">
        <v>5</v>
      </c>
      <c r="K15" s="527">
        <v>10</v>
      </c>
      <c r="L15" s="428">
        <v>6</v>
      </c>
      <c r="M15" s="527">
        <v>10</v>
      </c>
      <c r="N15" s="428"/>
      <c r="O15" s="527"/>
      <c r="P15" s="428"/>
      <c r="Q15" s="527"/>
      <c r="R15" s="428"/>
      <c r="S15" s="527"/>
      <c r="T15" s="428"/>
      <c r="U15" s="527"/>
      <c r="V15" s="428"/>
      <c r="W15" s="527"/>
      <c r="X15" s="424"/>
      <c r="Y15" s="527"/>
      <c r="Z15" s="424"/>
      <c r="AA15" s="527"/>
      <c r="AB15" s="424"/>
      <c r="AC15" s="527"/>
      <c r="AD15" s="424"/>
      <c r="AE15" s="527"/>
      <c r="AG15" s="707"/>
      <c r="AH15" s="707"/>
    </row>
    <row r="16" spans="1:34" x14ac:dyDescent="0.45">
      <c r="A16" s="271">
        <v>9</v>
      </c>
      <c r="B16" s="293" t="s">
        <v>426</v>
      </c>
      <c r="C16" s="27" t="s">
        <v>429</v>
      </c>
      <c r="D16" s="507" t="s">
        <v>749</v>
      </c>
      <c r="E16" s="398"/>
      <c r="F16" s="364">
        <v>20</v>
      </c>
      <c r="G16" s="685"/>
      <c r="H16" s="427">
        <v>13</v>
      </c>
      <c r="I16" s="438">
        <v>10</v>
      </c>
      <c r="J16" s="427">
        <v>11</v>
      </c>
      <c r="K16" s="438">
        <v>10</v>
      </c>
      <c r="L16" s="468">
        <v>17</v>
      </c>
      <c r="M16" s="438">
        <v>10</v>
      </c>
      <c r="N16" s="468"/>
      <c r="O16" s="438"/>
      <c r="P16" s="468"/>
      <c r="Q16" s="438"/>
      <c r="R16" s="469"/>
      <c r="S16" s="438"/>
      <c r="T16" s="469"/>
      <c r="U16" s="438"/>
      <c r="V16" s="470"/>
      <c r="W16" s="438"/>
      <c r="X16" s="469"/>
      <c r="Y16" s="438"/>
      <c r="Z16" s="469"/>
      <c r="AA16" s="438"/>
      <c r="AB16" s="469"/>
      <c r="AC16" s="438"/>
      <c r="AD16" s="469"/>
      <c r="AE16" s="438"/>
      <c r="AG16" s="707"/>
      <c r="AH16" s="707"/>
    </row>
    <row r="17" spans="1:47" ht="18" thickBot="1" x14ac:dyDescent="0.5">
      <c r="A17" s="27"/>
      <c r="B17" s="27"/>
      <c r="C17" s="27"/>
      <c r="D17" s="507"/>
      <c r="E17" s="384"/>
      <c r="F17" s="76"/>
      <c r="G17" s="685"/>
      <c r="H17" s="428"/>
      <c r="I17" s="438"/>
      <c r="J17" s="428"/>
      <c r="K17" s="438"/>
      <c r="L17" s="428"/>
      <c r="M17" s="438"/>
      <c r="N17" s="428"/>
      <c r="O17" s="438"/>
      <c r="P17" s="428"/>
      <c r="Q17" s="438"/>
      <c r="R17" s="428"/>
      <c r="S17" s="438"/>
      <c r="T17" s="424"/>
      <c r="U17" s="438"/>
      <c r="V17" s="424"/>
      <c r="W17" s="438"/>
      <c r="X17" s="424"/>
      <c r="Y17" s="438"/>
      <c r="Z17" s="424"/>
      <c r="AA17" s="438"/>
      <c r="AB17" s="424"/>
      <c r="AC17" s="438"/>
      <c r="AD17" s="424"/>
      <c r="AE17" s="438"/>
      <c r="AG17" s="707"/>
      <c r="AH17" s="707"/>
    </row>
    <row r="18" spans="1:47" ht="22" thickTop="1" thickBot="1" x14ac:dyDescent="0.5">
      <c r="A18" s="273" t="s">
        <v>379</v>
      </c>
      <c r="B18" s="273">
        <v>9</v>
      </c>
      <c r="C18" s="116"/>
      <c r="D18" s="265"/>
      <c r="E18" s="265"/>
      <c r="F18" s="274">
        <f>SUM(F8:F17)</f>
        <v>200</v>
      </c>
      <c r="G18" s="685"/>
      <c r="H18" s="704"/>
      <c r="I18" s="704"/>
      <c r="J18" s="704"/>
      <c r="K18" s="704"/>
      <c r="L18" s="704"/>
      <c r="M18" s="704"/>
      <c r="N18" s="704"/>
      <c r="O18" s="704"/>
      <c r="P18" s="704"/>
      <c r="Q18" s="704"/>
      <c r="R18" s="704"/>
      <c r="S18" s="704"/>
      <c r="T18" s="704"/>
      <c r="U18" s="704"/>
      <c r="V18" s="704"/>
      <c r="W18" s="704"/>
      <c r="X18" s="704"/>
      <c r="Y18" s="704"/>
      <c r="Z18" s="704"/>
      <c r="AA18" s="704"/>
      <c r="AB18" s="704"/>
      <c r="AC18" s="704"/>
      <c r="AD18" s="704"/>
      <c r="AE18" s="704"/>
      <c r="AG18" s="707"/>
      <c r="AH18" s="707"/>
    </row>
    <row r="19" spans="1:47" s="27" customFormat="1" ht="17.5" customHeight="1" thickTop="1" thickBot="1" x14ac:dyDescent="0.5">
      <c r="A19" s="713"/>
      <c r="B19" s="713"/>
      <c r="C19" s="662"/>
      <c r="D19" s="662"/>
      <c r="E19" s="662"/>
      <c r="F19" s="662"/>
      <c r="G19" s="685"/>
      <c r="H19" s="698"/>
      <c r="I19" s="698"/>
      <c r="J19" s="698"/>
      <c r="K19" s="698"/>
      <c r="L19" s="698"/>
      <c r="M19" s="698"/>
      <c r="N19" s="698"/>
      <c r="O19" s="698"/>
      <c r="P19" s="698"/>
      <c r="Q19" s="698"/>
      <c r="R19" s="698"/>
      <c r="S19" s="698"/>
      <c r="T19" s="698"/>
      <c r="U19" s="698"/>
      <c r="V19" s="698"/>
      <c r="W19" s="698"/>
      <c r="X19" s="698"/>
      <c r="Y19" s="698"/>
      <c r="Z19" s="698"/>
      <c r="AA19" s="698"/>
      <c r="AB19" s="698"/>
      <c r="AC19" s="698"/>
      <c r="AD19" s="698"/>
      <c r="AE19" s="698"/>
      <c r="AF19"/>
      <c r="AG19" s="707"/>
      <c r="AH19" s="707"/>
      <c r="AI19"/>
      <c r="AJ19"/>
      <c r="AK19"/>
      <c r="AL19"/>
      <c r="AM19"/>
      <c r="AN19"/>
      <c r="AO19" s="37"/>
      <c r="AP19" s="37"/>
      <c r="AQ19" s="37"/>
      <c r="AR19" s="37"/>
      <c r="AS19" s="37"/>
      <c r="AT19" s="37"/>
      <c r="AU19" s="37"/>
    </row>
    <row r="20" spans="1:47" s="27" customFormat="1" ht="17.5" customHeight="1" thickTop="1" thickBot="1" x14ac:dyDescent="0.5">
      <c r="A20" s="658" t="s">
        <v>466</v>
      </c>
      <c r="B20" s="659"/>
      <c r="C20" s="687"/>
      <c r="D20" s="687"/>
      <c r="E20" s="687"/>
      <c r="F20" s="687"/>
      <c r="G20" s="685"/>
      <c r="H20" s="698"/>
      <c r="I20" s="698"/>
      <c r="J20" s="698"/>
      <c r="K20" s="698"/>
      <c r="L20" s="698"/>
      <c r="M20" s="698"/>
      <c r="N20" s="698"/>
      <c r="O20" s="698"/>
      <c r="P20" s="698"/>
      <c r="Q20" s="698"/>
      <c r="R20" s="698"/>
      <c r="S20" s="698"/>
      <c r="T20" s="698"/>
      <c r="U20" s="698"/>
      <c r="V20" s="698"/>
      <c r="W20" s="698"/>
      <c r="X20" s="698"/>
      <c r="Y20" s="698"/>
      <c r="Z20" s="698"/>
      <c r="AA20" s="698"/>
      <c r="AB20" s="698"/>
      <c r="AC20" s="698"/>
      <c r="AD20" s="698"/>
      <c r="AE20" s="698"/>
      <c r="AF20"/>
      <c r="AG20" s="707"/>
      <c r="AH20" s="707"/>
      <c r="AI20"/>
      <c r="AJ20"/>
      <c r="AK20"/>
      <c r="AL20"/>
      <c r="AM20"/>
      <c r="AN20"/>
      <c r="AO20" s="37"/>
      <c r="AP20" s="37"/>
      <c r="AQ20" s="37"/>
      <c r="AR20" s="37"/>
      <c r="AS20" s="37"/>
      <c r="AT20" s="37"/>
      <c r="AU20" s="37"/>
    </row>
    <row r="21" spans="1:47" s="27" customFormat="1" ht="17.5" customHeight="1" thickTop="1" x14ac:dyDescent="0.45">
      <c r="A21" s="27" t="s">
        <v>296</v>
      </c>
      <c r="B21" s="27" t="s">
        <v>388</v>
      </c>
      <c r="C21" s="27" t="s">
        <v>374</v>
      </c>
      <c r="D21" s="508" t="s">
        <v>751</v>
      </c>
      <c r="E21" s="400" t="s">
        <v>479</v>
      </c>
      <c r="F21" s="134">
        <v>20</v>
      </c>
      <c r="G21" s="685"/>
      <c r="H21" s="426">
        <v>23</v>
      </c>
      <c r="I21" s="528">
        <v>20</v>
      </c>
      <c r="J21" s="529">
        <v>27</v>
      </c>
      <c r="K21" s="528">
        <v>20</v>
      </c>
      <c r="L21" s="529">
        <v>1</v>
      </c>
      <c r="M21" s="528">
        <v>20</v>
      </c>
      <c r="N21" s="529"/>
      <c r="O21" s="528"/>
      <c r="P21" s="529"/>
      <c r="Q21" s="528"/>
      <c r="R21" s="426"/>
      <c r="S21" s="528"/>
      <c r="T21" s="426"/>
      <c r="U21" s="528"/>
      <c r="V21" s="530"/>
      <c r="W21" s="528"/>
      <c r="X21" s="426"/>
      <c r="Y21" s="528"/>
      <c r="Z21" s="426"/>
      <c r="AA21" s="528"/>
      <c r="AB21" s="426"/>
      <c r="AC21" s="528"/>
      <c r="AD21" s="426"/>
      <c r="AE21" s="528"/>
      <c r="AF21"/>
      <c r="AG21" s="707"/>
      <c r="AH21" s="707"/>
      <c r="AI21"/>
      <c r="AJ21"/>
      <c r="AK21"/>
      <c r="AL21"/>
      <c r="AM21"/>
      <c r="AN21"/>
      <c r="AO21" s="37"/>
      <c r="AP21" s="37"/>
      <c r="AQ21" s="37"/>
      <c r="AR21" s="37"/>
      <c r="AS21" s="37"/>
      <c r="AT21" s="37"/>
      <c r="AU21" s="37"/>
    </row>
    <row r="22" spans="1:47" x14ac:dyDescent="0.45">
      <c r="A22" s="271">
        <v>3</v>
      </c>
      <c r="B22" s="293" t="s">
        <v>700</v>
      </c>
      <c r="C22" s="27" t="s">
        <v>709</v>
      </c>
      <c r="D22" s="508" t="s">
        <v>751</v>
      </c>
      <c r="E22" s="398"/>
      <c r="F22" s="364">
        <v>10</v>
      </c>
      <c r="G22" s="685"/>
      <c r="H22" s="428">
        <v>2</v>
      </c>
      <c r="I22" s="438">
        <v>10</v>
      </c>
      <c r="J22" s="427">
        <v>2</v>
      </c>
      <c r="K22" s="438">
        <v>10</v>
      </c>
      <c r="L22" s="468">
        <v>15</v>
      </c>
      <c r="M22" s="438">
        <v>10</v>
      </c>
      <c r="N22" s="468"/>
      <c r="O22" s="438"/>
      <c r="P22" s="468"/>
      <c r="Q22" s="438"/>
      <c r="R22" s="469"/>
      <c r="S22" s="438"/>
      <c r="T22" s="469"/>
      <c r="U22" s="438"/>
      <c r="V22" s="470"/>
      <c r="W22" s="438"/>
      <c r="X22" s="469"/>
      <c r="Y22" s="438"/>
      <c r="Z22" s="469"/>
      <c r="AA22" s="438"/>
      <c r="AB22" s="469"/>
      <c r="AC22" s="438"/>
      <c r="AD22" s="469"/>
      <c r="AE22" s="438"/>
      <c r="AG22" s="707"/>
      <c r="AH22" s="707"/>
    </row>
    <row r="23" spans="1:47" x14ac:dyDescent="0.45">
      <c r="A23" s="271">
        <v>4</v>
      </c>
      <c r="B23" s="293" t="s">
        <v>711</v>
      </c>
      <c r="C23" s="27" t="s">
        <v>712</v>
      </c>
      <c r="D23" s="508" t="s">
        <v>751</v>
      </c>
      <c r="E23" s="398"/>
      <c r="F23" s="364">
        <v>10</v>
      </c>
      <c r="G23" s="685"/>
      <c r="H23" s="455"/>
      <c r="I23" s="456"/>
      <c r="J23" s="427">
        <v>24</v>
      </c>
      <c r="K23" s="438">
        <v>10</v>
      </c>
      <c r="L23" s="468">
        <v>31</v>
      </c>
      <c r="M23" s="438">
        <v>10</v>
      </c>
      <c r="N23" s="468"/>
      <c r="O23" s="438"/>
      <c r="P23" s="468"/>
      <c r="Q23" s="438"/>
      <c r="R23" s="469"/>
      <c r="S23" s="438"/>
      <c r="T23" s="469"/>
      <c r="U23" s="438"/>
      <c r="V23" s="470"/>
      <c r="W23" s="438"/>
      <c r="X23" s="469"/>
      <c r="Y23" s="438"/>
      <c r="Z23" s="469"/>
      <c r="AA23" s="438"/>
      <c r="AB23" s="469"/>
      <c r="AC23" s="438"/>
      <c r="AD23" s="469"/>
      <c r="AE23" s="438"/>
      <c r="AG23" s="707"/>
      <c r="AH23" s="707"/>
    </row>
    <row r="24" spans="1:47" x14ac:dyDescent="0.45">
      <c r="A24" s="271" t="s">
        <v>696</v>
      </c>
      <c r="B24" s="293" t="s">
        <v>719</v>
      </c>
      <c r="C24" s="27" t="s">
        <v>722</v>
      </c>
      <c r="D24" s="508" t="s">
        <v>751</v>
      </c>
      <c r="E24" s="398" t="s">
        <v>278</v>
      </c>
      <c r="F24" s="364">
        <v>20</v>
      </c>
      <c r="G24" s="685"/>
      <c r="H24" s="455"/>
      <c r="I24" s="456"/>
      <c r="J24" s="427">
        <v>27</v>
      </c>
      <c r="K24" s="438">
        <v>20</v>
      </c>
      <c r="L24" s="468">
        <v>31</v>
      </c>
      <c r="M24" s="438">
        <v>20</v>
      </c>
      <c r="N24" s="468"/>
      <c r="O24" s="438"/>
      <c r="P24" s="468"/>
      <c r="Q24" s="438"/>
      <c r="R24" s="469"/>
      <c r="S24" s="438"/>
      <c r="T24" s="469"/>
      <c r="U24" s="438"/>
      <c r="V24" s="470"/>
      <c r="W24" s="438"/>
      <c r="X24" s="469"/>
      <c r="Y24" s="438"/>
      <c r="Z24" s="469"/>
      <c r="AA24" s="438"/>
      <c r="AB24" s="469"/>
      <c r="AC24" s="438"/>
      <c r="AD24" s="469"/>
      <c r="AE24" s="438"/>
      <c r="AG24" s="707"/>
      <c r="AH24" s="707"/>
    </row>
    <row r="25" spans="1:47" x14ac:dyDescent="0.45">
      <c r="A25" s="271">
        <v>7</v>
      </c>
      <c r="B25" s="293" t="s">
        <v>715</v>
      </c>
      <c r="C25" s="27" t="s">
        <v>716</v>
      </c>
      <c r="D25" s="508" t="s">
        <v>751</v>
      </c>
      <c r="E25" s="507" t="s">
        <v>717</v>
      </c>
      <c r="F25" s="364">
        <v>10</v>
      </c>
      <c r="G25" s="685"/>
      <c r="H25" s="455"/>
      <c r="I25" s="456"/>
      <c r="J25" s="456"/>
      <c r="K25" s="360"/>
      <c r="L25" s="468">
        <v>10</v>
      </c>
      <c r="M25" s="438">
        <v>10</v>
      </c>
      <c r="N25" s="468"/>
      <c r="O25" s="438"/>
      <c r="P25" s="468"/>
      <c r="Q25" s="438"/>
      <c r="R25" s="469"/>
      <c r="S25" s="438"/>
      <c r="T25" s="469"/>
      <c r="U25" s="438"/>
      <c r="V25" s="470"/>
      <c r="W25" s="438"/>
      <c r="X25" s="469"/>
      <c r="Y25" s="438"/>
      <c r="Z25" s="469"/>
      <c r="AA25" s="438"/>
      <c r="AB25" s="469"/>
      <c r="AC25" s="438"/>
      <c r="AD25" s="469"/>
      <c r="AE25" s="438"/>
      <c r="AG25" s="707"/>
      <c r="AH25" s="707"/>
    </row>
    <row r="26" spans="1:47" x14ac:dyDescent="0.45">
      <c r="A26" s="271">
        <v>8</v>
      </c>
      <c r="B26" s="293" t="s">
        <v>735</v>
      </c>
      <c r="C26" s="27" t="s">
        <v>736</v>
      </c>
      <c r="D26" s="508" t="s">
        <v>751</v>
      </c>
      <c r="E26" s="507" t="s">
        <v>396</v>
      </c>
      <c r="F26" s="364">
        <v>10</v>
      </c>
      <c r="G26" s="685"/>
      <c r="H26" s="455"/>
      <c r="I26" s="456"/>
      <c r="J26" s="456"/>
      <c r="K26" s="360"/>
      <c r="L26" s="468">
        <v>25</v>
      </c>
      <c r="M26" s="438">
        <v>10</v>
      </c>
      <c r="N26" s="468"/>
      <c r="O26" s="438"/>
      <c r="P26" s="468"/>
      <c r="Q26" s="438"/>
      <c r="R26" s="469"/>
      <c r="S26" s="438"/>
      <c r="T26" s="469"/>
      <c r="U26" s="438"/>
      <c r="V26" s="470"/>
      <c r="W26" s="438"/>
      <c r="X26" s="469"/>
      <c r="Y26" s="438"/>
      <c r="Z26" s="469"/>
      <c r="AA26" s="438"/>
      <c r="AB26" s="469"/>
      <c r="AC26" s="438"/>
      <c r="AD26" s="469"/>
      <c r="AE26" s="438"/>
      <c r="AG26" s="707"/>
      <c r="AH26" s="707"/>
    </row>
    <row r="27" spans="1:47" x14ac:dyDescent="0.45">
      <c r="A27" s="271">
        <v>9</v>
      </c>
      <c r="B27" s="293" t="s">
        <v>743</v>
      </c>
      <c r="C27" s="27" t="s">
        <v>744</v>
      </c>
      <c r="D27" s="508" t="s">
        <v>751</v>
      </c>
      <c r="E27" s="398"/>
      <c r="F27" s="364">
        <v>10</v>
      </c>
      <c r="G27" s="685"/>
      <c r="H27" s="455"/>
      <c r="I27" s="456"/>
      <c r="J27" s="456"/>
      <c r="K27" s="360"/>
      <c r="L27" s="468">
        <v>31</v>
      </c>
      <c r="M27" s="438">
        <v>10</v>
      </c>
      <c r="N27" s="468"/>
      <c r="O27" s="438"/>
      <c r="P27" s="468"/>
      <c r="Q27" s="438"/>
      <c r="R27" s="469"/>
      <c r="S27" s="438"/>
      <c r="T27" s="469"/>
      <c r="U27" s="438"/>
      <c r="V27" s="470"/>
      <c r="W27" s="438"/>
      <c r="X27" s="469"/>
      <c r="Y27" s="438"/>
      <c r="Z27" s="469"/>
      <c r="AA27" s="438"/>
      <c r="AB27" s="469"/>
      <c r="AC27" s="438"/>
      <c r="AD27" s="469"/>
      <c r="AE27" s="438"/>
      <c r="AG27" s="707"/>
      <c r="AH27" s="707"/>
    </row>
    <row r="28" spans="1:47" x14ac:dyDescent="0.45">
      <c r="A28" s="271">
        <v>10</v>
      </c>
      <c r="B28" s="293" t="s">
        <v>745</v>
      </c>
      <c r="C28" s="27" t="s">
        <v>746</v>
      </c>
      <c r="D28" s="508" t="s">
        <v>751</v>
      </c>
      <c r="E28" s="398"/>
      <c r="F28" s="364">
        <v>10</v>
      </c>
      <c r="G28" s="685"/>
      <c r="H28" s="455"/>
      <c r="I28" s="456"/>
      <c r="J28" s="456"/>
      <c r="K28" s="360"/>
      <c r="L28" s="468">
        <v>31</v>
      </c>
      <c r="M28" s="438">
        <v>10</v>
      </c>
      <c r="N28" s="468"/>
      <c r="O28" s="438"/>
      <c r="P28" s="468"/>
      <c r="Q28" s="438"/>
      <c r="R28" s="469"/>
      <c r="S28" s="438"/>
      <c r="T28" s="469"/>
      <c r="U28" s="438"/>
      <c r="V28" s="470"/>
      <c r="W28" s="438"/>
      <c r="X28" s="469"/>
      <c r="Y28" s="438"/>
      <c r="Z28" s="469"/>
      <c r="AA28" s="438"/>
      <c r="AB28" s="469"/>
      <c r="AC28" s="438"/>
      <c r="AD28" s="469"/>
      <c r="AE28" s="438"/>
      <c r="AG28" s="707"/>
      <c r="AH28" s="707"/>
    </row>
    <row r="29" spans="1:47" x14ac:dyDescent="0.45">
      <c r="A29" s="271"/>
      <c r="B29" s="293"/>
      <c r="C29" s="27"/>
      <c r="D29" s="507"/>
      <c r="E29" s="398"/>
      <c r="F29" s="364"/>
      <c r="G29" s="685"/>
      <c r="H29" s="455"/>
      <c r="I29" s="456"/>
      <c r="J29" s="456"/>
      <c r="K29" s="360"/>
      <c r="L29" s="468"/>
      <c r="M29" s="438"/>
      <c r="N29" s="468"/>
      <c r="O29" s="438"/>
      <c r="P29" s="468"/>
      <c r="Q29" s="438"/>
      <c r="R29" s="469"/>
      <c r="S29" s="438"/>
      <c r="T29" s="469"/>
      <c r="U29" s="438"/>
      <c r="V29" s="470"/>
      <c r="W29" s="438"/>
      <c r="X29" s="469"/>
      <c r="Y29" s="438"/>
      <c r="Z29" s="469"/>
      <c r="AA29" s="438"/>
      <c r="AB29" s="469"/>
      <c r="AC29" s="438"/>
      <c r="AD29" s="469"/>
      <c r="AE29" s="438"/>
      <c r="AG29" s="707"/>
      <c r="AH29" s="707"/>
    </row>
    <row r="30" spans="1:47" ht="17.5" thickBot="1" x14ac:dyDescent="0.5">
      <c r="A30" s="271" t="s">
        <v>747</v>
      </c>
      <c r="B30" s="293" t="s">
        <v>697</v>
      </c>
      <c r="C30" s="27" t="s">
        <v>707</v>
      </c>
      <c r="D30" s="508" t="s">
        <v>751</v>
      </c>
      <c r="E30" s="392"/>
      <c r="F30" s="514">
        <v>0</v>
      </c>
      <c r="G30" s="685"/>
      <c r="H30" s="510"/>
      <c r="I30" s="458"/>
      <c r="J30" s="458"/>
      <c r="K30" s="458"/>
      <c r="L30" s="458"/>
      <c r="M30" s="458"/>
      <c r="N30" s="458"/>
      <c r="O30" s="458"/>
      <c r="P30" s="458"/>
      <c r="Q30" s="458"/>
      <c r="R30" s="458"/>
      <c r="S30" s="458"/>
      <c r="T30" s="458"/>
      <c r="U30" s="458"/>
      <c r="V30" s="458"/>
      <c r="W30" s="458"/>
      <c r="X30" s="458"/>
      <c r="Y30" s="458"/>
      <c r="Z30" s="458"/>
      <c r="AA30" s="458"/>
      <c r="AB30" s="458"/>
      <c r="AC30" s="458"/>
      <c r="AD30" s="458"/>
      <c r="AE30" s="522"/>
      <c r="AG30" s="707"/>
      <c r="AH30" s="707"/>
    </row>
    <row r="31" spans="1:47" ht="26.5" thickTop="1" thickBot="1" x14ac:dyDescent="0.5">
      <c r="A31" s="273" t="s">
        <v>379</v>
      </c>
      <c r="B31" s="273">
        <v>12</v>
      </c>
      <c r="C31" s="116"/>
      <c r="D31" s="265"/>
      <c r="E31" s="385"/>
      <c r="F31" s="274">
        <f>SUM(F21:F30)</f>
        <v>100</v>
      </c>
      <c r="G31" s="685"/>
      <c r="H31" s="698"/>
      <c r="I31" s="698"/>
      <c r="J31" s="698"/>
      <c r="K31" s="698"/>
      <c r="L31" s="698"/>
      <c r="M31" s="698"/>
      <c r="N31" s="698"/>
      <c r="O31" s="698"/>
      <c r="P31" s="698"/>
      <c r="Q31" s="698"/>
      <c r="R31" s="698"/>
      <c r="S31" s="698"/>
      <c r="T31" s="698"/>
      <c r="U31" s="698"/>
      <c r="V31" s="698"/>
      <c r="W31" s="698"/>
      <c r="X31" s="698"/>
      <c r="Y31" s="698"/>
      <c r="Z31" s="698"/>
      <c r="AA31" s="698"/>
      <c r="AB31" s="698"/>
      <c r="AC31" s="698"/>
      <c r="AD31" s="698"/>
      <c r="AE31" s="509">
        <f>SUM(I21:I30,K21:K30,M21:M30,O21:O30,Q21:Q30,S21:S30,U21:U30,W21:W30,Y21:Y30,AA21:AA30,AC21:AC30,AE21:AE30)</f>
        <v>190</v>
      </c>
      <c r="AG31" s="707"/>
      <c r="AH31" s="707"/>
    </row>
    <row r="32" spans="1:47" ht="18" thickTop="1" thickBot="1" x14ac:dyDescent="0.5">
      <c r="A32" s="713"/>
      <c r="B32" s="713"/>
      <c r="C32" s="662"/>
      <c r="D32" s="662"/>
      <c r="E32" s="662"/>
      <c r="F32" s="662"/>
      <c r="G32" s="685"/>
      <c r="H32" s="698"/>
      <c r="I32" s="698"/>
      <c r="J32" s="698"/>
      <c r="K32" s="698"/>
      <c r="L32" s="698"/>
      <c r="M32" s="698"/>
      <c r="N32" s="698"/>
      <c r="O32" s="698"/>
      <c r="P32" s="698"/>
      <c r="Q32" s="698"/>
      <c r="R32" s="698"/>
      <c r="S32" s="698"/>
      <c r="T32" s="698"/>
      <c r="U32" s="698"/>
      <c r="V32" s="698"/>
      <c r="W32" s="698"/>
      <c r="X32" s="698"/>
      <c r="Y32" s="698"/>
      <c r="Z32" s="698"/>
      <c r="AA32" s="698"/>
      <c r="AB32" s="698"/>
      <c r="AC32" s="698"/>
      <c r="AD32" s="698"/>
      <c r="AE32" s="504"/>
      <c r="AG32" s="707"/>
      <c r="AH32" s="707"/>
    </row>
    <row r="33" spans="1:34" ht="22" thickTop="1" thickBot="1" x14ac:dyDescent="0.5">
      <c r="A33" s="658" t="s">
        <v>741</v>
      </c>
      <c r="B33" s="659"/>
      <c r="C33" s="687"/>
      <c r="D33" s="687"/>
      <c r="E33" s="687"/>
      <c r="F33" s="687"/>
      <c r="G33" s="685"/>
      <c r="H33" s="698"/>
      <c r="I33" s="698"/>
      <c r="J33" s="698"/>
      <c r="K33" s="698"/>
      <c r="L33" s="698"/>
      <c r="M33" s="698"/>
      <c r="N33" s="698"/>
      <c r="O33" s="698"/>
      <c r="P33" s="698"/>
      <c r="Q33" s="698"/>
      <c r="R33" s="698"/>
      <c r="S33" s="698"/>
      <c r="T33" s="698"/>
      <c r="U33" s="698"/>
      <c r="V33" s="698"/>
      <c r="W33" s="698"/>
      <c r="X33" s="698"/>
      <c r="Y33" s="698"/>
      <c r="Z33" s="698"/>
      <c r="AA33" s="698"/>
      <c r="AB33" s="698"/>
      <c r="AC33" s="698"/>
      <c r="AD33" s="698"/>
      <c r="AE33"/>
      <c r="AG33" s="707"/>
      <c r="AH33" s="707"/>
    </row>
    <row r="34" spans="1:34" ht="17.5" thickTop="1" x14ac:dyDescent="0.45">
      <c r="A34" s="36">
        <v>1</v>
      </c>
      <c r="B34" s="421" t="s">
        <v>10</v>
      </c>
      <c r="C34" s="1" t="s">
        <v>32</v>
      </c>
      <c r="D34" s="507" t="s">
        <v>752</v>
      </c>
      <c r="E34" s="387"/>
      <c r="F34" s="364">
        <v>10</v>
      </c>
      <c r="G34" s="685"/>
      <c r="H34" s="473">
        <v>5</v>
      </c>
      <c r="I34" s="472">
        <v>10</v>
      </c>
      <c r="J34" s="473">
        <v>5</v>
      </c>
      <c r="K34" s="472">
        <v>10</v>
      </c>
      <c r="L34" s="473">
        <v>6</v>
      </c>
      <c r="M34" s="472">
        <v>10</v>
      </c>
      <c r="N34" s="473"/>
      <c r="O34" s="472"/>
      <c r="P34" s="473"/>
      <c r="Q34" s="472"/>
      <c r="R34" s="473"/>
      <c r="S34" s="472"/>
      <c r="T34" s="473"/>
      <c r="U34" s="472"/>
      <c r="V34" s="473"/>
      <c r="W34" s="472"/>
      <c r="X34" s="474"/>
      <c r="Y34" s="472"/>
      <c r="Z34" s="474"/>
      <c r="AA34" s="472"/>
      <c r="AB34" s="474"/>
      <c r="AC34" s="472"/>
      <c r="AD34" s="474"/>
      <c r="AE34" s="472"/>
      <c r="AG34" s="707"/>
      <c r="AH34" s="707"/>
    </row>
    <row r="35" spans="1:34" x14ac:dyDescent="0.45">
      <c r="A35" s="271">
        <v>2</v>
      </c>
      <c r="B35" s="417" t="s">
        <v>163</v>
      </c>
      <c r="C35" s="1" t="s">
        <v>131</v>
      </c>
      <c r="D35" s="507" t="s">
        <v>752</v>
      </c>
      <c r="E35" s="382"/>
      <c r="F35" s="134">
        <v>10</v>
      </c>
      <c r="G35" s="685"/>
      <c r="H35" s="428">
        <v>8</v>
      </c>
      <c r="I35" s="438">
        <v>10</v>
      </c>
      <c r="J35" s="428">
        <v>2</v>
      </c>
      <c r="K35" s="438">
        <v>20</v>
      </c>
      <c r="L35" s="428">
        <v>4</v>
      </c>
      <c r="M35" s="438">
        <v>10</v>
      </c>
      <c r="N35" s="428">
        <v>1</v>
      </c>
      <c r="O35" s="438">
        <v>10</v>
      </c>
      <c r="P35" s="428"/>
      <c r="Q35" s="438"/>
      <c r="R35" s="428"/>
      <c r="S35" s="438"/>
      <c r="T35" s="424"/>
      <c r="U35" s="438"/>
      <c r="V35" s="424"/>
      <c r="W35" s="438"/>
      <c r="X35" s="424"/>
      <c r="Y35" s="438"/>
      <c r="Z35" s="424"/>
      <c r="AA35" s="438"/>
      <c r="AB35" s="424"/>
      <c r="AC35" s="438"/>
      <c r="AD35" s="424"/>
      <c r="AE35" s="438"/>
      <c r="AG35" s="707"/>
      <c r="AH35" s="707"/>
    </row>
    <row r="36" spans="1:34" x14ac:dyDescent="0.45">
      <c r="A36" s="271">
        <v>3</v>
      </c>
      <c r="B36" s="418" t="s">
        <v>413</v>
      </c>
      <c r="C36" s="27" t="s">
        <v>414</v>
      </c>
      <c r="D36" s="507" t="s">
        <v>752</v>
      </c>
      <c r="E36" s="398" t="s">
        <v>443</v>
      </c>
      <c r="F36" s="134">
        <v>20</v>
      </c>
      <c r="G36" s="685"/>
      <c r="H36" s="428">
        <v>14</v>
      </c>
      <c r="I36" s="438">
        <v>20</v>
      </c>
      <c r="J36" s="428">
        <v>10</v>
      </c>
      <c r="K36" s="438">
        <v>20</v>
      </c>
      <c r="L36" s="428">
        <v>16</v>
      </c>
      <c r="M36" s="438">
        <v>20</v>
      </c>
      <c r="N36" s="428"/>
      <c r="O36" s="438"/>
      <c r="P36" s="428"/>
      <c r="Q36" s="438"/>
      <c r="R36" s="428"/>
      <c r="S36" s="438"/>
      <c r="T36" s="424"/>
      <c r="U36" s="438"/>
      <c r="V36" s="424"/>
      <c r="W36" s="438"/>
      <c r="X36" s="424"/>
      <c r="Y36" s="438"/>
      <c r="Z36" s="424"/>
      <c r="AA36" s="438"/>
      <c r="AB36" s="424"/>
      <c r="AC36" s="438"/>
      <c r="AD36" s="424"/>
      <c r="AE36" s="438"/>
      <c r="AG36" s="707"/>
      <c r="AH36" s="707"/>
    </row>
    <row r="37" spans="1:34" x14ac:dyDescent="0.45">
      <c r="A37" s="271">
        <v>4</v>
      </c>
      <c r="B37" s="418" t="s">
        <v>508</v>
      </c>
      <c r="C37" s="27" t="s">
        <v>509</v>
      </c>
      <c r="D37" s="507" t="s">
        <v>752</v>
      </c>
      <c r="E37" s="382"/>
      <c r="F37" s="395">
        <v>20</v>
      </c>
      <c r="G37" s="685"/>
      <c r="H37" s="455"/>
      <c r="I37" s="456"/>
      <c r="J37" s="456"/>
      <c r="K37" s="360"/>
      <c r="L37" s="428">
        <v>24</v>
      </c>
      <c r="M37" s="438">
        <v>20</v>
      </c>
      <c r="N37" s="428"/>
      <c r="O37" s="438"/>
      <c r="P37" s="428"/>
      <c r="Q37" s="438"/>
      <c r="R37" s="428"/>
      <c r="S37" s="438"/>
      <c r="T37" s="424"/>
      <c r="U37" s="438"/>
      <c r="V37" s="424"/>
      <c r="W37" s="438"/>
      <c r="X37" s="424"/>
      <c r="Y37" s="438"/>
      <c r="Z37" s="424"/>
      <c r="AA37" s="438"/>
      <c r="AB37" s="424"/>
      <c r="AC37" s="438"/>
      <c r="AD37" s="424"/>
      <c r="AE37" s="438"/>
      <c r="AG37" s="707"/>
      <c r="AH37" s="707"/>
    </row>
    <row r="38" spans="1:34" x14ac:dyDescent="0.45">
      <c r="A38" s="271">
        <v>5</v>
      </c>
      <c r="B38" s="418" t="s">
        <v>516</v>
      </c>
      <c r="C38" s="27" t="s">
        <v>704</v>
      </c>
      <c r="D38" s="507" t="s">
        <v>752</v>
      </c>
      <c r="E38" s="382"/>
      <c r="F38" s="395">
        <v>20</v>
      </c>
      <c r="G38" s="685"/>
      <c r="H38" s="428">
        <v>31</v>
      </c>
      <c r="I38" s="438">
        <v>20</v>
      </c>
      <c r="J38" s="456"/>
      <c r="K38" s="360"/>
      <c r="L38" s="428">
        <v>14</v>
      </c>
      <c r="M38" s="438">
        <v>20</v>
      </c>
      <c r="N38" s="428"/>
      <c r="O38" s="438"/>
      <c r="P38" s="428"/>
      <c r="Q38" s="438"/>
      <c r="R38" s="428"/>
      <c r="S38" s="438"/>
      <c r="T38" s="424"/>
      <c r="U38" s="438"/>
      <c r="V38" s="424"/>
      <c r="W38" s="438"/>
      <c r="X38" s="424"/>
      <c r="Y38" s="438"/>
      <c r="Z38" s="424"/>
      <c r="AA38" s="438"/>
      <c r="AB38" s="424"/>
      <c r="AC38" s="438"/>
      <c r="AD38" s="424"/>
      <c r="AE38" s="438"/>
      <c r="AG38" s="707"/>
      <c r="AH38" s="707"/>
    </row>
    <row r="39" spans="1:34" x14ac:dyDescent="0.45">
      <c r="A39" s="271">
        <v>6</v>
      </c>
      <c r="B39" s="418" t="s">
        <v>529</v>
      </c>
      <c r="C39" s="27" t="s">
        <v>705</v>
      </c>
      <c r="D39" s="507" t="s">
        <v>752</v>
      </c>
      <c r="E39" s="382"/>
      <c r="F39" s="395">
        <v>20</v>
      </c>
      <c r="G39" s="685"/>
      <c r="H39" s="428">
        <v>10</v>
      </c>
      <c r="I39" s="438">
        <v>20</v>
      </c>
      <c r="J39" s="428">
        <v>12</v>
      </c>
      <c r="K39" s="438">
        <v>20</v>
      </c>
      <c r="L39" s="428">
        <v>12</v>
      </c>
      <c r="M39" s="438">
        <v>20</v>
      </c>
      <c r="N39" s="428"/>
      <c r="O39" s="438"/>
      <c r="P39" s="428"/>
      <c r="Q39" s="438"/>
      <c r="R39" s="428"/>
      <c r="S39" s="438"/>
      <c r="T39" s="424"/>
      <c r="U39" s="438"/>
      <c r="V39" s="424"/>
      <c r="W39" s="438"/>
      <c r="X39" s="424"/>
      <c r="Y39" s="438"/>
      <c r="Z39" s="424"/>
      <c r="AA39" s="438"/>
      <c r="AB39" s="424"/>
      <c r="AC39" s="438"/>
      <c r="AD39" s="424"/>
      <c r="AE39" s="438"/>
      <c r="AG39" s="707"/>
      <c r="AH39" s="707"/>
    </row>
    <row r="40" spans="1:34" x14ac:dyDescent="0.45">
      <c r="A40" s="271">
        <v>7</v>
      </c>
      <c r="B40" s="418" t="s">
        <v>530</v>
      </c>
      <c r="C40" s="27" t="s">
        <v>706</v>
      </c>
      <c r="D40" s="507" t="s">
        <v>752</v>
      </c>
      <c r="E40" s="382"/>
      <c r="F40" s="395">
        <v>20</v>
      </c>
      <c r="G40" s="685"/>
      <c r="H40" s="428">
        <v>14</v>
      </c>
      <c r="I40" s="438">
        <v>15</v>
      </c>
      <c r="J40" s="428">
        <v>25</v>
      </c>
      <c r="K40" s="438">
        <v>20</v>
      </c>
      <c r="L40" s="428">
        <v>25</v>
      </c>
      <c r="M40" s="438">
        <v>20</v>
      </c>
      <c r="N40" s="428"/>
      <c r="O40" s="438"/>
      <c r="P40" s="428"/>
      <c r="Q40" s="438"/>
      <c r="R40" s="428"/>
      <c r="S40" s="438"/>
      <c r="T40" s="424"/>
      <c r="U40" s="438"/>
      <c r="V40" s="424"/>
      <c r="W40" s="438"/>
      <c r="X40" s="424"/>
      <c r="Y40" s="438"/>
      <c r="Z40" s="424"/>
      <c r="AA40" s="438"/>
      <c r="AB40" s="424"/>
      <c r="AC40" s="438"/>
      <c r="AD40" s="424"/>
      <c r="AE40" s="438"/>
      <c r="AG40" s="707"/>
      <c r="AH40" s="707"/>
    </row>
    <row r="41" spans="1:34" x14ac:dyDescent="0.45">
      <c r="A41" s="271">
        <v>8</v>
      </c>
      <c r="B41" s="418" t="s">
        <v>8</v>
      </c>
      <c r="C41" s="27" t="s">
        <v>31</v>
      </c>
      <c r="D41" s="507" t="s">
        <v>752</v>
      </c>
      <c r="E41" s="401"/>
      <c r="F41" s="395">
        <v>10</v>
      </c>
      <c r="G41" s="685"/>
      <c r="H41" s="455"/>
      <c r="I41" s="456"/>
      <c r="J41" s="428">
        <v>11</v>
      </c>
      <c r="K41" s="438">
        <v>10</v>
      </c>
      <c r="L41" s="428">
        <v>11</v>
      </c>
      <c r="M41" s="438">
        <v>10</v>
      </c>
      <c r="N41" s="428"/>
      <c r="O41" s="438"/>
      <c r="P41" s="428"/>
      <c r="Q41" s="438"/>
      <c r="R41" s="428"/>
      <c r="S41" s="438"/>
      <c r="T41" s="424"/>
      <c r="U41" s="438"/>
      <c r="V41" s="424"/>
      <c r="W41" s="438"/>
      <c r="X41" s="424"/>
      <c r="Y41" s="438"/>
      <c r="Z41" s="424"/>
      <c r="AA41" s="438"/>
      <c r="AB41" s="424"/>
      <c r="AC41" s="438"/>
      <c r="AD41" s="424"/>
      <c r="AE41" s="438"/>
      <c r="AG41" s="707"/>
      <c r="AH41" s="707"/>
    </row>
    <row r="42" spans="1:34" x14ac:dyDescent="0.45">
      <c r="A42" s="271">
        <v>9</v>
      </c>
      <c r="B42" s="418" t="s">
        <v>515</v>
      </c>
      <c r="C42" s="27" t="s">
        <v>742</v>
      </c>
      <c r="D42" s="507" t="s">
        <v>752</v>
      </c>
      <c r="E42" s="511"/>
      <c r="F42" s="451">
        <v>20</v>
      </c>
      <c r="G42" s="685"/>
      <c r="H42" s="455"/>
      <c r="I42" s="456"/>
      <c r="J42" s="456"/>
      <c r="K42" s="360"/>
      <c r="L42" s="456"/>
      <c r="M42" s="360"/>
      <c r="N42" s="428"/>
      <c r="O42" s="438"/>
      <c r="P42" s="428"/>
      <c r="Q42" s="438"/>
      <c r="R42" s="428"/>
      <c r="S42" s="438"/>
      <c r="T42" s="424"/>
      <c r="U42" s="438"/>
      <c r="V42" s="424"/>
      <c r="W42" s="438"/>
      <c r="X42" s="424"/>
      <c r="Y42" s="438"/>
      <c r="Z42" s="424"/>
      <c r="AA42" s="438"/>
      <c r="AB42" s="424"/>
      <c r="AC42" s="438"/>
      <c r="AD42" s="424"/>
      <c r="AE42" s="438"/>
      <c r="AG42" s="707"/>
      <c r="AH42" s="707"/>
    </row>
    <row r="43" spans="1:34" ht="18" thickBot="1" x14ac:dyDescent="0.5">
      <c r="A43" s="27"/>
      <c r="B43" s="293"/>
      <c r="C43" s="293"/>
      <c r="D43" s="508"/>
      <c r="E43" s="505"/>
      <c r="F43" s="76"/>
      <c r="G43" s="685"/>
      <c r="H43" s="427"/>
      <c r="I43" s="518"/>
      <c r="J43" s="427"/>
      <c r="K43" s="518"/>
      <c r="L43" s="427"/>
      <c r="M43" s="519"/>
      <c r="N43" s="520"/>
      <c r="O43" s="518"/>
      <c r="P43" s="520"/>
      <c r="Q43" s="518"/>
      <c r="R43" s="520"/>
      <c r="S43" s="518"/>
      <c r="T43" s="521"/>
      <c r="U43" s="518"/>
      <c r="V43" s="521"/>
      <c r="W43" s="518"/>
      <c r="X43" s="521"/>
      <c r="Y43" s="518"/>
      <c r="Z43" s="521"/>
      <c r="AA43" s="518"/>
      <c r="AB43" s="521"/>
      <c r="AC43" s="518"/>
      <c r="AD43" s="521"/>
      <c r="AE43" s="518"/>
      <c r="AG43" s="707"/>
      <c r="AH43" s="707"/>
    </row>
    <row r="44" spans="1:34" ht="22" thickTop="1" thickBot="1" x14ac:dyDescent="0.5">
      <c r="A44" s="273" t="s">
        <v>379</v>
      </c>
      <c r="B44" s="273">
        <v>9</v>
      </c>
      <c r="C44" s="116"/>
      <c r="D44" s="265"/>
      <c r="E44" s="385"/>
      <c r="F44" s="274">
        <f>SUM(F34:F43)</f>
        <v>150</v>
      </c>
      <c r="G44" s="685"/>
      <c r="H44" s="698"/>
      <c r="I44" s="698"/>
      <c r="J44" s="698"/>
      <c r="K44" s="698"/>
      <c r="L44" s="698"/>
      <c r="M44" s="698"/>
      <c r="N44" s="698"/>
      <c r="O44" s="698"/>
      <c r="P44" s="698"/>
      <c r="Q44" s="698"/>
      <c r="R44" s="698"/>
      <c r="S44" s="698"/>
      <c r="T44" s="698"/>
      <c r="U44" s="698"/>
      <c r="V44" s="698"/>
      <c r="W44" s="698"/>
      <c r="X44" s="698"/>
      <c r="Y44" s="698"/>
      <c r="Z44" s="698"/>
      <c r="AA44" s="698"/>
      <c r="AB44" s="698"/>
      <c r="AC44" s="698"/>
      <c r="AD44" s="698"/>
      <c r="AE44"/>
      <c r="AG44" s="707"/>
      <c r="AH44" s="707"/>
    </row>
    <row r="45" spans="1:34" ht="18" thickTop="1" thickBot="1" x14ac:dyDescent="0.5">
      <c r="A45" s="712"/>
      <c r="B45" s="712"/>
      <c r="C45" s="662"/>
      <c r="D45" s="662"/>
      <c r="E45" s="662"/>
      <c r="F45" s="662"/>
      <c r="G45" s="685"/>
      <c r="H45" s="698"/>
      <c r="I45" s="698"/>
      <c r="J45" s="698"/>
      <c r="K45" s="698"/>
      <c r="L45" s="698"/>
      <c r="M45" s="698"/>
      <c r="N45" s="698"/>
      <c r="O45" s="698"/>
      <c r="P45" s="698"/>
      <c r="Q45" s="698"/>
      <c r="R45" s="698"/>
      <c r="S45" s="698"/>
      <c r="T45" s="698"/>
      <c r="U45" s="698"/>
      <c r="V45" s="698"/>
      <c r="W45" s="698"/>
      <c r="X45" s="698"/>
      <c r="Y45" s="698"/>
      <c r="Z45" s="698"/>
      <c r="AA45" s="698"/>
      <c r="AB45" s="698"/>
      <c r="AC45" s="698"/>
      <c r="AD45" s="698"/>
      <c r="AE45"/>
      <c r="AG45" s="707"/>
      <c r="AH45" s="707"/>
    </row>
    <row r="46" spans="1:34" ht="22" thickTop="1" thickBot="1" x14ac:dyDescent="0.5">
      <c r="A46" s="658" t="s">
        <v>710</v>
      </c>
      <c r="B46" s="659"/>
      <c r="C46" s="687"/>
      <c r="D46" s="687"/>
      <c r="E46" s="687"/>
      <c r="F46" s="687"/>
      <c r="G46" s="685"/>
      <c r="H46" s="699"/>
      <c r="I46" s="699"/>
      <c r="J46" s="699"/>
      <c r="K46" s="699"/>
      <c r="L46" s="699"/>
      <c r="M46" s="699"/>
      <c r="N46" s="699"/>
      <c r="O46" s="699"/>
      <c r="P46" s="699"/>
      <c r="Q46" s="699"/>
      <c r="R46" s="699"/>
      <c r="S46" s="699"/>
      <c r="T46" s="699"/>
      <c r="U46" s="699"/>
      <c r="V46" s="699"/>
      <c r="W46" s="699"/>
      <c r="X46" s="699"/>
      <c r="Y46" s="699"/>
      <c r="Z46" s="699"/>
      <c r="AA46" s="699"/>
      <c r="AB46" s="699"/>
      <c r="AC46" s="699"/>
      <c r="AD46" s="699"/>
      <c r="AE46" s="77"/>
      <c r="AG46" s="707"/>
      <c r="AH46" s="707"/>
    </row>
    <row r="47" spans="1:34" ht="17.5" thickTop="1" x14ac:dyDescent="0.45">
      <c r="A47" s="174"/>
      <c r="B47" s="421" t="s">
        <v>10</v>
      </c>
      <c r="C47" s="1" t="s">
        <v>32</v>
      </c>
      <c r="D47" s="507" t="s">
        <v>753</v>
      </c>
      <c r="E47" s="387"/>
      <c r="F47" s="513">
        <v>8</v>
      </c>
      <c r="G47" s="685"/>
      <c r="H47" s="428">
        <v>5</v>
      </c>
      <c r="I47" s="438">
        <v>24</v>
      </c>
      <c r="J47" s="447"/>
      <c r="K47" s="360"/>
      <c r="L47" s="360"/>
      <c r="M47" s="460"/>
      <c r="N47" s="428"/>
      <c r="O47" s="438"/>
      <c r="P47" s="424"/>
      <c r="Q47" s="438"/>
      <c r="R47" s="424"/>
      <c r="S47" s="438"/>
      <c r="T47" s="428"/>
      <c r="U47" s="438"/>
      <c r="V47" s="424"/>
      <c r="W47" s="438"/>
      <c r="X47" s="424"/>
      <c r="Y47" s="438"/>
      <c r="Z47" s="428"/>
      <c r="AA47" s="438"/>
      <c r="AB47" s="424"/>
      <c r="AC47" s="438"/>
      <c r="AD47" s="424"/>
      <c r="AE47" s="438"/>
      <c r="AG47" s="707"/>
      <c r="AH47" s="707"/>
    </row>
    <row r="48" spans="1:34" x14ac:dyDescent="0.45">
      <c r="A48" s="270">
        <v>1</v>
      </c>
      <c r="B48" s="502" t="s">
        <v>127</v>
      </c>
      <c r="C48" s="1" t="s">
        <v>128</v>
      </c>
      <c r="D48" s="507" t="s">
        <v>753</v>
      </c>
      <c r="E48" s="381"/>
      <c r="F48" s="134">
        <v>5</v>
      </c>
      <c r="G48" s="685"/>
      <c r="H48" s="428">
        <v>1</v>
      </c>
      <c r="I48" s="438">
        <v>5</v>
      </c>
      <c r="J48" s="428">
        <v>1</v>
      </c>
      <c r="K48" s="438">
        <v>5</v>
      </c>
      <c r="L48" s="428">
        <v>1</v>
      </c>
      <c r="M48" s="438">
        <v>5</v>
      </c>
      <c r="N48" s="428">
        <v>1</v>
      </c>
      <c r="O48" s="438">
        <v>5</v>
      </c>
      <c r="P48" s="428"/>
      <c r="Q48" s="438"/>
      <c r="R48" s="428"/>
      <c r="S48" s="438"/>
      <c r="T48" s="424"/>
      <c r="U48" s="438"/>
      <c r="V48" s="424"/>
      <c r="W48" s="438"/>
      <c r="X48" s="424"/>
      <c r="Y48" s="438"/>
      <c r="Z48" s="424"/>
      <c r="AA48" s="438"/>
      <c r="AB48" s="424"/>
      <c r="AC48" s="438"/>
      <c r="AD48" s="424"/>
      <c r="AE48" s="438"/>
      <c r="AG48" s="707"/>
      <c r="AH48" s="707"/>
    </row>
    <row r="49" spans="1:34" x14ac:dyDescent="0.45">
      <c r="A49" s="270">
        <v>2</v>
      </c>
      <c r="B49" s="502" t="s">
        <v>135</v>
      </c>
      <c r="C49" s="1" t="s">
        <v>136</v>
      </c>
      <c r="D49" s="507" t="s">
        <v>753</v>
      </c>
      <c r="E49" s="381"/>
      <c r="F49" s="134">
        <v>10</v>
      </c>
      <c r="G49" s="685"/>
      <c r="H49" s="428">
        <v>2</v>
      </c>
      <c r="I49" s="438">
        <v>8</v>
      </c>
      <c r="J49" s="428">
        <v>1</v>
      </c>
      <c r="K49" s="438">
        <v>8</v>
      </c>
      <c r="L49" s="428">
        <v>1</v>
      </c>
      <c r="M49" s="438">
        <v>10</v>
      </c>
      <c r="N49" s="428">
        <v>1</v>
      </c>
      <c r="O49" s="438">
        <v>10</v>
      </c>
      <c r="P49" s="428"/>
      <c r="Q49" s="438"/>
      <c r="R49" s="428"/>
      <c r="S49" s="438"/>
      <c r="T49" s="424"/>
      <c r="U49" s="438"/>
      <c r="V49" s="424"/>
      <c r="W49" s="438"/>
      <c r="X49" s="424"/>
      <c r="Y49" s="438"/>
      <c r="Z49" s="424"/>
      <c r="AA49" s="438"/>
      <c r="AB49" s="424"/>
      <c r="AC49" s="438"/>
      <c r="AD49" s="424"/>
      <c r="AE49" s="438"/>
      <c r="AG49" s="707"/>
      <c r="AH49" s="707"/>
    </row>
    <row r="50" spans="1:34" x14ac:dyDescent="0.45">
      <c r="A50" s="271">
        <v>3</v>
      </c>
      <c r="B50" s="503" t="s">
        <v>206</v>
      </c>
      <c r="C50" s="27" t="s">
        <v>209</v>
      </c>
      <c r="D50" s="507" t="s">
        <v>753</v>
      </c>
      <c r="E50" s="382"/>
      <c r="F50" s="134">
        <v>10</v>
      </c>
      <c r="G50" s="685"/>
      <c r="H50" s="428">
        <v>1</v>
      </c>
      <c r="I50" s="438">
        <v>10</v>
      </c>
      <c r="J50" s="428">
        <v>2</v>
      </c>
      <c r="K50" s="438">
        <v>10</v>
      </c>
      <c r="L50" s="428">
        <v>1</v>
      </c>
      <c r="M50" s="438">
        <v>10</v>
      </c>
      <c r="N50" s="428">
        <v>1</v>
      </c>
      <c r="O50" s="438">
        <v>10</v>
      </c>
      <c r="P50" s="428"/>
      <c r="Q50" s="438"/>
      <c r="R50" s="428"/>
      <c r="S50" s="438"/>
      <c r="T50" s="424"/>
      <c r="U50" s="438"/>
      <c r="V50" s="424"/>
      <c r="W50" s="438"/>
      <c r="X50" s="424"/>
      <c r="Y50" s="438"/>
      <c r="Z50" s="424"/>
      <c r="AA50" s="438"/>
      <c r="AB50" s="424"/>
      <c r="AC50" s="438"/>
      <c r="AD50" s="424"/>
      <c r="AE50" s="438"/>
      <c r="AG50" s="707"/>
      <c r="AH50" s="707"/>
    </row>
    <row r="51" spans="1:34" x14ac:dyDescent="0.45">
      <c r="A51" s="271">
        <v>4</v>
      </c>
      <c r="B51" s="503" t="s">
        <v>210</v>
      </c>
      <c r="C51" s="27" t="s">
        <v>211</v>
      </c>
      <c r="D51" s="507" t="s">
        <v>753</v>
      </c>
      <c r="E51" s="382"/>
      <c r="F51" s="134">
        <v>10</v>
      </c>
      <c r="G51" s="685"/>
      <c r="H51" s="428">
        <v>7</v>
      </c>
      <c r="I51" s="438">
        <v>10</v>
      </c>
      <c r="J51" s="428">
        <v>4</v>
      </c>
      <c r="K51" s="438">
        <v>10</v>
      </c>
      <c r="L51" s="428">
        <v>1</v>
      </c>
      <c r="M51" s="438">
        <v>10</v>
      </c>
      <c r="N51" s="428"/>
      <c r="O51" s="438"/>
      <c r="P51" s="428"/>
      <c r="Q51" s="438"/>
      <c r="R51" s="428"/>
      <c r="S51" s="438"/>
      <c r="T51" s="424"/>
      <c r="U51" s="438"/>
      <c r="V51" s="424"/>
      <c r="W51" s="438"/>
      <c r="X51" s="424"/>
      <c r="Y51" s="438"/>
      <c r="Z51" s="424"/>
      <c r="AA51" s="438"/>
      <c r="AB51" s="424"/>
      <c r="AC51" s="438"/>
      <c r="AD51" s="424"/>
      <c r="AE51" s="438"/>
      <c r="AG51" s="707"/>
      <c r="AH51" s="707"/>
    </row>
    <row r="52" spans="1:34" x14ac:dyDescent="0.45">
      <c r="A52" s="271">
        <v>5</v>
      </c>
      <c r="B52" s="503" t="s">
        <v>457</v>
      </c>
      <c r="C52" s="27" t="s">
        <v>469</v>
      </c>
      <c r="D52" s="507" t="s">
        <v>753</v>
      </c>
      <c r="E52" s="382"/>
      <c r="F52" s="134">
        <v>10</v>
      </c>
      <c r="G52" s="685"/>
      <c r="H52" s="428">
        <v>2</v>
      </c>
      <c r="I52" s="438">
        <v>10</v>
      </c>
      <c r="J52" s="428">
        <v>2</v>
      </c>
      <c r="K52" s="438">
        <v>10</v>
      </c>
      <c r="L52" s="428">
        <v>2</v>
      </c>
      <c r="M52" s="438">
        <v>10</v>
      </c>
      <c r="N52" s="428">
        <v>1</v>
      </c>
      <c r="O52" s="438">
        <v>10</v>
      </c>
      <c r="P52" s="428"/>
      <c r="Q52" s="438"/>
      <c r="R52" s="428"/>
      <c r="S52" s="438"/>
      <c r="T52" s="424"/>
      <c r="U52" s="438"/>
      <c r="V52" s="424"/>
      <c r="W52" s="438"/>
      <c r="X52" s="424"/>
      <c r="Y52" s="438"/>
      <c r="Z52" s="424"/>
      <c r="AA52" s="438"/>
      <c r="AB52" s="424"/>
      <c r="AC52" s="438"/>
      <c r="AD52" s="424"/>
      <c r="AE52" s="438"/>
      <c r="AG52" s="707"/>
      <c r="AH52" s="707"/>
    </row>
    <row r="53" spans="1:34" x14ac:dyDescent="0.45">
      <c r="A53" s="271">
        <v>6</v>
      </c>
      <c r="B53" s="503" t="s">
        <v>247</v>
      </c>
      <c r="C53" s="27" t="s">
        <v>279</v>
      </c>
      <c r="D53" s="507" t="s">
        <v>753</v>
      </c>
      <c r="E53" s="382"/>
      <c r="F53" s="134">
        <v>10</v>
      </c>
      <c r="G53" s="685"/>
      <c r="H53" s="455"/>
      <c r="I53" s="456"/>
      <c r="J53" s="456"/>
      <c r="K53" s="360"/>
      <c r="L53" s="428">
        <v>26</v>
      </c>
      <c r="M53" s="438">
        <v>10</v>
      </c>
      <c r="N53" s="428"/>
      <c r="O53" s="438"/>
      <c r="P53" s="428"/>
      <c r="Q53" s="438"/>
      <c r="R53" s="428"/>
      <c r="S53" s="438"/>
      <c r="T53" s="424"/>
      <c r="U53" s="438"/>
      <c r="V53" s="424"/>
      <c r="W53" s="438"/>
      <c r="X53" s="424"/>
      <c r="Y53" s="438"/>
      <c r="Z53" s="424"/>
      <c r="AA53" s="438"/>
      <c r="AB53" s="424"/>
      <c r="AC53" s="438"/>
      <c r="AD53" s="424"/>
      <c r="AE53" s="438"/>
      <c r="AG53" s="707"/>
      <c r="AH53" s="707"/>
    </row>
    <row r="54" spans="1:34" x14ac:dyDescent="0.45">
      <c r="A54" s="271">
        <v>7</v>
      </c>
      <c r="B54" s="503" t="s">
        <v>720</v>
      </c>
      <c r="C54" s="27" t="s">
        <v>721</v>
      </c>
      <c r="D54" s="507" t="s">
        <v>753</v>
      </c>
      <c r="E54" s="507" t="s">
        <v>135</v>
      </c>
      <c r="F54" s="395">
        <v>10</v>
      </c>
      <c r="G54" s="685"/>
      <c r="H54" s="455"/>
      <c r="I54" s="456"/>
      <c r="J54" s="456"/>
      <c r="K54" s="360"/>
      <c r="L54" s="428">
        <v>11</v>
      </c>
      <c r="M54" s="438">
        <v>10</v>
      </c>
      <c r="N54" s="428"/>
      <c r="O54" s="438"/>
      <c r="P54" s="428"/>
      <c r="Q54" s="438"/>
      <c r="R54" s="428"/>
      <c r="S54" s="438"/>
      <c r="T54" s="424"/>
      <c r="U54" s="438"/>
      <c r="V54" s="424"/>
      <c r="W54" s="438"/>
      <c r="X54" s="424"/>
      <c r="Y54" s="438"/>
      <c r="Z54" s="424"/>
      <c r="AA54" s="438"/>
      <c r="AB54" s="424"/>
      <c r="AC54" s="438"/>
      <c r="AD54" s="424"/>
      <c r="AE54" s="438"/>
      <c r="AG54" s="707"/>
      <c r="AH54" s="707"/>
    </row>
    <row r="55" spans="1:34" x14ac:dyDescent="0.45">
      <c r="A55" s="271">
        <v>8</v>
      </c>
      <c r="B55" s="503" t="s">
        <v>723</v>
      </c>
      <c r="C55" s="27" t="s">
        <v>724</v>
      </c>
      <c r="D55" s="507" t="s">
        <v>753</v>
      </c>
      <c r="E55" s="507" t="s">
        <v>725</v>
      </c>
      <c r="F55" s="395">
        <v>10</v>
      </c>
      <c r="G55" s="685"/>
      <c r="H55" s="455"/>
      <c r="I55" s="456"/>
      <c r="J55" s="456"/>
      <c r="K55" s="360"/>
      <c r="L55" s="428">
        <v>18</v>
      </c>
      <c r="M55" s="438">
        <v>10</v>
      </c>
      <c r="N55" s="428"/>
      <c r="O55" s="438"/>
      <c r="P55" s="428"/>
      <c r="Q55" s="438"/>
      <c r="R55" s="428"/>
      <c r="S55" s="438"/>
      <c r="T55" s="424"/>
      <c r="U55" s="438"/>
      <c r="V55" s="424"/>
      <c r="W55" s="438"/>
      <c r="X55" s="424"/>
      <c r="Y55" s="438"/>
      <c r="Z55" s="424"/>
      <c r="AA55" s="438"/>
      <c r="AB55" s="424"/>
      <c r="AC55" s="438"/>
      <c r="AD55" s="424"/>
      <c r="AE55" s="438"/>
      <c r="AG55" s="707"/>
      <c r="AH55" s="707"/>
    </row>
    <row r="56" spans="1:34" x14ac:dyDescent="0.45">
      <c r="A56" s="271">
        <v>9</v>
      </c>
      <c r="B56" s="503" t="s">
        <v>727</v>
      </c>
      <c r="C56" s="27" t="s">
        <v>726</v>
      </c>
      <c r="D56" s="507" t="s">
        <v>753</v>
      </c>
      <c r="E56" s="507" t="s">
        <v>725</v>
      </c>
      <c r="F56" s="395">
        <v>10</v>
      </c>
      <c r="G56" s="685"/>
      <c r="H56" s="455"/>
      <c r="I56" s="456"/>
      <c r="J56" s="456"/>
      <c r="K56" s="360"/>
      <c r="L56" s="428">
        <v>18</v>
      </c>
      <c r="M56" s="438">
        <v>30</v>
      </c>
      <c r="N56" s="456"/>
      <c r="O56" s="360"/>
      <c r="P56" s="456"/>
      <c r="Q56" s="360"/>
      <c r="R56" s="428"/>
      <c r="S56" s="438"/>
      <c r="T56" s="424"/>
      <c r="U56" s="438"/>
      <c r="V56" s="424"/>
      <c r="W56" s="438"/>
      <c r="X56" s="424"/>
      <c r="Y56" s="438"/>
      <c r="Z56" s="424"/>
      <c r="AA56" s="438"/>
      <c r="AB56" s="424"/>
      <c r="AC56" s="438"/>
      <c r="AD56" s="424"/>
      <c r="AE56" s="438"/>
      <c r="AG56" s="707"/>
      <c r="AH56" s="707"/>
    </row>
    <row r="57" spans="1:34" x14ac:dyDescent="0.45">
      <c r="A57" s="271">
        <v>10</v>
      </c>
      <c r="B57" s="503" t="s">
        <v>733</v>
      </c>
      <c r="C57" s="27" t="s">
        <v>732</v>
      </c>
      <c r="D57" s="507" t="s">
        <v>753</v>
      </c>
      <c r="E57" s="507" t="s">
        <v>734</v>
      </c>
      <c r="F57" s="395">
        <v>10</v>
      </c>
      <c r="G57" s="685"/>
      <c r="H57" s="455"/>
      <c r="I57" s="456"/>
      <c r="J57" s="456"/>
      <c r="K57" s="360"/>
      <c r="L57" s="428">
        <v>26</v>
      </c>
      <c r="M57" s="438">
        <v>10</v>
      </c>
      <c r="N57" s="428"/>
      <c r="O57" s="438"/>
      <c r="P57" s="428"/>
      <c r="Q57" s="438"/>
      <c r="R57" s="428"/>
      <c r="S57" s="438"/>
      <c r="T57" s="424"/>
      <c r="U57" s="438"/>
      <c r="V57" s="424"/>
      <c r="W57" s="438"/>
      <c r="X57" s="424"/>
      <c r="Y57" s="438"/>
      <c r="Z57" s="424"/>
      <c r="AA57" s="438"/>
      <c r="AB57" s="424"/>
      <c r="AC57" s="438"/>
      <c r="AD57" s="424"/>
      <c r="AE57" s="438"/>
      <c r="AG57" s="707"/>
      <c r="AH57" s="707"/>
    </row>
    <row r="58" spans="1:34" ht="17.5" thickBot="1" x14ac:dyDescent="0.5">
      <c r="A58" s="27"/>
      <c r="B58" s="27"/>
      <c r="C58" s="27"/>
      <c r="D58" s="507"/>
      <c r="E58" s="391"/>
      <c r="F58" s="135"/>
      <c r="G58" s="685"/>
      <c r="H58" s="428"/>
      <c r="I58" s="438"/>
      <c r="J58" s="428"/>
      <c r="K58" s="438"/>
      <c r="L58" s="428"/>
      <c r="M58" s="438"/>
      <c r="N58" s="428"/>
      <c r="O58" s="438"/>
      <c r="P58" s="428"/>
      <c r="Q58" s="438"/>
      <c r="R58" s="428"/>
      <c r="S58" s="438"/>
      <c r="T58" s="424"/>
      <c r="U58" s="438"/>
      <c r="V58" s="424"/>
      <c r="W58" s="438"/>
      <c r="X58" s="424"/>
      <c r="Y58" s="438"/>
      <c r="Z58" s="424"/>
      <c r="AA58" s="438"/>
      <c r="AB58" s="424"/>
      <c r="AC58" s="438"/>
      <c r="AD58" s="424"/>
      <c r="AE58" s="438"/>
      <c r="AG58" s="707"/>
      <c r="AH58" s="707"/>
    </row>
    <row r="59" spans="1:34" ht="22" thickTop="1" thickBot="1" x14ac:dyDescent="0.5">
      <c r="A59" s="273" t="s">
        <v>379</v>
      </c>
      <c r="B59" s="273">
        <v>10</v>
      </c>
      <c r="C59" s="116"/>
      <c r="D59" s="265"/>
      <c r="E59" s="385"/>
      <c r="F59" s="274">
        <f>SUM(F47:F58)</f>
        <v>103</v>
      </c>
      <c r="G59" s="685"/>
      <c r="H59" s="702"/>
      <c r="I59" s="665"/>
      <c r="J59" s="702"/>
      <c r="K59" s="665"/>
      <c r="L59" s="702"/>
      <c r="M59" s="665"/>
      <c r="N59" s="702"/>
      <c r="O59" s="665"/>
      <c r="P59" s="702"/>
      <c r="Q59" s="665"/>
      <c r="R59" s="702"/>
      <c r="S59" s="665"/>
      <c r="T59" s="702"/>
      <c r="U59" s="665"/>
      <c r="V59" s="702"/>
      <c r="W59" s="665"/>
      <c r="X59" s="702"/>
      <c r="Y59" s="665"/>
      <c r="Z59" s="702"/>
      <c r="AA59" s="665"/>
      <c r="AB59" s="702"/>
      <c r="AC59" s="665"/>
      <c r="AD59" s="702"/>
      <c r="AE59" s="665"/>
      <c r="AG59" s="707"/>
      <c r="AH59" s="707"/>
    </row>
    <row r="60" spans="1:34" ht="18" thickTop="1" thickBot="1" x14ac:dyDescent="0.5">
      <c r="A60" s="37"/>
      <c r="B60" s="662"/>
      <c r="C60" s="662"/>
      <c r="D60" s="662"/>
      <c r="E60" s="662"/>
      <c r="F60" s="662"/>
      <c r="G60" s="685"/>
      <c r="H60" s="702"/>
      <c r="I60" s="665"/>
      <c r="J60" s="702"/>
      <c r="K60" s="665"/>
      <c r="L60" s="702"/>
      <c r="M60" s="665"/>
      <c r="N60" s="702"/>
      <c r="O60" s="665"/>
      <c r="P60" s="702"/>
      <c r="Q60" s="665"/>
      <c r="R60" s="702"/>
      <c r="S60" s="665"/>
      <c r="T60" s="702"/>
      <c r="U60" s="665"/>
      <c r="V60" s="702"/>
      <c r="W60" s="665"/>
      <c r="X60" s="702"/>
      <c r="Y60" s="665"/>
      <c r="Z60" s="702"/>
      <c r="AA60" s="665"/>
      <c r="AB60" s="702"/>
      <c r="AC60" s="665"/>
      <c r="AD60" s="702"/>
      <c r="AE60" s="665"/>
      <c r="AG60" s="707"/>
      <c r="AH60" s="707"/>
    </row>
    <row r="61" spans="1:34" ht="22" thickTop="1" thickBot="1" x14ac:dyDescent="0.5">
      <c r="A61" s="131" t="s">
        <v>167</v>
      </c>
      <c r="B61" s="701"/>
      <c r="C61" s="701"/>
      <c r="D61" s="701"/>
      <c r="E61" s="701"/>
      <c r="F61" s="701"/>
      <c r="G61" s="685"/>
      <c r="H61" s="709"/>
      <c r="I61" s="693"/>
      <c r="J61" s="709"/>
      <c r="K61" s="693"/>
      <c r="L61" s="709"/>
      <c r="M61" s="693"/>
      <c r="N61" s="709"/>
      <c r="O61" s="693"/>
      <c r="P61" s="709"/>
      <c r="Q61" s="693"/>
      <c r="R61" s="709"/>
      <c r="S61" s="693"/>
      <c r="T61" s="709"/>
      <c r="U61" s="693"/>
      <c r="V61" s="709"/>
      <c r="W61" s="693"/>
      <c r="X61" s="709"/>
      <c r="Y61" s="693"/>
      <c r="Z61" s="709"/>
      <c r="AA61" s="693"/>
      <c r="AB61" s="709"/>
      <c r="AC61" s="693"/>
      <c r="AD61" s="709"/>
      <c r="AE61" s="693"/>
      <c r="AG61" s="707"/>
      <c r="AH61" s="707"/>
    </row>
    <row r="62" spans="1:34" ht="17.5" thickTop="1" x14ac:dyDescent="0.45">
      <c r="A62" s="271">
        <v>7</v>
      </c>
      <c r="B62" s="503" t="s">
        <v>698</v>
      </c>
      <c r="C62" s="27" t="s">
        <v>708</v>
      </c>
      <c r="D62" s="507" t="s">
        <v>753</v>
      </c>
      <c r="E62" s="382"/>
      <c r="F62" s="395">
        <v>10</v>
      </c>
      <c r="G62" s="685"/>
      <c r="H62" s="455"/>
      <c r="I62" s="456"/>
      <c r="J62" s="456"/>
      <c r="K62" s="360"/>
      <c r="L62" s="456"/>
      <c r="M62" s="360"/>
      <c r="N62" s="428"/>
      <c r="O62" s="438"/>
      <c r="P62" s="428"/>
      <c r="Q62" s="438"/>
      <c r="R62" s="428"/>
      <c r="S62" s="438"/>
      <c r="T62" s="424"/>
      <c r="U62" s="438"/>
      <c r="V62" s="424"/>
      <c r="W62" s="438"/>
      <c r="X62" s="424"/>
      <c r="Y62" s="438"/>
      <c r="Z62" s="424"/>
      <c r="AA62" s="438"/>
      <c r="AB62" s="424"/>
      <c r="AC62" s="438"/>
      <c r="AD62" s="424"/>
      <c r="AE62" s="438"/>
    </row>
    <row r="63" spans="1:34" x14ac:dyDescent="0.45">
      <c r="A63" s="271">
        <v>10</v>
      </c>
      <c r="B63" s="503" t="s">
        <v>729</v>
      </c>
      <c r="C63" s="27" t="s">
        <v>730</v>
      </c>
      <c r="D63" s="507" t="s">
        <v>753</v>
      </c>
      <c r="E63" s="507" t="s">
        <v>731</v>
      </c>
      <c r="F63" s="395">
        <v>10</v>
      </c>
      <c r="G63" s="685"/>
      <c r="H63" s="455"/>
      <c r="I63" s="456"/>
      <c r="J63" s="456"/>
      <c r="K63" s="360"/>
      <c r="L63" s="428"/>
      <c r="M63" s="438"/>
      <c r="N63" s="428"/>
      <c r="O63" s="438"/>
      <c r="P63" s="428"/>
      <c r="Q63" s="438"/>
      <c r="R63" s="428"/>
      <c r="S63" s="438"/>
      <c r="T63" s="424"/>
      <c r="U63" s="438"/>
      <c r="V63" s="424"/>
      <c r="W63" s="438"/>
      <c r="X63" s="424"/>
      <c r="Y63" s="438"/>
      <c r="Z63" s="424"/>
      <c r="AA63" s="438"/>
      <c r="AB63" s="424"/>
      <c r="AC63" s="438"/>
      <c r="AD63" s="424"/>
      <c r="AE63" s="438"/>
    </row>
    <row r="64" spans="1:34" x14ac:dyDescent="0.45">
      <c r="A64" s="271"/>
      <c r="B64" s="293"/>
      <c r="C64" s="27"/>
      <c r="D64" s="401"/>
      <c r="E64" s="398"/>
      <c r="F64" s="134"/>
      <c r="G64" s="685"/>
      <c r="H64" s="445"/>
      <c r="I64" s="441"/>
      <c r="J64" s="445"/>
      <c r="K64" s="441"/>
      <c r="L64" s="445"/>
      <c r="M64" s="441"/>
      <c r="N64" s="445"/>
      <c r="O64" s="441"/>
      <c r="P64" s="445"/>
      <c r="Q64" s="441"/>
      <c r="R64" s="445"/>
      <c r="S64" s="441"/>
      <c r="T64" s="445"/>
      <c r="U64" s="441"/>
      <c r="V64" s="445"/>
      <c r="W64" s="441"/>
      <c r="X64" s="445"/>
      <c r="Y64" s="441"/>
      <c r="Z64" s="445"/>
      <c r="AA64" s="441"/>
      <c r="AB64" s="445"/>
      <c r="AC64" s="441"/>
      <c r="AD64" s="445"/>
      <c r="AE64" s="441"/>
    </row>
    <row r="65" spans="1:40" ht="17.5" x14ac:dyDescent="0.45">
      <c r="A65" s="28"/>
      <c r="B65" s="293"/>
      <c r="C65" s="1"/>
      <c r="D65" s="402"/>
      <c r="E65" s="393"/>
      <c r="F65" s="74"/>
      <c r="G65" s="685"/>
      <c r="H65" s="429"/>
      <c r="I65" s="438"/>
      <c r="J65" s="429"/>
      <c r="K65" s="438"/>
      <c r="L65" s="429"/>
      <c r="M65" s="438"/>
      <c r="N65" s="429"/>
      <c r="O65" s="438"/>
      <c r="P65" s="429"/>
      <c r="Q65" s="438"/>
      <c r="R65" s="429"/>
      <c r="S65" s="438"/>
      <c r="T65" s="429"/>
      <c r="U65" s="438"/>
      <c r="V65" s="429"/>
      <c r="W65" s="438"/>
      <c r="X65" s="429"/>
      <c r="Y65" s="438"/>
      <c r="Z65" s="429"/>
      <c r="AA65" s="438"/>
      <c r="AB65" s="429"/>
      <c r="AC65" s="438"/>
      <c r="AD65" s="429"/>
      <c r="AE65" s="438"/>
    </row>
    <row r="66" spans="1:40" s="37" customFormat="1" x14ac:dyDescent="0.45">
      <c r="A66" s="27"/>
      <c r="B66" s="1"/>
      <c r="C66" s="27"/>
      <c r="D66" s="402"/>
      <c r="E66" s="400"/>
      <c r="F66" s="364"/>
      <c r="G66" s="685"/>
      <c r="H66" s="429"/>
      <c r="I66" s="438"/>
      <c r="J66" s="429"/>
      <c r="K66" s="438"/>
      <c r="L66" s="429"/>
      <c r="M66" s="438"/>
      <c r="N66" s="429"/>
      <c r="O66" s="438"/>
      <c r="P66" s="429"/>
      <c r="Q66" s="438"/>
      <c r="R66" s="429"/>
      <c r="S66" s="438"/>
      <c r="T66" s="429"/>
      <c r="U66" s="438"/>
      <c r="V66" s="429"/>
      <c r="W66" s="438"/>
      <c r="X66" s="429"/>
      <c r="Y66" s="438"/>
      <c r="Z66" s="429"/>
      <c r="AA66" s="438"/>
      <c r="AB66" s="429"/>
      <c r="AC66" s="438"/>
      <c r="AD66" s="429"/>
      <c r="AE66" s="438"/>
      <c r="AF66"/>
      <c r="AH66"/>
      <c r="AI66"/>
      <c r="AJ66"/>
      <c r="AK66"/>
      <c r="AL66"/>
      <c r="AM66"/>
      <c r="AN66"/>
    </row>
    <row r="67" spans="1:40" ht="17.5" x14ac:dyDescent="0.45">
      <c r="A67" s="1"/>
      <c r="B67" s="27"/>
      <c r="C67" s="1"/>
      <c r="D67" s="402"/>
      <c r="E67" s="399"/>
      <c r="F67" s="74"/>
      <c r="G67" s="685"/>
      <c r="H67" s="423"/>
      <c r="I67" s="438"/>
      <c r="J67" s="423"/>
      <c r="K67" s="438"/>
      <c r="L67" s="423"/>
      <c r="M67" s="438"/>
      <c r="N67" s="423"/>
      <c r="O67" s="438"/>
      <c r="P67" s="423"/>
      <c r="Q67" s="438"/>
      <c r="R67" s="423"/>
      <c r="S67" s="438"/>
      <c r="T67" s="423"/>
      <c r="U67" s="438"/>
      <c r="V67" s="423"/>
      <c r="W67" s="438"/>
      <c r="X67" s="423"/>
      <c r="Y67" s="438"/>
      <c r="Z67" s="423"/>
      <c r="AA67" s="438"/>
      <c r="AB67" s="423"/>
      <c r="AC67" s="438"/>
      <c r="AD67" s="423"/>
      <c r="AE67" s="438"/>
    </row>
    <row r="68" spans="1:40" x14ac:dyDescent="0.45">
      <c r="A68" s="271"/>
      <c r="B68" s="27"/>
      <c r="C68" s="27"/>
      <c r="D68" s="401"/>
      <c r="E68" s="398"/>
      <c r="F68" s="364"/>
      <c r="G68" s="685"/>
      <c r="H68" s="445"/>
      <c r="I68" s="438"/>
      <c r="J68" s="445"/>
      <c r="K68" s="438"/>
      <c r="L68" s="445"/>
      <c r="M68" s="438"/>
      <c r="N68" s="445"/>
      <c r="O68" s="438"/>
      <c r="P68" s="445"/>
      <c r="Q68" s="438"/>
      <c r="R68" s="445"/>
      <c r="S68" s="438"/>
      <c r="T68" s="445"/>
      <c r="U68" s="438"/>
      <c r="V68" s="445"/>
      <c r="W68" s="438"/>
      <c r="X68" s="445"/>
      <c r="Y68" s="438"/>
      <c r="Z68" s="445"/>
      <c r="AA68" s="438"/>
      <c r="AB68" s="445"/>
      <c r="AC68" s="438"/>
      <c r="AD68" s="445"/>
      <c r="AE68" s="438"/>
    </row>
    <row r="69" spans="1:40" s="37" customFormat="1" x14ac:dyDescent="0.45">
      <c r="A69" s="1"/>
      <c r="B69" s="293"/>
      <c r="C69" s="27"/>
      <c r="D69" s="402"/>
      <c r="E69" s="400"/>
      <c r="F69" s="364"/>
      <c r="G69" s="685"/>
      <c r="H69" s="429"/>
      <c r="I69" s="438"/>
      <c r="J69" s="429"/>
      <c r="K69" s="438"/>
      <c r="L69" s="429"/>
      <c r="M69" s="438"/>
      <c r="N69" s="429"/>
      <c r="O69" s="438"/>
      <c r="P69" s="429"/>
      <c r="Q69" s="438"/>
      <c r="R69" s="429"/>
      <c r="S69" s="438"/>
      <c r="T69" s="429"/>
      <c r="U69" s="438"/>
      <c r="V69" s="429"/>
      <c r="W69" s="438"/>
      <c r="X69" s="429"/>
      <c r="Y69" s="438"/>
      <c r="Z69" s="429"/>
      <c r="AA69" s="438"/>
      <c r="AB69" s="429"/>
      <c r="AC69" s="438"/>
      <c r="AD69" s="429"/>
      <c r="AE69" s="438"/>
      <c r="AF69"/>
      <c r="AH69"/>
      <c r="AI69"/>
      <c r="AJ69"/>
      <c r="AK69"/>
      <c r="AL69"/>
      <c r="AM69"/>
      <c r="AN69"/>
    </row>
    <row r="70" spans="1:40" ht="17.5" x14ac:dyDescent="0.45">
      <c r="A70" s="28"/>
      <c r="B70" s="293"/>
      <c r="C70" s="27"/>
      <c r="D70" s="401"/>
      <c r="E70" s="387"/>
      <c r="F70" s="74"/>
      <c r="G70" s="685"/>
      <c r="H70" s="429"/>
      <c r="I70" s="441"/>
      <c r="J70" s="429"/>
      <c r="K70" s="441"/>
      <c r="L70" s="429"/>
      <c r="M70" s="441"/>
      <c r="N70" s="429"/>
      <c r="O70" s="441"/>
      <c r="P70" s="429"/>
      <c r="Q70" s="441"/>
      <c r="R70" s="429"/>
      <c r="S70" s="441"/>
      <c r="T70" s="429"/>
      <c r="U70" s="441"/>
      <c r="V70" s="429"/>
      <c r="W70" s="441"/>
      <c r="X70" s="429"/>
      <c r="Y70" s="441"/>
      <c r="Z70" s="429"/>
      <c r="AA70" s="441"/>
      <c r="AB70" s="429"/>
      <c r="AC70" s="441"/>
      <c r="AD70" s="429"/>
      <c r="AE70" s="441"/>
    </row>
    <row r="71" spans="1:40" s="37" customFormat="1" x14ac:dyDescent="0.45">
      <c r="A71" s="27"/>
      <c r="B71" s="293"/>
      <c r="C71" s="27"/>
      <c r="D71" s="401"/>
      <c r="E71" s="400"/>
      <c r="F71" s="451"/>
      <c r="G71" s="685"/>
      <c r="H71" s="445"/>
      <c r="I71" s="441"/>
      <c r="J71" s="445"/>
      <c r="K71" s="441"/>
      <c r="L71" s="445"/>
      <c r="M71" s="441"/>
      <c r="N71" s="445"/>
      <c r="O71" s="441"/>
      <c r="P71" s="445"/>
      <c r="Q71" s="441"/>
      <c r="R71" s="445"/>
      <c r="S71" s="441"/>
      <c r="T71" s="445"/>
      <c r="U71" s="441"/>
      <c r="V71" s="445"/>
      <c r="W71" s="441"/>
      <c r="X71" s="445"/>
      <c r="Y71" s="441"/>
      <c r="Z71" s="445"/>
      <c r="AA71" s="441"/>
      <c r="AB71" s="445"/>
      <c r="AC71" s="441"/>
      <c r="AD71" s="445"/>
      <c r="AE71" s="441"/>
      <c r="AF71"/>
      <c r="AH71"/>
      <c r="AI71"/>
      <c r="AJ71"/>
      <c r="AK71"/>
      <c r="AL71"/>
      <c r="AM71"/>
      <c r="AN71"/>
    </row>
    <row r="72" spans="1:40" x14ac:dyDescent="0.45">
      <c r="A72" s="271"/>
      <c r="B72" s="293"/>
      <c r="C72" s="27"/>
      <c r="D72" s="401"/>
      <c r="E72" s="414"/>
      <c r="F72" s="364"/>
      <c r="G72" s="685"/>
      <c r="H72" s="429"/>
      <c r="I72" s="438"/>
      <c r="J72" s="429"/>
      <c r="K72" s="438"/>
      <c r="L72" s="429"/>
      <c r="M72" s="438"/>
      <c r="N72" s="429"/>
      <c r="O72" s="438"/>
      <c r="P72" s="429"/>
      <c r="Q72" s="438"/>
      <c r="R72" s="429"/>
      <c r="S72" s="438"/>
      <c r="T72" s="429"/>
      <c r="U72" s="438"/>
      <c r="V72" s="429"/>
      <c r="W72" s="438"/>
      <c r="X72" s="429"/>
      <c r="Y72" s="438"/>
      <c r="Z72" s="429"/>
      <c r="AA72" s="438"/>
      <c r="AB72" s="429"/>
      <c r="AC72" s="438"/>
      <c r="AD72" s="429"/>
      <c r="AE72" s="438"/>
    </row>
    <row r="73" spans="1:40" ht="17.5" x14ac:dyDescent="0.45">
      <c r="A73" s="1"/>
      <c r="B73" s="1"/>
      <c r="C73" s="27"/>
      <c r="D73" s="401"/>
      <c r="E73" s="387"/>
      <c r="F73" s="75"/>
      <c r="G73" s="685"/>
      <c r="H73" s="429"/>
      <c r="I73" s="438"/>
      <c r="J73" s="429"/>
      <c r="K73" s="438"/>
      <c r="L73" s="429"/>
      <c r="M73" s="438"/>
      <c r="N73" s="429"/>
      <c r="O73" s="438"/>
      <c r="P73" s="429"/>
      <c r="Q73" s="438"/>
      <c r="R73" s="429"/>
      <c r="S73" s="438"/>
      <c r="T73" s="429"/>
      <c r="U73" s="438"/>
      <c r="V73" s="429"/>
      <c r="W73" s="438"/>
      <c r="X73" s="429"/>
      <c r="Y73" s="438"/>
      <c r="Z73" s="429"/>
      <c r="AA73" s="438"/>
      <c r="AB73" s="429"/>
      <c r="AC73" s="438"/>
      <c r="AD73" s="429"/>
      <c r="AE73" s="438"/>
    </row>
    <row r="74" spans="1:40" ht="17.5" x14ac:dyDescent="0.45">
      <c r="A74" s="270"/>
      <c r="B74" s="27"/>
      <c r="C74" s="1"/>
      <c r="D74" s="402"/>
      <c r="E74" s="381"/>
      <c r="F74" s="74"/>
      <c r="G74" s="685"/>
      <c r="H74" s="423"/>
      <c r="I74" s="438"/>
      <c r="J74" s="423"/>
      <c r="K74" s="438"/>
      <c r="L74" s="423"/>
      <c r="M74" s="438"/>
      <c r="N74" s="423"/>
      <c r="O74" s="438"/>
      <c r="P74" s="423"/>
      <c r="Q74" s="438"/>
      <c r="R74" s="423"/>
      <c r="S74" s="438"/>
      <c r="T74" s="423"/>
      <c r="U74" s="438"/>
      <c r="V74" s="423"/>
      <c r="W74" s="438"/>
      <c r="X74" s="423"/>
      <c r="Y74" s="438"/>
      <c r="Z74" s="423"/>
      <c r="AA74" s="438"/>
      <c r="AB74" s="423"/>
      <c r="AC74" s="438"/>
      <c r="AD74" s="423"/>
      <c r="AE74" s="438"/>
    </row>
    <row r="75" spans="1:40" x14ac:dyDescent="0.45">
      <c r="A75" s="271"/>
      <c r="B75" s="27"/>
      <c r="C75" s="27"/>
      <c r="D75" s="401"/>
      <c r="E75" s="398"/>
      <c r="F75" s="134"/>
      <c r="G75" s="685"/>
      <c r="H75" s="445"/>
      <c r="I75" s="438"/>
      <c r="J75" s="445"/>
      <c r="K75" s="438"/>
      <c r="L75" s="445"/>
      <c r="M75" s="438"/>
      <c r="N75" s="445"/>
      <c r="O75" s="438"/>
      <c r="P75" s="445"/>
      <c r="Q75" s="438"/>
      <c r="R75" s="445"/>
      <c r="S75" s="438"/>
      <c r="T75" s="445"/>
      <c r="U75" s="438"/>
      <c r="V75" s="445"/>
      <c r="W75" s="438"/>
      <c r="X75" s="445"/>
      <c r="Y75" s="438"/>
      <c r="Z75" s="445"/>
      <c r="AA75" s="438"/>
      <c r="AB75" s="445"/>
      <c r="AC75" s="438"/>
      <c r="AD75" s="445"/>
      <c r="AE75" s="438"/>
    </row>
    <row r="76" spans="1:40" x14ac:dyDescent="0.45">
      <c r="A76" s="271"/>
      <c r="B76" s="293"/>
      <c r="C76" s="27"/>
      <c r="D76" s="401"/>
      <c r="E76" s="382"/>
      <c r="F76" s="451"/>
      <c r="G76" s="685"/>
      <c r="H76" s="429"/>
      <c r="I76" s="438"/>
      <c r="J76" s="429"/>
      <c r="K76" s="438"/>
      <c r="L76" s="429"/>
      <c r="M76" s="438"/>
      <c r="N76" s="429"/>
      <c r="O76" s="438"/>
      <c r="P76" s="429"/>
      <c r="Q76" s="438"/>
      <c r="R76" s="429"/>
      <c r="S76" s="438"/>
      <c r="T76" s="429"/>
      <c r="U76" s="438"/>
      <c r="V76" s="429"/>
      <c r="W76" s="438"/>
      <c r="X76" s="429"/>
      <c r="Y76" s="438"/>
      <c r="Z76" s="429"/>
      <c r="AA76" s="438"/>
      <c r="AB76" s="429"/>
      <c r="AC76" s="438"/>
      <c r="AD76" s="429"/>
      <c r="AE76" s="438"/>
    </row>
    <row r="77" spans="1:40" x14ac:dyDescent="0.45">
      <c r="A77" s="271"/>
      <c r="B77" s="293"/>
      <c r="C77" s="27"/>
      <c r="D77" s="401"/>
      <c r="E77" s="398"/>
      <c r="F77" s="364"/>
      <c r="G77" s="685"/>
      <c r="H77" s="429"/>
      <c r="I77" s="441"/>
      <c r="J77" s="429"/>
      <c r="K77" s="441"/>
      <c r="L77" s="429"/>
      <c r="M77" s="441"/>
      <c r="N77" s="429"/>
      <c r="O77" s="441"/>
      <c r="P77" s="429"/>
      <c r="Q77" s="441"/>
      <c r="R77" s="429"/>
      <c r="S77" s="441"/>
      <c r="T77" s="429"/>
      <c r="U77" s="441"/>
      <c r="V77" s="429"/>
      <c r="W77" s="441"/>
      <c r="X77" s="429"/>
      <c r="Y77" s="441"/>
      <c r="Z77" s="429"/>
      <c r="AA77" s="441"/>
      <c r="AB77" s="429"/>
      <c r="AC77" s="441"/>
      <c r="AD77" s="429"/>
      <c r="AE77" s="441"/>
    </row>
    <row r="78" spans="1:40" x14ac:dyDescent="0.45">
      <c r="A78" s="270"/>
      <c r="B78" s="293"/>
      <c r="C78" s="27"/>
      <c r="D78" s="401"/>
      <c r="E78" s="398"/>
      <c r="F78" s="395"/>
      <c r="G78" s="685"/>
      <c r="H78" s="445"/>
      <c r="I78" s="441"/>
      <c r="J78" s="445"/>
      <c r="K78" s="441"/>
      <c r="L78" s="445"/>
      <c r="M78" s="441"/>
      <c r="N78" s="445"/>
      <c r="O78" s="441"/>
      <c r="P78" s="445"/>
      <c r="Q78" s="441"/>
      <c r="R78" s="445"/>
      <c r="S78" s="441"/>
      <c r="T78" s="445"/>
      <c r="U78" s="441"/>
      <c r="V78" s="445"/>
      <c r="W78" s="441"/>
      <c r="X78" s="445"/>
      <c r="Y78" s="441"/>
      <c r="Z78" s="445"/>
      <c r="AA78" s="441"/>
      <c r="AB78" s="445"/>
      <c r="AC78" s="441"/>
      <c r="AD78" s="445"/>
      <c r="AE78" s="441"/>
    </row>
    <row r="79" spans="1:40" ht="17.5" x14ac:dyDescent="0.45">
      <c r="A79" s="28"/>
      <c r="B79" s="1"/>
      <c r="C79" s="1"/>
      <c r="D79" s="401"/>
      <c r="E79" s="393"/>
      <c r="F79" s="74"/>
      <c r="G79" s="685"/>
      <c r="H79" s="429"/>
      <c r="I79" s="438"/>
      <c r="J79" s="429"/>
      <c r="K79" s="438"/>
      <c r="L79" s="429"/>
      <c r="M79" s="438"/>
      <c r="N79" s="429"/>
      <c r="O79" s="438"/>
      <c r="P79" s="429"/>
      <c r="Q79" s="438"/>
      <c r="R79" s="429"/>
      <c r="S79" s="438"/>
      <c r="T79" s="429"/>
      <c r="U79" s="438"/>
      <c r="V79" s="429"/>
      <c r="W79" s="438"/>
      <c r="X79" s="429"/>
      <c r="Y79" s="438"/>
      <c r="Z79" s="429"/>
      <c r="AA79" s="438"/>
      <c r="AB79" s="429"/>
      <c r="AC79" s="438"/>
      <c r="AD79" s="429"/>
      <c r="AE79" s="438"/>
    </row>
    <row r="80" spans="1:40" ht="17.5" x14ac:dyDescent="0.45">
      <c r="A80" s="1"/>
      <c r="B80" s="27"/>
      <c r="C80" s="27"/>
      <c r="D80" s="401"/>
      <c r="E80" s="387"/>
      <c r="F80" s="75"/>
      <c r="G80" s="685"/>
      <c r="H80" s="429"/>
      <c r="I80" s="438"/>
      <c r="J80" s="429"/>
      <c r="K80" s="438"/>
      <c r="L80" s="429"/>
      <c r="M80" s="438"/>
      <c r="N80" s="429"/>
      <c r="O80" s="438"/>
      <c r="P80" s="429"/>
      <c r="Q80" s="438"/>
      <c r="R80" s="429"/>
      <c r="S80" s="438"/>
      <c r="T80" s="429"/>
      <c r="U80" s="438"/>
      <c r="V80" s="429"/>
      <c r="W80" s="438"/>
      <c r="X80" s="429"/>
      <c r="Y80" s="438"/>
      <c r="Z80" s="429"/>
      <c r="AA80" s="438"/>
      <c r="AB80" s="429"/>
      <c r="AC80" s="438"/>
      <c r="AD80" s="429"/>
      <c r="AE80" s="438"/>
    </row>
    <row r="81" spans="1:31" ht="17.5" x14ac:dyDescent="0.45">
      <c r="A81" s="1"/>
      <c r="B81" s="27"/>
      <c r="C81" s="27"/>
      <c r="D81" s="402"/>
      <c r="E81" s="387"/>
      <c r="F81" s="75"/>
      <c r="G81" s="685"/>
      <c r="H81" s="423"/>
      <c r="I81" s="438"/>
      <c r="J81" s="423"/>
      <c r="K81" s="438"/>
      <c r="L81" s="423"/>
      <c r="M81" s="438"/>
      <c r="N81" s="423"/>
      <c r="O81" s="438"/>
      <c r="P81" s="423"/>
      <c r="Q81" s="438"/>
      <c r="R81" s="423"/>
      <c r="S81" s="438"/>
      <c r="T81" s="423"/>
      <c r="U81" s="438"/>
      <c r="V81" s="423"/>
      <c r="W81" s="438"/>
      <c r="X81" s="423"/>
      <c r="Y81" s="438"/>
      <c r="Z81" s="423"/>
      <c r="AA81" s="438"/>
      <c r="AB81" s="423"/>
      <c r="AC81" s="438"/>
      <c r="AD81" s="423"/>
      <c r="AE81" s="438"/>
    </row>
    <row r="82" spans="1:31" x14ac:dyDescent="0.45">
      <c r="A82" s="271"/>
      <c r="B82" s="293"/>
      <c r="C82" s="27"/>
      <c r="D82" s="401"/>
      <c r="E82" s="398"/>
      <c r="F82" s="364"/>
      <c r="G82" s="685"/>
      <c r="H82" s="429"/>
      <c r="I82" s="441"/>
      <c r="J82" s="429"/>
      <c r="K82" s="441"/>
      <c r="L82" s="429"/>
      <c r="M82" s="441"/>
      <c r="N82" s="429"/>
      <c r="O82" s="441"/>
      <c r="P82" s="429"/>
      <c r="Q82" s="441"/>
      <c r="R82" s="429"/>
      <c r="S82" s="441"/>
      <c r="T82" s="429"/>
      <c r="U82" s="441"/>
      <c r="V82" s="429"/>
      <c r="W82" s="441"/>
      <c r="X82" s="429"/>
      <c r="Y82" s="441"/>
      <c r="Z82" s="429"/>
      <c r="AA82" s="441"/>
      <c r="AB82" s="429"/>
      <c r="AC82" s="441"/>
      <c r="AD82" s="429"/>
      <c r="AE82" s="441"/>
    </row>
    <row r="83" spans="1:31" x14ac:dyDescent="0.45">
      <c r="A83" s="271"/>
      <c r="B83" s="293"/>
      <c r="C83" s="27"/>
      <c r="D83" s="401"/>
      <c r="E83" s="398"/>
      <c r="F83" s="364"/>
      <c r="G83" s="685"/>
      <c r="H83" s="445"/>
      <c r="I83" s="441"/>
      <c r="J83" s="445"/>
      <c r="K83" s="441"/>
      <c r="L83" s="445"/>
      <c r="M83" s="441"/>
      <c r="N83" s="445"/>
      <c r="O83" s="441"/>
      <c r="P83" s="445"/>
      <c r="Q83" s="441"/>
      <c r="R83" s="445"/>
      <c r="S83" s="441"/>
      <c r="T83" s="445"/>
      <c r="U83" s="441"/>
      <c r="V83" s="445"/>
      <c r="W83" s="441"/>
      <c r="X83" s="445"/>
      <c r="Y83" s="441"/>
      <c r="Z83" s="445"/>
      <c r="AA83" s="441"/>
      <c r="AB83" s="445"/>
      <c r="AC83" s="441"/>
      <c r="AD83" s="445"/>
      <c r="AE83" s="441"/>
    </row>
    <row r="84" spans="1:31" x14ac:dyDescent="0.45">
      <c r="A84" s="271"/>
      <c r="B84" s="27"/>
      <c r="C84" s="27"/>
      <c r="D84" s="401"/>
      <c r="E84" s="382"/>
      <c r="F84" s="451"/>
      <c r="G84" s="685"/>
      <c r="H84" s="429"/>
      <c r="I84" s="438"/>
      <c r="J84" s="429"/>
      <c r="K84" s="438"/>
      <c r="L84" s="429"/>
      <c r="M84" s="438"/>
      <c r="N84" s="429"/>
      <c r="O84" s="438"/>
      <c r="P84" s="429"/>
      <c r="Q84" s="438"/>
      <c r="R84" s="429"/>
      <c r="S84" s="438"/>
      <c r="T84" s="429"/>
      <c r="U84" s="438"/>
      <c r="V84" s="429"/>
      <c r="W84" s="438"/>
      <c r="X84" s="429"/>
      <c r="Y84" s="438"/>
      <c r="Z84" s="429"/>
      <c r="AA84" s="438"/>
      <c r="AB84" s="429"/>
      <c r="AC84" s="438"/>
      <c r="AD84" s="429"/>
      <c r="AE84" s="438"/>
    </row>
    <row r="85" spans="1:31" x14ac:dyDescent="0.45">
      <c r="A85" s="271"/>
      <c r="B85" s="27"/>
      <c r="C85" s="27"/>
      <c r="D85" s="401"/>
      <c r="E85" s="382"/>
      <c r="F85" s="395"/>
      <c r="G85" s="685"/>
      <c r="H85" s="429"/>
      <c r="I85" s="438"/>
      <c r="J85" s="429"/>
      <c r="K85" s="438"/>
      <c r="L85" s="429"/>
      <c r="M85" s="438"/>
      <c r="N85" s="429"/>
      <c r="O85" s="438"/>
      <c r="P85" s="429"/>
      <c r="Q85" s="438"/>
      <c r="R85" s="429"/>
      <c r="S85" s="438"/>
      <c r="T85" s="429"/>
      <c r="U85" s="438"/>
      <c r="V85" s="429"/>
      <c r="W85" s="438"/>
      <c r="X85" s="429"/>
      <c r="Y85" s="438"/>
      <c r="Z85" s="429"/>
      <c r="AA85" s="438"/>
      <c r="AB85" s="429"/>
      <c r="AC85" s="438"/>
      <c r="AD85" s="429"/>
      <c r="AE85" s="438"/>
    </row>
    <row r="86" spans="1:31" x14ac:dyDescent="0.45">
      <c r="A86" s="271"/>
      <c r="B86" s="293"/>
      <c r="C86" s="27"/>
      <c r="D86" s="401"/>
      <c r="E86" s="382"/>
      <c r="F86" s="451"/>
      <c r="G86" s="685"/>
      <c r="H86" s="423"/>
      <c r="I86" s="438"/>
      <c r="J86" s="423"/>
      <c r="K86" s="438"/>
      <c r="L86" s="423"/>
      <c r="M86" s="438"/>
      <c r="N86" s="423"/>
      <c r="O86" s="438"/>
      <c r="P86" s="423"/>
      <c r="Q86" s="438"/>
      <c r="R86" s="423"/>
      <c r="S86" s="438"/>
      <c r="T86" s="423"/>
      <c r="U86" s="438"/>
      <c r="V86" s="423"/>
      <c r="W86" s="438"/>
      <c r="X86" s="423"/>
      <c r="Y86" s="438"/>
      <c r="Z86" s="423"/>
      <c r="AA86" s="438"/>
      <c r="AB86" s="423"/>
      <c r="AC86" s="438"/>
      <c r="AD86" s="423"/>
      <c r="AE86" s="438"/>
    </row>
    <row r="87" spans="1:31" ht="17.5" x14ac:dyDescent="0.45">
      <c r="A87" s="271"/>
      <c r="B87" s="27"/>
      <c r="C87" s="27"/>
      <c r="D87" s="401"/>
      <c r="E87" s="466"/>
      <c r="F87" s="75"/>
      <c r="G87" s="685"/>
      <c r="H87" s="445"/>
      <c r="I87" s="438"/>
      <c r="J87" s="445"/>
      <c r="K87" s="438"/>
      <c r="L87" s="445"/>
      <c r="M87" s="438"/>
      <c r="N87" s="445"/>
      <c r="O87" s="438"/>
      <c r="P87" s="445"/>
      <c r="Q87" s="438"/>
      <c r="R87" s="445"/>
      <c r="S87" s="438"/>
      <c r="T87" s="445"/>
      <c r="U87" s="438"/>
      <c r="V87" s="445"/>
      <c r="W87" s="438"/>
      <c r="X87" s="445"/>
      <c r="Y87" s="438"/>
      <c r="Z87" s="445"/>
      <c r="AA87" s="438"/>
      <c r="AB87" s="445"/>
      <c r="AC87" s="438"/>
      <c r="AD87" s="445"/>
      <c r="AE87" s="438"/>
    </row>
    <row r="88" spans="1:31" ht="17.5" x14ac:dyDescent="0.45">
      <c r="A88" s="36"/>
      <c r="B88" s="27"/>
      <c r="C88" s="27"/>
      <c r="D88" s="401"/>
      <c r="E88" s="466"/>
      <c r="F88" s="75"/>
      <c r="G88" s="685"/>
      <c r="H88" s="429"/>
      <c r="I88" s="438"/>
      <c r="J88" s="429"/>
      <c r="K88" s="438"/>
      <c r="L88" s="429"/>
      <c r="M88" s="438"/>
      <c r="N88" s="429"/>
      <c r="O88" s="438"/>
      <c r="P88" s="429"/>
      <c r="Q88" s="438"/>
      <c r="R88" s="429"/>
      <c r="S88" s="438"/>
      <c r="T88" s="429"/>
      <c r="U88" s="438"/>
      <c r="V88" s="429"/>
      <c r="W88" s="438"/>
      <c r="X88" s="429"/>
      <c r="Y88" s="438"/>
      <c r="Z88" s="429"/>
      <c r="AA88" s="438"/>
      <c r="AB88" s="429"/>
      <c r="AC88" s="438"/>
      <c r="AD88" s="429"/>
      <c r="AE88" s="438"/>
    </row>
    <row r="89" spans="1:31" x14ac:dyDescent="0.45">
      <c r="A89" s="1"/>
      <c r="B89" s="1"/>
      <c r="C89" s="1"/>
      <c r="D89" s="402"/>
      <c r="E89" s="399"/>
      <c r="F89" s="134"/>
      <c r="G89" s="685"/>
      <c r="H89" s="429"/>
      <c r="I89" s="438"/>
      <c r="J89" s="429"/>
      <c r="K89" s="438"/>
      <c r="L89" s="429"/>
      <c r="M89" s="438"/>
      <c r="N89" s="429"/>
      <c r="O89" s="438"/>
      <c r="P89" s="429"/>
      <c r="Q89" s="438"/>
      <c r="R89" s="429"/>
      <c r="S89" s="438"/>
      <c r="T89" s="429"/>
      <c r="U89" s="438"/>
      <c r="V89" s="429"/>
      <c r="W89" s="438"/>
      <c r="X89" s="429"/>
      <c r="Y89" s="438"/>
      <c r="Z89" s="429"/>
      <c r="AA89" s="438"/>
      <c r="AB89" s="429"/>
      <c r="AC89" s="438"/>
      <c r="AD89" s="429"/>
      <c r="AE89" s="438"/>
    </row>
    <row r="90" spans="1:31" ht="17.25" customHeight="1" x14ac:dyDescent="0.45">
      <c r="A90" s="667"/>
      <c r="B90" s="667"/>
      <c r="C90" s="667"/>
      <c r="D90" s="667"/>
      <c r="E90" s="667"/>
      <c r="F90" s="443">
        <f>SUM(F62:F89)</f>
        <v>20</v>
      </c>
      <c r="G90" s="685"/>
      <c r="H90" s="674"/>
      <c r="I90" s="674"/>
      <c r="J90" s="674"/>
      <c r="K90" s="674"/>
      <c r="L90" s="674"/>
      <c r="M90" s="674"/>
      <c r="N90" s="674"/>
      <c r="O90" s="674"/>
      <c r="P90" s="674"/>
      <c r="Q90" s="674"/>
      <c r="R90" s="674"/>
      <c r="S90" s="674"/>
      <c r="T90" s="674"/>
      <c r="U90" s="674"/>
      <c r="V90" s="674"/>
      <c r="W90" s="674"/>
      <c r="X90" s="674"/>
      <c r="Y90" s="674"/>
      <c r="Z90" s="674"/>
      <c r="AA90" s="674"/>
      <c r="AB90" s="674"/>
      <c r="AC90" s="674"/>
      <c r="AD90" s="674"/>
      <c r="AE90" s="674"/>
    </row>
    <row r="91" spans="1:31" x14ac:dyDescent="0.45">
      <c r="A91" s="707"/>
      <c r="B91" s="707"/>
      <c r="C91" s="707"/>
      <c r="D91" s="707"/>
      <c r="E91" s="707"/>
      <c r="F91" s="669"/>
      <c r="G91" s="685"/>
      <c r="H91" s="674"/>
      <c r="I91" s="674"/>
      <c r="J91" s="674"/>
      <c r="K91" s="674"/>
      <c r="L91" s="674"/>
      <c r="M91" s="674"/>
      <c r="N91" s="674"/>
      <c r="O91" s="674"/>
      <c r="P91" s="674"/>
      <c r="Q91" s="674"/>
      <c r="R91" s="674"/>
      <c r="S91" s="674"/>
      <c r="T91" s="674"/>
      <c r="U91" s="674"/>
      <c r="V91" s="674"/>
      <c r="W91" s="674"/>
      <c r="X91" s="674"/>
      <c r="Y91" s="674"/>
      <c r="Z91" s="674"/>
      <c r="AA91" s="674"/>
      <c r="AB91" s="674"/>
      <c r="AC91" s="674"/>
      <c r="AD91" s="674"/>
      <c r="AE91" s="674"/>
    </row>
    <row r="92" spans="1:31" x14ac:dyDescent="0.45">
      <c r="A92" s="707"/>
      <c r="B92" s="707"/>
      <c r="C92" s="707"/>
      <c r="D92" s="707"/>
      <c r="E92" s="707"/>
      <c r="F92" s="710"/>
      <c r="G92" s="685"/>
      <c r="H92" s="674"/>
      <c r="I92" s="674"/>
      <c r="J92" s="674"/>
      <c r="K92" s="674"/>
      <c r="L92" s="674"/>
      <c r="M92" s="674"/>
      <c r="N92" s="674"/>
      <c r="O92" s="674"/>
      <c r="P92" s="674"/>
      <c r="Q92" s="674"/>
      <c r="R92" s="674"/>
      <c r="S92" s="674"/>
      <c r="T92" s="674"/>
      <c r="U92" s="674"/>
      <c r="V92" s="674"/>
      <c r="W92" s="674"/>
      <c r="X92" s="674"/>
      <c r="Y92" s="674"/>
      <c r="Z92" s="674"/>
      <c r="AA92" s="674"/>
      <c r="AB92" s="674"/>
      <c r="AC92" s="674"/>
      <c r="AD92" s="674"/>
      <c r="AE92" s="674"/>
    </row>
    <row r="93" spans="1:31" x14ac:dyDescent="0.45">
      <c r="A93" s="707"/>
      <c r="B93" s="707"/>
      <c r="C93" s="707"/>
      <c r="D93" s="707"/>
      <c r="E93" s="707"/>
      <c r="F93" s="707"/>
      <c r="G93" s="685"/>
      <c r="H93" s="674"/>
      <c r="I93" s="674"/>
      <c r="J93" s="674"/>
      <c r="K93" s="674"/>
      <c r="L93" s="674"/>
      <c r="M93" s="674"/>
      <c r="N93" s="674"/>
      <c r="O93" s="674"/>
      <c r="P93" s="674"/>
      <c r="Q93" s="674"/>
      <c r="R93" s="674"/>
      <c r="S93" s="674"/>
      <c r="T93" s="674"/>
      <c r="U93" s="674"/>
      <c r="V93" s="674"/>
      <c r="W93" s="674"/>
      <c r="X93" s="674"/>
      <c r="Y93" s="674"/>
      <c r="Z93" s="674"/>
      <c r="AA93" s="674"/>
      <c r="AB93" s="674"/>
      <c r="AC93" s="674"/>
      <c r="AD93" s="674"/>
      <c r="AE93" s="706"/>
    </row>
    <row r="94" spans="1:31" x14ac:dyDescent="0.45">
      <c r="A94" s="707"/>
      <c r="B94" s="707"/>
      <c r="C94" s="707"/>
      <c r="D94" s="707"/>
      <c r="E94" s="707"/>
      <c r="F94" s="707"/>
      <c r="G94" s="685"/>
      <c r="H94" s="674"/>
      <c r="I94" s="674"/>
      <c r="J94" s="674"/>
      <c r="K94" s="674"/>
      <c r="L94" s="674"/>
      <c r="M94" s="674"/>
      <c r="N94" s="674"/>
      <c r="O94" s="674"/>
      <c r="P94" s="674"/>
      <c r="Q94" s="674"/>
      <c r="R94" s="674"/>
      <c r="S94" s="674"/>
      <c r="T94" s="674"/>
      <c r="U94" s="674"/>
      <c r="V94" s="674"/>
      <c r="W94" s="674"/>
      <c r="X94" s="674"/>
      <c r="Y94" s="674"/>
      <c r="Z94" s="674"/>
      <c r="AA94" s="674"/>
      <c r="AB94" s="674"/>
      <c r="AC94" s="674"/>
      <c r="AD94" s="674"/>
      <c r="AE94" s="707"/>
    </row>
    <row r="95" spans="1:31" x14ac:dyDescent="0.45">
      <c r="A95" s="707"/>
      <c r="B95" s="707"/>
      <c r="C95" s="707"/>
      <c r="D95" s="707"/>
      <c r="E95" s="707"/>
      <c r="F95" s="707"/>
      <c r="G95" s="685"/>
      <c r="H95" s="674"/>
      <c r="I95" s="674"/>
      <c r="J95" s="674"/>
      <c r="K95" s="674"/>
      <c r="L95" s="674"/>
      <c r="M95" s="674"/>
      <c r="N95" s="674"/>
      <c r="O95" s="674"/>
      <c r="P95" s="674"/>
      <c r="Q95" s="674"/>
      <c r="R95" s="674"/>
      <c r="S95" s="674"/>
      <c r="T95" s="674"/>
      <c r="U95" s="674"/>
      <c r="V95" s="674"/>
      <c r="W95" s="674"/>
      <c r="X95" s="674"/>
      <c r="Y95" s="674"/>
      <c r="Z95" s="674"/>
      <c r="AA95" s="674"/>
      <c r="AB95" s="674"/>
      <c r="AC95" s="674"/>
      <c r="AD95" s="674"/>
      <c r="AE95" s="707"/>
    </row>
    <row r="96" spans="1:31" x14ac:dyDescent="0.45">
      <c r="A96" s="707"/>
      <c r="B96" s="707"/>
      <c r="C96" s="707"/>
      <c r="D96" s="707"/>
      <c r="E96" s="707"/>
      <c r="F96" s="707"/>
      <c r="G96" s="685"/>
      <c r="H96" s="674"/>
      <c r="I96" s="674"/>
      <c r="J96" s="674"/>
      <c r="K96" s="674"/>
      <c r="L96" s="674"/>
      <c r="M96" s="674"/>
      <c r="N96" s="674"/>
      <c r="O96" s="674"/>
      <c r="P96" s="674"/>
      <c r="Q96" s="674"/>
      <c r="R96" s="674"/>
      <c r="S96" s="674"/>
      <c r="T96" s="674"/>
      <c r="U96" s="674"/>
      <c r="V96" s="674"/>
      <c r="W96" s="674"/>
      <c r="X96" s="674"/>
      <c r="Y96" s="674"/>
      <c r="Z96" s="674"/>
      <c r="AA96" s="674"/>
      <c r="AB96" s="674"/>
      <c r="AC96" s="674"/>
      <c r="AD96" s="674"/>
      <c r="AE96" s="707"/>
    </row>
    <row r="97" spans="1:31" x14ac:dyDescent="0.45">
      <c r="A97" s="707"/>
      <c r="B97" s="707"/>
      <c r="C97" s="707"/>
      <c r="D97" s="707"/>
      <c r="E97" s="707"/>
      <c r="F97" s="707"/>
      <c r="G97" s="685"/>
      <c r="H97" s="674"/>
      <c r="I97" s="674"/>
      <c r="J97" s="674"/>
      <c r="K97" s="674"/>
      <c r="L97" s="674"/>
      <c r="M97" s="674"/>
      <c r="N97" s="674"/>
      <c r="O97" s="674"/>
      <c r="P97" s="674"/>
      <c r="Q97" s="674"/>
      <c r="R97" s="674"/>
      <c r="S97" s="674"/>
      <c r="T97" s="674"/>
      <c r="U97" s="674"/>
      <c r="V97" s="674"/>
      <c r="W97" s="674"/>
      <c r="X97" s="674"/>
      <c r="Y97" s="674"/>
      <c r="Z97" s="674"/>
      <c r="AA97" s="674"/>
      <c r="AB97" s="674"/>
      <c r="AC97" s="674"/>
      <c r="AD97" s="674"/>
      <c r="AE97" s="707"/>
    </row>
    <row r="98" spans="1:31" x14ac:dyDescent="0.45">
      <c r="A98" s="707"/>
      <c r="B98" s="707"/>
      <c r="C98" s="707"/>
      <c r="D98" s="707"/>
      <c r="E98" s="707"/>
      <c r="F98" s="707"/>
      <c r="G98" s="685"/>
      <c r="H98" s="674"/>
      <c r="I98" s="674"/>
      <c r="J98" s="674"/>
      <c r="K98" s="674"/>
      <c r="L98" s="674"/>
      <c r="M98" s="674"/>
      <c r="N98" s="674"/>
      <c r="O98" s="674"/>
      <c r="P98" s="674"/>
      <c r="Q98" s="674"/>
      <c r="R98" s="674"/>
      <c r="S98" s="674"/>
      <c r="T98" s="674"/>
      <c r="U98" s="674"/>
      <c r="V98" s="674"/>
      <c r="W98" s="674"/>
      <c r="X98" s="674"/>
      <c r="Y98" s="674"/>
      <c r="Z98" s="674"/>
      <c r="AA98" s="674"/>
      <c r="AB98" s="674"/>
      <c r="AC98" s="674"/>
      <c r="AD98" s="674"/>
      <c r="AE98" s="707"/>
    </row>
    <row r="99" spans="1:31" x14ac:dyDescent="0.45">
      <c r="A99" s="707"/>
      <c r="B99" s="707"/>
      <c r="C99" s="707"/>
      <c r="D99" s="707"/>
      <c r="E99" s="707"/>
      <c r="F99" s="707"/>
      <c r="G99" s="685"/>
      <c r="H99" s="674"/>
      <c r="I99" s="674"/>
      <c r="J99" s="674"/>
      <c r="K99" s="674"/>
      <c r="L99" s="674"/>
      <c r="M99" s="674"/>
      <c r="N99" s="674"/>
      <c r="O99" s="674"/>
      <c r="P99" s="674"/>
      <c r="Q99" s="674"/>
      <c r="R99" s="674"/>
      <c r="S99" s="674"/>
      <c r="T99" s="674"/>
      <c r="U99" s="674"/>
      <c r="V99" s="674"/>
      <c r="W99" s="674"/>
      <c r="X99" s="674"/>
      <c r="Y99" s="674"/>
      <c r="Z99" s="674"/>
      <c r="AA99" s="674"/>
      <c r="AB99" s="674"/>
      <c r="AC99" s="674"/>
      <c r="AD99" s="674"/>
      <c r="AE99" s="707"/>
    </row>
    <row r="100" spans="1:31" x14ac:dyDescent="0.45">
      <c r="A100" s="707"/>
      <c r="B100" s="707"/>
      <c r="C100" s="707"/>
      <c r="D100" s="707"/>
      <c r="E100" s="707"/>
      <c r="F100" s="707"/>
      <c r="G100" s="685"/>
      <c r="H100" s="674"/>
      <c r="I100" s="674"/>
      <c r="J100" s="674"/>
      <c r="K100" s="674"/>
      <c r="L100" s="674"/>
      <c r="M100" s="674"/>
      <c r="N100" s="674"/>
      <c r="O100" s="674"/>
      <c r="P100" s="674"/>
      <c r="Q100" s="674"/>
      <c r="R100" s="674"/>
      <c r="S100" s="674"/>
      <c r="T100" s="674"/>
      <c r="U100" s="674"/>
      <c r="V100" s="674"/>
      <c r="W100" s="674"/>
      <c r="X100" s="674"/>
      <c r="Y100" s="674"/>
      <c r="Z100" s="674"/>
      <c r="AA100" s="674"/>
      <c r="AB100" s="674"/>
      <c r="AC100" s="674"/>
      <c r="AD100" s="674"/>
      <c r="AE100" s="707"/>
    </row>
    <row r="101" spans="1:31" x14ac:dyDescent="0.45">
      <c r="A101" s="707"/>
      <c r="B101" s="707"/>
      <c r="C101" s="707"/>
      <c r="D101" s="707"/>
      <c r="E101" s="707"/>
      <c r="F101" s="707"/>
      <c r="G101" s="685"/>
      <c r="H101" s="674"/>
      <c r="I101" s="674"/>
      <c r="J101" s="674"/>
      <c r="K101" s="674"/>
      <c r="L101" s="674"/>
      <c r="M101" s="674"/>
      <c r="N101" s="674"/>
      <c r="O101" s="674"/>
      <c r="P101" s="674"/>
      <c r="Q101" s="674"/>
      <c r="R101" s="674"/>
      <c r="S101" s="674"/>
      <c r="T101" s="674"/>
      <c r="U101" s="674"/>
      <c r="V101" s="674"/>
      <c r="W101" s="674"/>
      <c r="X101" s="674"/>
      <c r="Y101" s="674"/>
      <c r="Z101" s="674"/>
      <c r="AA101" s="674"/>
      <c r="AB101" s="674"/>
      <c r="AC101" s="674"/>
      <c r="AD101" s="674"/>
      <c r="AE101" s="707"/>
    </row>
    <row r="102" spans="1:31" x14ac:dyDescent="0.45">
      <c r="A102" s="707"/>
      <c r="B102" s="707"/>
      <c r="C102" s="707"/>
      <c r="D102" s="707"/>
      <c r="E102" s="707"/>
      <c r="F102" s="707"/>
      <c r="G102" s="685"/>
      <c r="H102" s="674"/>
      <c r="I102" s="674"/>
      <c r="J102" s="674"/>
      <c r="K102" s="674"/>
      <c r="L102" s="674"/>
      <c r="M102" s="674"/>
      <c r="N102" s="674"/>
      <c r="O102" s="674"/>
      <c r="P102" s="674"/>
      <c r="Q102" s="674"/>
      <c r="R102" s="674"/>
      <c r="S102" s="674"/>
      <c r="T102" s="674"/>
      <c r="U102" s="674"/>
      <c r="V102" s="674"/>
      <c r="W102" s="674"/>
      <c r="X102" s="674"/>
      <c r="Y102" s="674"/>
      <c r="Z102" s="674"/>
      <c r="AA102" s="674"/>
      <c r="AB102" s="674"/>
      <c r="AC102" s="674"/>
      <c r="AD102" s="674"/>
      <c r="AE102" s="707"/>
    </row>
    <row r="103" spans="1:31" x14ac:dyDescent="0.45">
      <c r="A103" s="707"/>
      <c r="B103" s="707"/>
      <c r="C103" s="707"/>
      <c r="D103" s="707"/>
      <c r="E103" s="707"/>
      <c r="F103" s="707"/>
      <c r="G103" s="685"/>
      <c r="H103" s="674"/>
      <c r="I103" s="674"/>
      <c r="J103" s="674"/>
      <c r="K103" s="674"/>
      <c r="L103" s="674"/>
      <c r="M103" s="674"/>
      <c r="N103" s="674"/>
      <c r="O103" s="674"/>
      <c r="P103" s="674"/>
      <c r="Q103" s="674"/>
      <c r="R103" s="674"/>
      <c r="S103" s="674"/>
      <c r="T103" s="674"/>
      <c r="U103" s="674"/>
      <c r="V103" s="674"/>
      <c r="W103" s="674"/>
      <c r="X103" s="674"/>
      <c r="Y103" s="674"/>
      <c r="Z103" s="674"/>
      <c r="AA103" s="674"/>
      <c r="AB103" s="674"/>
      <c r="AC103" s="674"/>
      <c r="AD103" s="674"/>
      <c r="AE103" s="707"/>
    </row>
    <row r="104" spans="1:31" x14ac:dyDescent="0.45">
      <c r="A104" s="707"/>
      <c r="B104" s="707"/>
      <c r="C104" s="707"/>
      <c r="D104" s="707"/>
      <c r="E104" s="707"/>
      <c r="F104" s="707"/>
      <c r="G104" s="685"/>
      <c r="H104" s="674"/>
      <c r="I104" s="674"/>
      <c r="J104" s="674"/>
      <c r="K104" s="674"/>
      <c r="L104" s="674"/>
      <c r="M104" s="674"/>
      <c r="N104" s="674"/>
      <c r="O104" s="674"/>
      <c r="P104" s="674"/>
      <c r="Q104" s="674"/>
      <c r="R104" s="674"/>
      <c r="S104" s="674"/>
      <c r="T104" s="674"/>
      <c r="U104" s="674"/>
      <c r="V104" s="674"/>
      <c r="W104" s="674"/>
      <c r="X104" s="674"/>
      <c r="Y104" s="674"/>
      <c r="Z104" s="674"/>
      <c r="AA104" s="674"/>
      <c r="AB104" s="674"/>
      <c r="AC104" s="674"/>
      <c r="AD104" s="674"/>
      <c r="AE104" s="707"/>
    </row>
    <row r="105" spans="1:31" x14ac:dyDescent="0.45">
      <c r="A105" s="707"/>
      <c r="B105" s="707"/>
      <c r="C105" s="707"/>
      <c r="D105" s="707"/>
      <c r="E105" s="707"/>
      <c r="F105" s="707"/>
      <c r="G105" s="685"/>
      <c r="H105" s="674"/>
      <c r="I105" s="674"/>
      <c r="J105" s="674"/>
      <c r="K105" s="674"/>
      <c r="L105" s="674"/>
      <c r="M105" s="674"/>
      <c r="N105" s="674"/>
      <c r="O105" s="674"/>
      <c r="P105" s="674"/>
      <c r="Q105" s="674"/>
      <c r="R105" s="674"/>
      <c r="S105" s="674"/>
      <c r="T105" s="674"/>
      <c r="U105" s="674"/>
      <c r="V105" s="674"/>
      <c r="W105" s="674"/>
      <c r="X105" s="674"/>
      <c r="Y105" s="674"/>
      <c r="Z105" s="674"/>
      <c r="AA105" s="674"/>
      <c r="AB105" s="674"/>
      <c r="AC105" s="674"/>
      <c r="AD105" s="674"/>
      <c r="AE105" s="707"/>
    </row>
    <row r="106" spans="1:31" x14ac:dyDescent="0.45">
      <c r="A106" s="707"/>
      <c r="B106" s="707"/>
      <c r="C106" s="707"/>
      <c r="D106" s="707"/>
      <c r="E106" s="707"/>
      <c r="F106" s="707"/>
      <c r="G106" s="685"/>
      <c r="H106" s="674"/>
      <c r="I106" s="674"/>
      <c r="J106" s="674"/>
      <c r="K106" s="674"/>
      <c r="L106" s="674"/>
      <c r="M106" s="674"/>
      <c r="N106" s="674"/>
      <c r="O106" s="674"/>
      <c r="P106" s="674"/>
      <c r="Q106" s="674"/>
      <c r="R106" s="674"/>
      <c r="S106" s="674"/>
      <c r="T106" s="674"/>
      <c r="U106" s="674"/>
      <c r="V106" s="674"/>
      <c r="W106" s="674"/>
      <c r="X106" s="674"/>
      <c r="Y106" s="674"/>
      <c r="Z106" s="674"/>
      <c r="AA106" s="674"/>
      <c r="AB106" s="674"/>
      <c r="AC106" s="674"/>
      <c r="AD106" s="674"/>
      <c r="AE106" s="707"/>
    </row>
    <row r="107" spans="1:31" x14ac:dyDescent="0.45">
      <c r="A107" s="707"/>
      <c r="B107" s="707"/>
      <c r="C107" s="707"/>
      <c r="D107" s="707"/>
      <c r="E107" s="707"/>
      <c r="F107" s="707"/>
      <c r="G107" s="685"/>
      <c r="H107" s="674"/>
      <c r="I107" s="674"/>
      <c r="J107" s="674"/>
      <c r="K107" s="674"/>
      <c r="L107" s="674"/>
      <c r="M107" s="674"/>
      <c r="N107" s="674"/>
      <c r="O107" s="674"/>
      <c r="P107" s="674"/>
      <c r="Q107" s="674"/>
      <c r="R107" s="674"/>
      <c r="S107" s="674"/>
      <c r="T107" s="674"/>
      <c r="U107" s="674"/>
      <c r="V107" s="674"/>
      <c r="W107" s="674"/>
      <c r="X107" s="674"/>
      <c r="Y107" s="674"/>
      <c r="Z107" s="674"/>
      <c r="AA107" s="674"/>
      <c r="AB107" s="674"/>
      <c r="AC107" s="674"/>
      <c r="AD107" s="674"/>
      <c r="AE107" s="707"/>
    </row>
    <row r="108" spans="1:31" x14ac:dyDescent="0.45">
      <c r="A108" s="707"/>
      <c r="B108" s="707"/>
      <c r="C108" s="707"/>
      <c r="D108" s="707"/>
      <c r="E108" s="707"/>
      <c r="F108" s="707"/>
      <c r="G108" s="685"/>
      <c r="H108" s="674"/>
      <c r="I108" s="674"/>
      <c r="J108" s="674"/>
      <c r="K108" s="674"/>
      <c r="L108" s="674"/>
      <c r="M108" s="674"/>
      <c r="N108" s="674"/>
      <c r="O108" s="674"/>
      <c r="P108" s="674"/>
      <c r="Q108" s="674"/>
      <c r="R108" s="674"/>
      <c r="S108" s="674"/>
      <c r="T108" s="674"/>
      <c r="U108" s="674"/>
      <c r="V108" s="674"/>
      <c r="W108" s="674"/>
      <c r="X108" s="674"/>
      <c r="Y108" s="674"/>
      <c r="Z108" s="674"/>
      <c r="AA108" s="674"/>
      <c r="AB108" s="674"/>
      <c r="AC108" s="674"/>
      <c r="AD108" s="674"/>
      <c r="AE108" s="707"/>
    </row>
    <row r="109" spans="1:31" x14ac:dyDescent="0.45">
      <c r="A109" s="707"/>
      <c r="B109" s="707"/>
      <c r="C109" s="707"/>
      <c r="D109" s="707"/>
      <c r="E109" s="707"/>
      <c r="F109" s="707"/>
      <c r="G109" s="685"/>
      <c r="H109" s="674"/>
      <c r="I109" s="674"/>
      <c r="J109" s="674"/>
      <c r="K109" s="674"/>
      <c r="L109" s="674"/>
      <c r="M109" s="674"/>
      <c r="N109" s="674"/>
      <c r="O109" s="674"/>
      <c r="P109" s="674"/>
      <c r="Q109" s="674"/>
      <c r="R109" s="674"/>
      <c r="S109" s="674"/>
      <c r="T109" s="674"/>
      <c r="U109" s="674"/>
      <c r="V109" s="674"/>
      <c r="W109" s="674"/>
      <c r="X109" s="674"/>
      <c r="Y109" s="674"/>
      <c r="Z109" s="674"/>
      <c r="AA109" s="674"/>
      <c r="AB109" s="674"/>
      <c r="AC109" s="674"/>
      <c r="AD109" s="674"/>
      <c r="AE109" s="707"/>
    </row>
    <row r="110" spans="1:31" x14ac:dyDescent="0.45">
      <c r="A110" s="707"/>
      <c r="B110" s="707"/>
      <c r="C110" s="707"/>
      <c r="D110" s="707"/>
      <c r="E110" s="707"/>
      <c r="F110" s="707"/>
      <c r="G110" s="685"/>
      <c r="H110" s="674"/>
      <c r="I110" s="674"/>
      <c r="J110" s="674"/>
      <c r="K110" s="674"/>
      <c r="L110" s="674"/>
      <c r="M110" s="674"/>
      <c r="N110" s="674"/>
      <c r="O110" s="674"/>
      <c r="P110" s="674"/>
      <c r="Q110" s="674"/>
      <c r="R110" s="674"/>
      <c r="S110" s="674"/>
      <c r="T110" s="674"/>
      <c r="U110" s="674"/>
      <c r="V110" s="674"/>
      <c r="W110" s="674"/>
      <c r="X110" s="674"/>
      <c r="Y110" s="674"/>
      <c r="Z110" s="674"/>
      <c r="AA110" s="674"/>
      <c r="AB110" s="674"/>
      <c r="AC110" s="674"/>
      <c r="AD110" s="674"/>
      <c r="AE110" s="707"/>
    </row>
    <row r="111" spans="1:31" x14ac:dyDescent="0.45">
      <c r="A111" s="707"/>
      <c r="B111" s="707"/>
      <c r="C111" s="707"/>
      <c r="D111" s="707"/>
      <c r="E111" s="707"/>
      <c r="F111" s="707"/>
      <c r="G111" s="685"/>
      <c r="H111" s="674"/>
      <c r="I111" s="674"/>
      <c r="J111" s="674"/>
      <c r="K111" s="674"/>
      <c r="L111" s="674"/>
      <c r="M111" s="674"/>
      <c r="N111" s="674"/>
      <c r="O111" s="674"/>
      <c r="P111" s="674"/>
      <c r="Q111" s="674"/>
      <c r="R111" s="674"/>
      <c r="S111" s="674"/>
      <c r="T111" s="674"/>
      <c r="U111" s="674"/>
      <c r="V111" s="674"/>
      <c r="W111" s="674"/>
      <c r="X111" s="674"/>
      <c r="Y111" s="674"/>
      <c r="Z111" s="674"/>
      <c r="AA111" s="674"/>
      <c r="AB111" s="674"/>
      <c r="AC111" s="674"/>
      <c r="AD111" s="674"/>
      <c r="AE111" s="708"/>
    </row>
    <row r="112" spans="1:31" x14ac:dyDescent="0.45">
      <c r="G112" s="685"/>
    </row>
    <row r="113" spans="7:7" x14ac:dyDescent="0.45">
      <c r="G113" s="685"/>
    </row>
    <row r="114" spans="7:7" x14ac:dyDescent="0.45">
      <c r="G114" s="685"/>
    </row>
    <row r="115" spans="7:7" x14ac:dyDescent="0.45">
      <c r="G115" s="685"/>
    </row>
    <row r="116" spans="7:7" x14ac:dyDescent="0.45">
      <c r="G116" s="685"/>
    </row>
    <row r="117" spans="7:7" x14ac:dyDescent="0.45">
      <c r="G117" s="685"/>
    </row>
    <row r="118" spans="7:7" x14ac:dyDescent="0.45">
      <c r="G118" s="685"/>
    </row>
    <row r="119" spans="7:7" x14ac:dyDescent="0.45">
      <c r="G119" s="685"/>
    </row>
    <row r="120" spans="7:7" x14ac:dyDescent="0.45">
      <c r="G120" s="685"/>
    </row>
    <row r="121" spans="7:7" x14ac:dyDescent="0.45">
      <c r="G121" s="685"/>
    </row>
    <row r="122" spans="7:7" x14ac:dyDescent="0.45">
      <c r="G122" s="685"/>
    </row>
    <row r="123" spans="7:7" x14ac:dyDescent="0.45">
      <c r="G123" s="685"/>
    </row>
    <row r="124" spans="7:7" x14ac:dyDescent="0.45">
      <c r="G124" s="685"/>
    </row>
    <row r="125" spans="7:7" x14ac:dyDescent="0.45">
      <c r="G125" s="685"/>
    </row>
    <row r="126" spans="7:7" x14ac:dyDescent="0.45">
      <c r="G126" s="685"/>
    </row>
    <row r="127" spans="7:7" x14ac:dyDescent="0.45">
      <c r="G127" s="685"/>
    </row>
    <row r="128" spans="7:7" x14ac:dyDescent="0.45">
      <c r="G128" s="685"/>
    </row>
    <row r="129" spans="7:7" x14ac:dyDescent="0.45">
      <c r="G129" s="685"/>
    </row>
    <row r="130" spans="7:7" x14ac:dyDescent="0.45">
      <c r="G130" s="685"/>
    </row>
    <row r="131" spans="7:7" x14ac:dyDescent="0.45">
      <c r="G131" s="685"/>
    </row>
    <row r="132" spans="7:7" x14ac:dyDescent="0.45">
      <c r="G132" s="685"/>
    </row>
    <row r="133" spans="7:7" x14ac:dyDescent="0.45">
      <c r="G133" s="685"/>
    </row>
    <row r="134" spans="7:7" x14ac:dyDescent="0.45">
      <c r="G134" s="685"/>
    </row>
    <row r="135" spans="7:7" x14ac:dyDescent="0.45">
      <c r="G135" s="685"/>
    </row>
    <row r="136" spans="7:7" x14ac:dyDescent="0.45">
      <c r="G136" s="685"/>
    </row>
    <row r="137" spans="7:7" x14ac:dyDescent="0.45">
      <c r="G137" s="685"/>
    </row>
  </sheetData>
  <mergeCells count="37">
    <mergeCell ref="AG4:AH61"/>
    <mergeCell ref="F1:F2"/>
    <mergeCell ref="A1:A2"/>
    <mergeCell ref="B1:B2"/>
    <mergeCell ref="C1:C2"/>
    <mergeCell ref="D1:D2"/>
    <mergeCell ref="E1:E2"/>
    <mergeCell ref="H31:AD33"/>
    <mergeCell ref="H44:AD46"/>
    <mergeCell ref="H18:AE20"/>
    <mergeCell ref="C19:F20"/>
    <mergeCell ref="A20:B20"/>
    <mergeCell ref="H59:AE60"/>
    <mergeCell ref="B60:F60"/>
    <mergeCell ref="H61:AE61"/>
    <mergeCell ref="B61:F61"/>
    <mergeCell ref="G62:G137"/>
    <mergeCell ref="A90:E92"/>
    <mergeCell ref="H90:AE92"/>
    <mergeCell ref="F91:F92"/>
    <mergeCell ref="A93:F111"/>
    <mergeCell ref="H93:AD111"/>
    <mergeCell ref="AE93:AE111"/>
    <mergeCell ref="G1:G61"/>
    <mergeCell ref="B4:F4"/>
    <mergeCell ref="H4:AE4"/>
    <mergeCell ref="H6:AE7"/>
    <mergeCell ref="A46:B46"/>
    <mergeCell ref="C45:F46"/>
    <mergeCell ref="A45:B45"/>
    <mergeCell ref="A7:B7"/>
    <mergeCell ref="A33:B33"/>
    <mergeCell ref="C6:F7"/>
    <mergeCell ref="C32:F33"/>
    <mergeCell ref="A32:B32"/>
    <mergeCell ref="A19:B19"/>
    <mergeCell ref="A6:B6"/>
  </mergeCells>
  <phoneticPr fontId="1" type="noConversion"/>
  <pageMargins left="0.7" right="0.7" top="0.75" bottom="0.75" header="0.3" footer="0.3"/>
  <pageSetup paperSize="9" orientation="portrait" horizontalDpi="1200" verticalDpi="1200" r:id="rId1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CEE55-AFE4-42FF-9201-6E937A02DBC7}">
  <sheetPr>
    <tabColor theme="5" tint="0.79998168889431442"/>
  </sheetPr>
  <dimension ref="A1:AX192"/>
  <sheetViews>
    <sheetView showGridLines="0" zoomScaleNormal="100" workbookViewId="0">
      <pane ySplit="3" topLeftCell="A4" activePane="bottomLeft" state="frozen"/>
      <selection pane="bottomLeft" activeCell="B3" sqref="B3"/>
    </sheetView>
  </sheetViews>
  <sheetFormatPr defaultColWidth="9" defaultRowHeight="17" x14ac:dyDescent="0.45"/>
  <cols>
    <col min="1" max="1" width="11.33203125" style="1" customWidth="1"/>
    <col min="2" max="2" width="12" style="1" customWidth="1"/>
    <col min="3" max="3" width="11.83203125" style="1" customWidth="1"/>
    <col min="4" max="4" width="11.58203125" style="1" customWidth="1"/>
    <col min="5" max="5" width="18.83203125" style="1" customWidth="1"/>
    <col min="6" max="6" width="13.5" style="1" customWidth="1"/>
    <col min="7" max="8" width="7.75" style="1" customWidth="1"/>
    <col min="9" max="9" width="15.25" style="1" customWidth="1"/>
    <col min="10" max="10" width="7.58203125" style="1" customWidth="1"/>
    <col min="11" max="12" width="6.5" style="29" customWidth="1"/>
    <col min="13" max="13" width="7.58203125" style="1" customWidth="1"/>
    <col min="14" max="15" width="6.5" style="29" customWidth="1"/>
    <col min="16" max="16" width="7.58203125" style="1" customWidth="1"/>
    <col min="17" max="18" width="6.5" style="29" customWidth="1"/>
    <col min="19" max="19" width="7.58203125" style="1" customWidth="1"/>
    <col min="20" max="21" width="6.5" style="29" customWidth="1"/>
    <col min="22" max="22" width="7.58203125" style="1" customWidth="1"/>
    <col min="23" max="24" width="6.5" style="29" customWidth="1"/>
    <col min="25" max="25" width="7.58203125" style="1" customWidth="1"/>
    <col min="26" max="27" width="6.5" style="29" customWidth="1"/>
    <col min="28" max="28" width="7.58203125" style="1" customWidth="1"/>
    <col min="29" max="30" width="6.5" style="29" customWidth="1"/>
    <col min="31" max="31" width="7.58203125" style="1" customWidth="1"/>
    <col min="32" max="33" width="6.5" style="29" customWidth="1"/>
    <col min="34" max="34" width="7.58203125" style="1" customWidth="1"/>
    <col min="35" max="36" width="6.5" style="29" customWidth="1"/>
    <col min="37" max="37" width="7.58203125" style="1" customWidth="1"/>
    <col min="38" max="39" width="6.5" style="29" customWidth="1"/>
    <col min="40" max="40" width="7.58203125" style="1" customWidth="1"/>
    <col min="41" max="42" width="6.5" style="29" customWidth="1"/>
    <col min="43" max="43" width="7.58203125" style="1" customWidth="1"/>
    <col min="44" max="45" width="6.5" style="29" customWidth="1"/>
    <col min="46" max="47" width="9" style="1"/>
    <col min="48" max="48" width="9" style="30"/>
    <col min="49" max="49" width="9" style="37"/>
    <col min="50" max="50" width="9" style="31"/>
    <col min="51" max="16384" width="9" style="1"/>
  </cols>
  <sheetData>
    <row r="1" spans="1:50" ht="28.5" customHeight="1" thickBot="1" x14ac:dyDescent="0.5">
      <c r="A1" s="720" t="s">
        <v>294</v>
      </c>
      <c r="B1" s="722">
        <f>SUM(K3,N3,Q3,T3,W3,Z3,AC3,AF3,AI3,AL3,AO3,AR3)</f>
        <v>765.59999999999991</v>
      </c>
      <c r="C1" s="724" t="s">
        <v>146</v>
      </c>
      <c r="D1" s="726">
        <f>SUM(L3,O3,R3,U3,X3,AA3,AD3,AG3,AJ3,AM3,AP3,AS3)</f>
        <v>565.59999999999991</v>
      </c>
      <c r="E1" s="728"/>
      <c r="F1" s="718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  <c r="AC1" s="41"/>
      <c r="AD1" s="41"/>
      <c r="AE1" s="41"/>
      <c r="AF1" s="41"/>
      <c r="AG1" s="41"/>
      <c r="AH1" s="41"/>
      <c r="AI1" s="41"/>
      <c r="AJ1" s="41"/>
      <c r="AK1" s="41"/>
      <c r="AL1" s="41"/>
      <c r="AM1" s="41"/>
      <c r="AN1" s="41"/>
      <c r="AO1" s="41"/>
      <c r="AP1" s="41"/>
      <c r="AQ1" s="41"/>
      <c r="AR1" s="41"/>
      <c r="AS1" s="41"/>
      <c r="AT1" s="41"/>
      <c r="AU1" s="41"/>
      <c r="AV1" s="37"/>
      <c r="AX1" s="37"/>
    </row>
    <row r="2" spans="1:50" s="27" customFormat="1" ht="20.149999999999999" customHeight="1" thickBot="1" x14ac:dyDescent="0.5">
      <c r="A2" s="721"/>
      <c r="B2" s="723"/>
      <c r="C2" s="725"/>
      <c r="D2" s="727"/>
      <c r="E2" s="729"/>
      <c r="F2" s="664"/>
      <c r="G2" s="61" t="s">
        <v>140</v>
      </c>
      <c r="H2" s="61" t="s">
        <v>145</v>
      </c>
      <c r="I2" s="47" t="s">
        <v>162</v>
      </c>
      <c r="J2" s="106" t="s">
        <v>113</v>
      </c>
      <c r="K2" s="53" t="s">
        <v>85</v>
      </c>
      <c r="L2" s="53" t="s">
        <v>145</v>
      </c>
      <c r="M2" s="106" t="s">
        <v>114</v>
      </c>
      <c r="N2" s="53" t="s">
        <v>85</v>
      </c>
      <c r="O2" s="53" t="s">
        <v>144</v>
      </c>
      <c r="P2" s="106" t="s">
        <v>115</v>
      </c>
      <c r="Q2" s="53" t="s">
        <v>85</v>
      </c>
      <c r="R2" s="53" t="s">
        <v>144</v>
      </c>
      <c r="S2" s="106" t="s">
        <v>116</v>
      </c>
      <c r="T2" s="53" t="s">
        <v>85</v>
      </c>
      <c r="U2" s="53" t="s">
        <v>144</v>
      </c>
      <c r="V2" s="106" t="s">
        <v>117</v>
      </c>
      <c r="W2" s="53" t="s">
        <v>85</v>
      </c>
      <c r="X2" s="53" t="s">
        <v>144</v>
      </c>
      <c r="Y2" s="106" t="s">
        <v>118</v>
      </c>
      <c r="Z2" s="53" t="s">
        <v>85</v>
      </c>
      <c r="AA2" s="53" t="s">
        <v>144</v>
      </c>
      <c r="AB2" s="106" t="s">
        <v>119</v>
      </c>
      <c r="AC2" s="53" t="s">
        <v>85</v>
      </c>
      <c r="AD2" s="53" t="s">
        <v>144</v>
      </c>
      <c r="AE2" s="106" t="s">
        <v>120</v>
      </c>
      <c r="AF2" s="53" t="s">
        <v>85</v>
      </c>
      <c r="AG2" s="53" t="s">
        <v>144</v>
      </c>
      <c r="AH2" s="105" t="s">
        <v>121</v>
      </c>
      <c r="AI2" s="53" t="s">
        <v>85</v>
      </c>
      <c r="AJ2" s="53" t="s">
        <v>144</v>
      </c>
      <c r="AK2" s="106" t="s">
        <v>122</v>
      </c>
      <c r="AL2" s="53" t="s">
        <v>85</v>
      </c>
      <c r="AM2" s="53" t="s">
        <v>144</v>
      </c>
      <c r="AN2" s="106" t="s">
        <v>123</v>
      </c>
      <c r="AO2" s="53" t="s">
        <v>85</v>
      </c>
      <c r="AP2" s="53" t="s">
        <v>144</v>
      </c>
      <c r="AQ2" s="106" t="s">
        <v>124</v>
      </c>
      <c r="AR2" s="53" t="s">
        <v>85</v>
      </c>
      <c r="AS2" s="53" t="s">
        <v>145</v>
      </c>
      <c r="AT2" s="177"/>
      <c r="AU2" s="38"/>
      <c r="AV2" s="37"/>
      <c r="AW2" s="37"/>
      <c r="AX2" s="37"/>
    </row>
    <row r="3" spans="1:50" s="36" customFormat="1" ht="20.149999999999999" customHeight="1" thickBot="1" x14ac:dyDescent="0.5">
      <c r="A3" s="32" t="s">
        <v>38</v>
      </c>
      <c r="B3" s="32" t="s">
        <v>0</v>
      </c>
      <c r="C3" s="32" t="s">
        <v>4</v>
      </c>
      <c r="D3" s="3" t="s">
        <v>2</v>
      </c>
      <c r="E3" s="3" t="s">
        <v>6</v>
      </c>
      <c r="F3" s="46" t="s">
        <v>39</v>
      </c>
      <c r="G3" s="62">
        <f>SUM(G5:G55)</f>
        <v>44</v>
      </c>
      <c r="H3" s="62">
        <f>SUM(H5:H55)</f>
        <v>4</v>
      </c>
      <c r="I3" s="56"/>
      <c r="J3"/>
      <c r="K3" s="144">
        <f>SUM(K4:K91)</f>
        <v>36</v>
      </c>
      <c r="L3" s="57">
        <f>SUM(K4:K91)-SUM(L4:L91)</f>
        <v>16</v>
      </c>
      <c r="M3"/>
      <c r="N3" s="144">
        <f>SUM(N4:N91)</f>
        <v>12</v>
      </c>
      <c r="O3" s="57">
        <f>SUM(N4:N91)-SUM(O4:O91)</f>
        <v>2</v>
      </c>
      <c r="P3"/>
      <c r="Q3" s="144">
        <f>SUM(Q4:Q91)</f>
        <v>46</v>
      </c>
      <c r="R3" s="57">
        <f>SUM(Q4:Q91)-SUM(R4:R91)</f>
        <v>26</v>
      </c>
      <c r="S3"/>
      <c r="T3" s="144">
        <f>SUM(T4:T91)</f>
        <v>92</v>
      </c>
      <c r="U3" s="57">
        <f>SUM(T4:T91)-SUM(U4:U91)</f>
        <v>72</v>
      </c>
      <c r="V3"/>
      <c r="W3" s="144">
        <f>SUM(W4:W91)</f>
        <v>154</v>
      </c>
      <c r="X3" s="57">
        <f>SUM(W4:W91)-SUM(X4:X91)</f>
        <v>124</v>
      </c>
      <c r="Y3"/>
      <c r="Z3" s="144">
        <f>SUM(Z4:Z91)</f>
        <v>24</v>
      </c>
      <c r="AA3" s="57">
        <f>SUM(Z4:Z91)-SUM(AA4:AA91)</f>
        <v>4</v>
      </c>
      <c r="AB3"/>
      <c r="AC3" s="144">
        <f>SUM(AC4:AC91)</f>
        <v>44.2</v>
      </c>
      <c r="AD3" s="57">
        <f>SUM(AC4:AC91)-SUM(AD4:AD91)</f>
        <v>24.200000000000003</v>
      </c>
      <c r="AE3"/>
      <c r="AF3" s="144">
        <f>SUM(AF4:AF91)</f>
        <v>24</v>
      </c>
      <c r="AG3" s="57">
        <f>SUM(AF4:AF91)-SUM(AG4:AG91)</f>
        <v>4</v>
      </c>
      <c r="AH3"/>
      <c r="AI3" s="144">
        <f>SUM(AI4:AI91)</f>
        <v>242.8</v>
      </c>
      <c r="AJ3" s="57">
        <f>SUM(AI4:AI91)-SUM(AJ4:AJ91)</f>
        <v>222.8</v>
      </c>
      <c r="AK3"/>
      <c r="AL3" s="144">
        <f>SUM(AL4:AL91)</f>
        <v>53.3</v>
      </c>
      <c r="AM3" s="57">
        <f>SUM(AL4:AL91)-SUM(AM4:AM91)</f>
        <v>33.299999999999997</v>
      </c>
      <c r="AN3"/>
      <c r="AO3" s="144">
        <f>SUM(AO4:AO91)</f>
        <v>17.3</v>
      </c>
      <c r="AP3" s="57">
        <f>SUM(AO4:AO91)-SUM(AP4:AP91)</f>
        <v>17.3</v>
      </c>
      <c r="AQ3"/>
      <c r="AR3" s="144">
        <f>SUM(AR4:AR91)</f>
        <v>20</v>
      </c>
      <c r="AS3" s="57">
        <f>SUM(AR4:AR91)-SUM(AS4:AS91)</f>
        <v>20</v>
      </c>
      <c r="AT3" s="177"/>
      <c r="AU3" s="38"/>
      <c r="AV3" s="37"/>
      <c r="AW3" s="37"/>
      <c r="AX3" s="37"/>
    </row>
    <row r="4" spans="1:50" s="43" customFormat="1" ht="26.5" thickTop="1" thickBot="1" x14ac:dyDescent="0.5">
      <c r="A4" s="34" t="s">
        <v>137</v>
      </c>
      <c r="B4" s="58" t="s">
        <v>155</v>
      </c>
      <c r="C4" s="55">
        <f>SUM(L5:L7,O5:O7,R5:R7,U5:U7,X5:X7,AA5:AA7,AD5:AD7,AG5:AG7,AJ5:AJ7,AM5:AM7,AP5:AP7,AS5:AS7)</f>
        <v>0</v>
      </c>
      <c r="D4" s="716"/>
      <c r="E4" s="687"/>
      <c r="F4" s="687"/>
      <c r="G4" s="687"/>
      <c r="H4" s="687"/>
      <c r="I4" s="717"/>
      <c r="J4" s="63">
        <f>SUM(L5:L7)</f>
        <v>0</v>
      </c>
      <c r="K4" s="179"/>
      <c r="L4" s="178"/>
      <c r="M4" s="63">
        <f>SUM(O5:O7)</f>
        <v>0</v>
      </c>
      <c r="N4" s="179"/>
      <c r="O4" s="178"/>
      <c r="P4" s="63">
        <f>SUM(R5:R7)</f>
        <v>0</v>
      </c>
      <c r="Q4" s="179"/>
      <c r="R4" s="178"/>
      <c r="S4" s="63">
        <f>SUM(U5:U7)</f>
        <v>0</v>
      </c>
      <c r="T4" s="179"/>
      <c r="U4" s="178"/>
      <c r="V4" s="63">
        <f>SUM(X5:X7)</f>
        <v>0</v>
      </c>
      <c r="W4" s="179"/>
      <c r="X4" s="178"/>
      <c r="Y4" s="63">
        <f>SUM(AA5:AA7)</f>
        <v>0</v>
      </c>
      <c r="Z4" s="179"/>
      <c r="AA4" s="178"/>
      <c r="AB4" s="63">
        <f>SUM(AD5:AD7)</f>
        <v>0</v>
      </c>
      <c r="AC4" s="179"/>
      <c r="AD4" s="178"/>
      <c r="AE4" s="63">
        <f>SUM(AG5:AG7)</f>
        <v>0</v>
      </c>
      <c r="AF4" s="179"/>
      <c r="AG4" s="178"/>
      <c r="AH4" s="63">
        <f>SUM(AJ5:AJ7)</f>
        <v>0</v>
      </c>
      <c r="AI4" s="179"/>
      <c r="AJ4" s="178"/>
      <c r="AK4" s="63">
        <f>SUM(AM5:AM7)</f>
        <v>0</v>
      </c>
      <c r="AL4" s="179"/>
      <c r="AM4" s="178"/>
      <c r="AN4" s="63">
        <f>SUM(AP5:AP7)</f>
        <v>0</v>
      </c>
      <c r="AO4" s="179"/>
      <c r="AP4" s="178"/>
      <c r="AQ4" s="63">
        <f>SUM(AS5:AS7)</f>
        <v>0</v>
      </c>
      <c r="AR4" s="179"/>
      <c r="AS4" s="44"/>
      <c r="AT4" s="38"/>
      <c r="AU4" s="38"/>
      <c r="AV4" s="37"/>
      <c r="AW4" s="37"/>
      <c r="AX4" s="37"/>
    </row>
    <row r="5" spans="1:50" s="28" customFormat="1" ht="18" thickTop="1" x14ac:dyDescent="0.45">
      <c r="A5" s="174"/>
      <c r="B5" s="48"/>
      <c r="F5" s="299"/>
      <c r="G5" s="110"/>
      <c r="H5" s="110"/>
      <c r="I5" s="48"/>
      <c r="J5" s="132"/>
      <c r="K5" s="122"/>
      <c r="L5" s="122"/>
      <c r="M5" s="132"/>
      <c r="N5" s="122"/>
      <c r="O5" s="122"/>
      <c r="P5" s="93"/>
      <c r="Q5" s="85"/>
      <c r="R5" s="85"/>
      <c r="S5" s="95"/>
      <c r="T5" s="85"/>
      <c r="U5" s="85"/>
      <c r="V5" s="95"/>
      <c r="W5" s="85"/>
      <c r="X5" s="85"/>
      <c r="Y5" s="95"/>
      <c r="Z5" s="85"/>
      <c r="AA5" s="85"/>
      <c r="AB5" s="95"/>
      <c r="AC5" s="85"/>
      <c r="AD5" s="85"/>
      <c r="AE5" s="95"/>
      <c r="AF5" s="85"/>
      <c r="AG5" s="85"/>
      <c r="AH5" s="95"/>
      <c r="AI5" s="85"/>
      <c r="AJ5" s="85"/>
      <c r="AK5" s="95"/>
      <c r="AL5" s="85"/>
      <c r="AM5" s="85"/>
      <c r="AN5" s="95"/>
      <c r="AO5" s="85"/>
      <c r="AP5" s="85"/>
      <c r="AQ5" s="95"/>
      <c r="AR5" s="85"/>
      <c r="AS5" s="139"/>
      <c r="AT5" s="38"/>
      <c r="AU5" s="38"/>
      <c r="AV5" s="37"/>
      <c r="AW5" s="37"/>
      <c r="AX5" s="37"/>
    </row>
    <row r="6" spans="1:50" s="28" customFormat="1" ht="17.5" x14ac:dyDescent="0.45">
      <c r="A6" s="275"/>
      <c r="B6" s="48"/>
      <c r="F6" s="300"/>
      <c r="G6" s="127"/>
      <c r="H6" s="127"/>
      <c r="I6" s="48"/>
      <c r="J6" s="145"/>
      <c r="K6" s="122"/>
      <c r="L6" s="122"/>
      <c r="M6" s="145"/>
      <c r="N6" s="122"/>
      <c r="O6" s="122"/>
      <c r="P6" s="93"/>
      <c r="Q6" s="85"/>
      <c r="R6" s="85"/>
      <c r="S6" s="95"/>
      <c r="T6" s="85"/>
      <c r="U6" s="85"/>
      <c r="V6" s="95"/>
      <c r="W6" s="85"/>
      <c r="X6" s="85"/>
      <c r="Y6" s="95"/>
      <c r="Z6" s="85"/>
      <c r="AA6" s="85"/>
      <c r="AB6" s="95"/>
      <c r="AC6" s="85"/>
      <c r="AD6" s="85"/>
      <c r="AE6" s="95"/>
      <c r="AF6" s="85"/>
      <c r="AG6" s="85"/>
      <c r="AH6" s="95"/>
      <c r="AI6" s="85"/>
      <c r="AJ6" s="85"/>
      <c r="AK6" s="95"/>
      <c r="AL6" s="85"/>
      <c r="AM6" s="85"/>
      <c r="AN6" s="95"/>
      <c r="AO6" s="85"/>
      <c r="AP6" s="85"/>
      <c r="AQ6" s="95"/>
      <c r="AR6" s="85"/>
      <c r="AS6" s="297"/>
      <c r="AT6" s="38"/>
      <c r="AU6" s="38"/>
      <c r="AV6" s="37"/>
      <c r="AW6" s="37"/>
      <c r="AX6" s="37"/>
    </row>
    <row r="7" spans="1:50" ht="18" thickBot="1" x14ac:dyDescent="0.5">
      <c r="A7" s="275"/>
      <c r="F7" s="30"/>
      <c r="G7" s="76"/>
      <c r="H7" s="76"/>
      <c r="I7" s="31"/>
      <c r="J7" s="91"/>
      <c r="K7" s="85"/>
      <c r="L7" s="85"/>
      <c r="M7" s="91"/>
      <c r="N7" s="85"/>
      <c r="O7" s="85"/>
      <c r="P7" s="91"/>
      <c r="Q7" s="85"/>
      <c r="R7" s="85"/>
      <c r="S7" s="92"/>
      <c r="T7" s="85"/>
      <c r="U7" s="85"/>
      <c r="V7" s="92"/>
      <c r="W7" s="85"/>
      <c r="X7" s="85"/>
      <c r="Y7" s="92"/>
      <c r="Z7" s="85"/>
      <c r="AA7" s="85"/>
      <c r="AB7" s="92"/>
      <c r="AC7" s="85"/>
      <c r="AD7" s="85"/>
      <c r="AE7" s="92"/>
      <c r="AF7" s="85"/>
      <c r="AG7" s="85"/>
      <c r="AH7" s="92"/>
      <c r="AI7" s="85"/>
      <c r="AJ7" s="85"/>
      <c r="AK7" s="92"/>
      <c r="AL7" s="85"/>
      <c r="AM7" s="85"/>
      <c r="AN7" s="92"/>
      <c r="AO7" s="85"/>
      <c r="AP7" s="85"/>
      <c r="AQ7" s="92"/>
      <c r="AR7" s="85"/>
      <c r="AS7" s="175"/>
      <c r="AT7" s="38"/>
      <c r="AU7" s="38"/>
      <c r="AV7" s="37"/>
      <c r="AX7" s="37"/>
    </row>
    <row r="8" spans="1:50" ht="21.5" thickTop="1" x14ac:dyDescent="0.45">
      <c r="A8" s="49" t="s">
        <v>141</v>
      </c>
      <c r="B8" s="49" t="s">
        <v>180</v>
      </c>
      <c r="G8" s="28"/>
      <c r="H8" s="28"/>
      <c r="I8" s="7"/>
      <c r="J8" s="91"/>
      <c r="K8" s="86"/>
      <c r="L8" s="87"/>
      <c r="M8" s="91"/>
      <c r="N8" s="86"/>
      <c r="O8" s="87"/>
      <c r="P8" s="91"/>
      <c r="Q8" s="86"/>
      <c r="R8" s="87"/>
      <c r="S8" s="92"/>
      <c r="T8" s="86"/>
      <c r="U8" s="87"/>
      <c r="V8" s="92"/>
      <c r="W8" s="86"/>
      <c r="X8" s="87"/>
      <c r="Y8" s="92"/>
      <c r="Z8" s="86"/>
      <c r="AA8" s="87"/>
      <c r="AB8" s="92"/>
      <c r="AC8" s="86"/>
      <c r="AD8" s="87"/>
      <c r="AE8" s="92"/>
      <c r="AF8" s="86"/>
      <c r="AG8" s="87"/>
      <c r="AH8" s="92"/>
      <c r="AI8" s="86"/>
      <c r="AJ8" s="87"/>
      <c r="AK8" s="92"/>
      <c r="AL8" s="86"/>
      <c r="AM8" s="87"/>
      <c r="AN8" s="92"/>
      <c r="AO8" s="86"/>
      <c r="AP8" s="87"/>
      <c r="AQ8" s="92"/>
      <c r="AR8" s="86"/>
      <c r="AS8" s="176"/>
      <c r="AT8" s="38"/>
      <c r="AU8" s="38"/>
      <c r="AV8" s="37"/>
      <c r="AX8" s="37"/>
    </row>
    <row r="9" spans="1:50" s="40" customFormat="1" ht="17.5" thickBot="1" x14ac:dyDescent="0.5">
      <c r="A9" s="718"/>
      <c r="B9" s="718"/>
      <c r="C9" s="718"/>
      <c r="D9" s="718"/>
      <c r="E9" s="718"/>
      <c r="F9" s="718"/>
      <c r="G9" s="718"/>
      <c r="H9" s="718"/>
      <c r="I9" s="718"/>
      <c r="J9" s="180"/>
      <c r="K9" s="41"/>
      <c r="L9" s="41"/>
      <c r="M9" s="180"/>
      <c r="N9" s="41"/>
      <c r="O9" s="41"/>
      <c r="P9" s="180"/>
      <c r="Q9" s="41"/>
      <c r="R9" s="41"/>
      <c r="T9" s="41"/>
      <c r="U9" s="41"/>
      <c r="W9" s="41"/>
      <c r="X9" s="41"/>
      <c r="Z9" s="41"/>
      <c r="AA9" s="41"/>
      <c r="AC9" s="41"/>
      <c r="AD9" s="41"/>
      <c r="AF9" s="41"/>
      <c r="AG9" s="41"/>
      <c r="AI9" s="41"/>
      <c r="AJ9" s="41"/>
      <c r="AL9" s="41"/>
      <c r="AM9" s="41"/>
      <c r="AO9" s="41"/>
      <c r="AP9" s="41"/>
      <c r="AR9" s="41"/>
      <c r="AS9" s="41"/>
      <c r="AT9" s="38"/>
      <c r="AU9" s="38"/>
      <c r="AV9" s="37"/>
      <c r="AW9" s="37"/>
      <c r="AX9" s="37"/>
    </row>
    <row r="10" spans="1:50" s="43" customFormat="1" ht="26.5" thickTop="1" thickBot="1" x14ac:dyDescent="0.5">
      <c r="A10" s="34" t="s">
        <v>51</v>
      </c>
      <c r="B10" s="80" t="s">
        <v>155</v>
      </c>
      <c r="C10" s="81">
        <f>SUM(L11:L13,O11:O13,R11:R13,U11:U13,X11:X13,AA11:AA13,AD11:AD13,AG11:AG13,AJ11:AJ13,AM11:AM13,AP11:AP13,AS11:AS13)</f>
        <v>120</v>
      </c>
      <c r="D10" s="687"/>
      <c r="E10" s="687"/>
      <c r="F10" s="687"/>
      <c r="G10" s="687"/>
      <c r="H10" s="687"/>
      <c r="I10" s="687"/>
      <c r="J10" s="63">
        <f>SUM(L11:L13)</f>
        <v>0</v>
      </c>
      <c r="K10" s="179"/>
      <c r="L10" s="178"/>
      <c r="M10" s="63">
        <f>SUM(O11:O13)</f>
        <v>0</v>
      </c>
      <c r="N10" s="179"/>
      <c r="O10" s="178"/>
      <c r="P10" s="63">
        <f>SUM(R11:R13)</f>
        <v>0</v>
      </c>
      <c r="Q10" s="179"/>
      <c r="R10" s="178"/>
      <c r="S10" s="63">
        <f>SUM(U11:U13)</f>
        <v>0</v>
      </c>
      <c r="T10" s="179"/>
      <c r="U10" s="178"/>
      <c r="V10" s="63">
        <f>SUM(X11:X13)</f>
        <v>20</v>
      </c>
      <c r="W10" s="179"/>
      <c r="X10" s="178"/>
      <c r="Y10" s="63">
        <f>SUM(AA11:AA13)</f>
        <v>20</v>
      </c>
      <c r="Z10" s="179"/>
      <c r="AA10" s="178"/>
      <c r="AB10" s="63">
        <f>SUM(AD11:AD13)</f>
        <v>20</v>
      </c>
      <c r="AC10" s="179"/>
      <c r="AD10" s="178"/>
      <c r="AE10" s="63">
        <f>SUM(AG11:AG13)</f>
        <v>20</v>
      </c>
      <c r="AF10" s="179"/>
      <c r="AG10" s="178"/>
      <c r="AH10" s="63">
        <f>SUM(AJ11:AJ13)</f>
        <v>20</v>
      </c>
      <c r="AI10" s="179"/>
      <c r="AJ10" s="178"/>
      <c r="AK10" s="63">
        <f>SUM(AM11:AM13)</f>
        <v>20</v>
      </c>
      <c r="AL10" s="179"/>
      <c r="AM10" s="178"/>
      <c r="AN10" s="63">
        <f>SUM(AP11:AP13)</f>
        <v>0</v>
      </c>
      <c r="AO10" s="179"/>
      <c r="AP10" s="178"/>
      <c r="AQ10" s="63">
        <f>SUM(AS11:AS13)</f>
        <v>0</v>
      </c>
      <c r="AR10" s="179"/>
      <c r="AS10" s="44"/>
      <c r="AT10" s="38"/>
      <c r="AU10" s="38"/>
      <c r="AV10" s="37"/>
      <c r="AW10" s="37"/>
      <c r="AX10" s="37"/>
    </row>
    <row r="11" spans="1:50" s="28" customFormat="1" ht="18" customHeight="1" thickTop="1" x14ac:dyDescent="0.45">
      <c r="A11" s="174">
        <v>1</v>
      </c>
      <c r="B11" s="48" t="s">
        <v>63</v>
      </c>
      <c r="D11" s="1" t="s">
        <v>51</v>
      </c>
      <c r="E11" s="1" t="s">
        <v>9</v>
      </c>
      <c r="F11" s="291" t="s">
        <v>314</v>
      </c>
      <c r="G11" s="73">
        <v>12</v>
      </c>
      <c r="H11" s="73">
        <v>2</v>
      </c>
      <c r="I11" s="71"/>
      <c r="J11" s="133"/>
      <c r="K11" s="107"/>
      <c r="L11" s="107"/>
      <c r="M11" s="133"/>
      <c r="N11" s="107"/>
      <c r="O11" s="107"/>
      <c r="P11" s="133"/>
      <c r="Q11" s="107"/>
      <c r="R11" s="107"/>
      <c r="S11" s="133"/>
      <c r="T11" s="107"/>
      <c r="U11" s="107"/>
      <c r="V11" s="93">
        <v>2</v>
      </c>
      <c r="W11" s="85">
        <v>12</v>
      </c>
      <c r="X11" s="85">
        <v>10</v>
      </c>
      <c r="Y11" s="95">
        <v>2</v>
      </c>
      <c r="Z11" s="85">
        <v>12</v>
      </c>
      <c r="AA11" s="85">
        <v>10</v>
      </c>
      <c r="AB11" s="95">
        <v>2</v>
      </c>
      <c r="AC11" s="85">
        <v>12</v>
      </c>
      <c r="AD11" s="85">
        <v>10</v>
      </c>
      <c r="AE11" s="95">
        <v>1</v>
      </c>
      <c r="AF11" s="85">
        <v>12</v>
      </c>
      <c r="AG11" s="85">
        <v>10</v>
      </c>
      <c r="AH11" s="95">
        <v>1</v>
      </c>
      <c r="AI11" s="85">
        <v>12</v>
      </c>
      <c r="AJ11" s="85">
        <v>10</v>
      </c>
      <c r="AK11" s="95">
        <v>2</v>
      </c>
      <c r="AL11" s="85">
        <v>12</v>
      </c>
      <c r="AM11" s="85">
        <v>10</v>
      </c>
      <c r="AN11" s="95"/>
      <c r="AO11" s="85"/>
      <c r="AP11" s="85"/>
      <c r="AQ11" s="95"/>
      <c r="AR11" s="85"/>
      <c r="AS11" s="175"/>
      <c r="AT11" s="38"/>
      <c r="AU11" s="38"/>
      <c r="AV11" s="37"/>
      <c r="AW11" s="37"/>
      <c r="AX11" s="37"/>
    </row>
    <row r="12" spans="1:50" ht="18" customHeight="1" x14ac:dyDescent="0.45">
      <c r="A12" s="275">
        <v>2</v>
      </c>
      <c r="B12" s="1" t="s">
        <v>315</v>
      </c>
      <c r="D12" s="1" t="s">
        <v>51</v>
      </c>
      <c r="E12" s="1" t="s">
        <v>9</v>
      </c>
      <c r="F12" s="30"/>
      <c r="G12" s="74">
        <v>12</v>
      </c>
      <c r="H12" s="74">
        <v>2</v>
      </c>
      <c r="I12" s="65"/>
      <c r="J12" s="125"/>
      <c r="K12" s="114"/>
      <c r="L12" s="114"/>
      <c r="M12" s="94"/>
      <c r="N12" s="85"/>
      <c r="O12" s="85"/>
      <c r="P12" s="91"/>
      <c r="Q12" s="85"/>
      <c r="R12" s="85"/>
      <c r="S12" s="92"/>
      <c r="T12" s="85"/>
      <c r="U12" s="85"/>
      <c r="V12" s="92">
        <v>2</v>
      </c>
      <c r="W12" s="85">
        <v>12</v>
      </c>
      <c r="X12" s="85">
        <v>10</v>
      </c>
      <c r="Y12" s="92">
        <v>3</v>
      </c>
      <c r="Z12" s="85">
        <v>12</v>
      </c>
      <c r="AA12" s="85">
        <v>10</v>
      </c>
      <c r="AB12" s="92">
        <v>4</v>
      </c>
      <c r="AC12" s="85">
        <v>12</v>
      </c>
      <c r="AD12" s="85">
        <v>10</v>
      </c>
      <c r="AE12" s="92">
        <v>4</v>
      </c>
      <c r="AF12" s="85">
        <v>12</v>
      </c>
      <c r="AG12" s="85">
        <v>10</v>
      </c>
      <c r="AH12" s="92">
        <v>6</v>
      </c>
      <c r="AI12" s="85">
        <v>12</v>
      </c>
      <c r="AJ12" s="85">
        <v>10</v>
      </c>
      <c r="AK12" s="92">
        <v>2</v>
      </c>
      <c r="AL12" s="85">
        <v>12</v>
      </c>
      <c r="AM12" s="85">
        <v>10</v>
      </c>
      <c r="AN12" s="92"/>
      <c r="AO12" s="85"/>
      <c r="AP12" s="85"/>
      <c r="AQ12" s="92"/>
      <c r="AR12" s="85"/>
      <c r="AS12" s="175"/>
      <c r="AT12" s="38"/>
      <c r="AU12" s="38"/>
      <c r="AV12" s="37"/>
      <c r="AX12" s="37"/>
    </row>
    <row r="13" spans="1:50" ht="18" thickBot="1" x14ac:dyDescent="0.5">
      <c r="A13" s="270"/>
      <c r="F13" s="30"/>
      <c r="G13" s="75"/>
      <c r="H13" s="75"/>
      <c r="I13" s="31"/>
      <c r="J13" s="91"/>
      <c r="K13" s="85"/>
      <c r="L13" s="85"/>
      <c r="M13" s="91"/>
      <c r="N13" s="85"/>
      <c r="O13" s="85"/>
      <c r="P13" s="91"/>
      <c r="Q13" s="85"/>
      <c r="R13" s="85"/>
      <c r="S13" s="92"/>
      <c r="T13" s="85"/>
      <c r="U13" s="85"/>
      <c r="V13" s="92"/>
      <c r="W13" s="85"/>
      <c r="X13" s="85"/>
      <c r="Y13" s="92"/>
      <c r="Z13" s="85"/>
      <c r="AA13" s="85"/>
      <c r="AB13" s="92"/>
      <c r="AC13" s="85"/>
      <c r="AD13" s="85"/>
      <c r="AE13" s="92"/>
      <c r="AF13" s="85"/>
      <c r="AG13" s="85"/>
      <c r="AH13" s="92"/>
      <c r="AI13" s="85"/>
      <c r="AJ13" s="85"/>
      <c r="AK13" s="92"/>
      <c r="AL13" s="85"/>
      <c r="AM13" s="85"/>
      <c r="AN13" s="92"/>
      <c r="AO13" s="85"/>
      <c r="AP13" s="85"/>
      <c r="AQ13" s="92"/>
      <c r="AR13" s="85"/>
      <c r="AS13" s="175"/>
      <c r="AT13" s="38"/>
      <c r="AU13" s="38"/>
      <c r="AV13" s="37"/>
      <c r="AX13" s="37"/>
    </row>
    <row r="14" spans="1:50" ht="21.5" thickTop="1" x14ac:dyDescent="0.45">
      <c r="A14" s="49" t="s">
        <v>141</v>
      </c>
      <c r="B14" s="49" t="s">
        <v>143</v>
      </c>
      <c r="F14" s="30"/>
      <c r="G14" s="50"/>
      <c r="H14" s="50"/>
      <c r="I14" s="65"/>
      <c r="J14" s="91"/>
      <c r="K14" s="86"/>
      <c r="L14" s="87"/>
      <c r="M14" s="91"/>
      <c r="N14" s="86"/>
      <c r="O14" s="87"/>
      <c r="P14" s="91"/>
      <c r="Q14" s="86"/>
      <c r="R14" s="87"/>
      <c r="S14" s="92"/>
      <c r="T14" s="86"/>
      <c r="U14" s="87"/>
      <c r="V14" s="92"/>
      <c r="W14" s="86"/>
      <c r="X14" s="87"/>
      <c r="Y14" s="92"/>
      <c r="Z14" s="86"/>
      <c r="AA14" s="87"/>
      <c r="AB14" s="92"/>
      <c r="AC14" s="86"/>
      <c r="AD14" s="87"/>
      <c r="AE14" s="92"/>
      <c r="AF14" s="86"/>
      <c r="AG14" s="87"/>
      <c r="AH14" s="92"/>
      <c r="AI14" s="86"/>
      <c r="AJ14" s="87"/>
      <c r="AK14" s="92"/>
      <c r="AL14" s="86"/>
      <c r="AM14" s="87"/>
      <c r="AN14" s="92"/>
      <c r="AO14" s="86"/>
      <c r="AP14" s="87"/>
      <c r="AQ14" s="92"/>
      <c r="AR14" s="86"/>
      <c r="AS14" s="176"/>
      <c r="AT14" s="38"/>
      <c r="AU14" s="38"/>
      <c r="AV14" s="37"/>
      <c r="AX14" s="37"/>
    </row>
    <row r="15" spans="1:50" s="37" customFormat="1" ht="17.5" thickBot="1" x14ac:dyDescent="0.5">
      <c r="A15" s="718"/>
      <c r="B15" s="718"/>
      <c r="C15" s="718"/>
      <c r="D15" s="718"/>
      <c r="E15" s="718"/>
      <c r="F15" s="718"/>
      <c r="G15" s="718"/>
      <c r="H15" s="718"/>
      <c r="I15" s="718"/>
      <c r="J15" s="180"/>
      <c r="K15" s="41"/>
      <c r="L15" s="41"/>
      <c r="M15" s="180"/>
      <c r="N15" s="41"/>
      <c r="O15" s="41"/>
      <c r="P15" s="180"/>
      <c r="Q15" s="41"/>
      <c r="R15" s="41"/>
      <c r="T15" s="41"/>
      <c r="U15" s="41"/>
      <c r="W15" s="41"/>
      <c r="X15" s="41"/>
      <c r="Z15" s="41"/>
      <c r="AA15" s="41"/>
      <c r="AC15" s="41"/>
      <c r="AD15" s="41"/>
      <c r="AF15" s="41"/>
      <c r="AG15" s="41"/>
      <c r="AI15" s="41"/>
      <c r="AJ15" s="41"/>
      <c r="AL15" s="41"/>
      <c r="AM15" s="41"/>
      <c r="AO15" s="41"/>
      <c r="AP15" s="41"/>
      <c r="AR15" s="41"/>
      <c r="AS15" s="41"/>
      <c r="AT15" s="38"/>
      <c r="AU15" s="38"/>
    </row>
    <row r="16" spans="1:50" s="36" customFormat="1" ht="27.75" customHeight="1" thickTop="1" thickBot="1" x14ac:dyDescent="0.5">
      <c r="A16" s="66" t="s">
        <v>147</v>
      </c>
      <c r="B16" s="58" t="s">
        <v>154</v>
      </c>
      <c r="C16" s="59">
        <f>SUM(L17:L19,O17:O19,R17:R19,U17:U19,X17:X19,AA17:AA19,AD17:AD19,AG17:AG19,AJ17:AJ19,AM17:AM19,AP17:AP19,AS17:AS19)</f>
        <v>0</v>
      </c>
      <c r="D16" s="719"/>
      <c r="E16" s="719"/>
      <c r="F16" s="719"/>
      <c r="G16" s="719"/>
      <c r="H16" s="719"/>
      <c r="I16" s="719"/>
      <c r="J16" s="67">
        <f>SUM(L17:L20)</f>
        <v>0</v>
      </c>
      <c r="K16" s="179"/>
      <c r="L16" s="178"/>
      <c r="M16" s="67">
        <f>SUM(O17:O20)</f>
        <v>0</v>
      </c>
      <c r="N16" s="179"/>
      <c r="O16" s="178"/>
      <c r="P16" s="67">
        <f>SUM(R17:R20)</f>
        <v>0</v>
      </c>
      <c r="Q16" s="179"/>
      <c r="R16" s="178"/>
      <c r="S16" s="67">
        <f>SUM(U17:U20)</f>
        <v>0</v>
      </c>
      <c r="T16" s="179"/>
      <c r="U16" s="178"/>
      <c r="V16" s="67">
        <f>SUM(X17:X20)</f>
        <v>0</v>
      </c>
      <c r="W16" s="179"/>
      <c r="X16" s="178"/>
      <c r="Y16" s="67">
        <f>SUM(AA17:AA20)</f>
        <v>0</v>
      </c>
      <c r="Z16" s="179"/>
      <c r="AA16" s="178"/>
      <c r="AB16" s="67">
        <f>SUM(AD17:AD20)</f>
        <v>0</v>
      </c>
      <c r="AC16" s="179"/>
      <c r="AD16" s="178"/>
      <c r="AE16" s="67">
        <f>SUM(AG17:AG20)</f>
        <v>0</v>
      </c>
      <c r="AF16" s="179"/>
      <c r="AG16" s="178"/>
      <c r="AH16" s="67">
        <f>SUM(AJ17:AJ20)</f>
        <v>0</v>
      </c>
      <c r="AI16" s="179"/>
      <c r="AJ16" s="178"/>
      <c r="AK16" s="67">
        <f>SUM(AM17:AM20)</f>
        <v>0</v>
      </c>
      <c r="AL16" s="179"/>
      <c r="AM16" s="178"/>
      <c r="AN16" s="67">
        <f>SUM(AP17:AP20)</f>
        <v>0</v>
      </c>
      <c r="AO16" s="179"/>
      <c r="AP16" s="178"/>
      <c r="AQ16" s="67">
        <f>SUM(AS17:AS20)</f>
        <v>0</v>
      </c>
      <c r="AR16" s="179"/>
      <c r="AS16" s="44"/>
      <c r="AT16" s="38"/>
      <c r="AU16" s="38"/>
      <c r="AV16" s="37"/>
      <c r="AW16" s="37"/>
      <c r="AX16" s="37"/>
    </row>
    <row r="17" spans="1:50" s="68" customFormat="1" ht="18" thickTop="1" x14ac:dyDescent="0.45">
      <c r="A17" s="174"/>
      <c r="B17" s="28"/>
      <c r="C17" s="28"/>
      <c r="F17" s="69"/>
      <c r="G17" s="73"/>
      <c r="H17" s="73"/>
      <c r="I17" s="70"/>
      <c r="J17" s="137"/>
      <c r="K17" s="138"/>
      <c r="L17" s="139"/>
      <c r="M17" s="102"/>
      <c r="N17" s="138"/>
      <c r="O17" s="140"/>
      <c r="P17" s="101"/>
      <c r="Q17" s="138"/>
      <c r="R17" s="140"/>
      <c r="S17" s="101"/>
      <c r="T17" s="138"/>
      <c r="U17" s="140"/>
      <c r="V17" s="102"/>
      <c r="W17" s="140"/>
      <c r="X17" s="140"/>
      <c r="Y17" s="101"/>
      <c r="Z17" s="140"/>
      <c r="AA17" s="140"/>
      <c r="AB17" s="101"/>
      <c r="AC17" s="140"/>
      <c r="AD17" s="140"/>
      <c r="AE17" s="102"/>
      <c r="AF17" s="140"/>
      <c r="AG17" s="140"/>
      <c r="AH17" s="101"/>
      <c r="AI17" s="140"/>
      <c r="AJ17" s="140"/>
      <c r="AK17" s="101"/>
      <c r="AL17" s="140"/>
      <c r="AM17" s="140"/>
      <c r="AN17" s="103"/>
      <c r="AO17" s="140"/>
      <c r="AP17" s="140"/>
      <c r="AQ17" s="101"/>
      <c r="AR17" s="140"/>
      <c r="AS17" s="139"/>
      <c r="AT17" s="38"/>
      <c r="AU17" s="38"/>
      <c r="AV17" s="37"/>
      <c r="AW17" s="37"/>
      <c r="AX17" s="37"/>
    </row>
    <row r="18" spans="1:50" ht="17.5" x14ac:dyDescent="0.45">
      <c r="A18" s="270"/>
      <c r="F18" s="30"/>
      <c r="G18" s="74"/>
      <c r="H18" s="74"/>
      <c r="I18" s="48"/>
      <c r="J18" s="126"/>
      <c r="K18" s="114"/>
      <c r="L18" s="114"/>
      <c r="M18" s="93"/>
      <c r="N18" s="85"/>
      <c r="O18" s="85"/>
      <c r="P18" s="93"/>
      <c r="Q18" s="85"/>
      <c r="R18" s="85"/>
      <c r="S18" s="88"/>
      <c r="T18" s="85"/>
      <c r="U18" s="85"/>
      <c r="V18" s="93"/>
      <c r="W18" s="85"/>
      <c r="X18" s="85"/>
      <c r="Y18" s="93"/>
      <c r="Z18" s="85"/>
      <c r="AA18" s="85"/>
      <c r="AB18" s="88"/>
      <c r="AC18" s="85"/>
      <c r="AD18" s="85"/>
      <c r="AE18" s="93"/>
      <c r="AF18" s="85"/>
      <c r="AG18" s="85"/>
      <c r="AH18" s="93"/>
      <c r="AI18" s="85"/>
      <c r="AJ18" s="85"/>
      <c r="AK18" s="88"/>
      <c r="AL18" s="85"/>
      <c r="AM18" s="85"/>
      <c r="AN18" s="93"/>
      <c r="AO18" s="85"/>
      <c r="AP18" s="85"/>
      <c r="AQ18" s="93"/>
      <c r="AR18" s="85"/>
      <c r="AS18" s="175"/>
      <c r="AT18" s="38"/>
      <c r="AU18" s="38"/>
      <c r="AV18" s="37"/>
      <c r="AX18" s="37"/>
    </row>
    <row r="19" spans="1:50" ht="18" thickBot="1" x14ac:dyDescent="0.5">
      <c r="A19" s="270"/>
      <c r="B19" s="7"/>
      <c r="C19" s="7"/>
      <c r="D19" s="7"/>
      <c r="F19" s="30"/>
      <c r="G19" s="74"/>
      <c r="H19" s="74"/>
      <c r="I19" s="31"/>
      <c r="J19" s="125"/>
      <c r="K19" s="114"/>
      <c r="L19" s="114"/>
      <c r="M19" s="91"/>
      <c r="N19" s="85"/>
      <c r="O19" s="85"/>
      <c r="P19" s="91"/>
      <c r="Q19" s="85"/>
      <c r="R19" s="85"/>
      <c r="S19" s="90"/>
      <c r="T19" s="85"/>
      <c r="U19" s="85"/>
      <c r="V19" s="91"/>
      <c r="W19" s="85"/>
      <c r="X19" s="85"/>
      <c r="Y19" s="91"/>
      <c r="Z19" s="85"/>
      <c r="AA19" s="85"/>
      <c r="AB19" s="90"/>
      <c r="AC19" s="85"/>
      <c r="AD19" s="85"/>
      <c r="AE19" s="91"/>
      <c r="AF19" s="85"/>
      <c r="AG19" s="85"/>
      <c r="AH19" s="91"/>
      <c r="AI19" s="85"/>
      <c r="AJ19" s="85"/>
      <c r="AK19" s="90"/>
      <c r="AL19" s="85"/>
      <c r="AM19" s="85"/>
      <c r="AN19" s="91"/>
      <c r="AO19" s="85"/>
      <c r="AP19" s="85"/>
      <c r="AQ19" s="91"/>
      <c r="AR19" s="85"/>
      <c r="AS19" s="175"/>
      <c r="AT19" s="38"/>
      <c r="AU19" s="38"/>
      <c r="AV19" s="37"/>
      <c r="AX19" s="37"/>
    </row>
    <row r="20" spans="1:50" ht="21.5" thickTop="1" x14ac:dyDescent="0.45">
      <c r="A20" s="49" t="s">
        <v>142</v>
      </c>
      <c r="B20" s="49" t="s">
        <v>181</v>
      </c>
      <c r="F20" s="30"/>
      <c r="G20" s="50"/>
      <c r="H20" s="50"/>
      <c r="I20" s="31"/>
      <c r="J20" s="90"/>
      <c r="K20" s="86"/>
      <c r="L20" s="87"/>
      <c r="M20" s="91"/>
      <c r="N20" s="86"/>
      <c r="O20" s="87"/>
      <c r="P20" s="91"/>
      <c r="Q20" s="86"/>
      <c r="R20" s="100"/>
      <c r="S20" s="92"/>
      <c r="T20" s="86"/>
      <c r="U20" s="86"/>
      <c r="V20" s="92"/>
      <c r="W20" s="86"/>
      <c r="X20" s="86"/>
      <c r="Y20" s="92"/>
      <c r="Z20" s="86"/>
      <c r="AA20" s="86"/>
      <c r="AB20" s="92"/>
      <c r="AC20" s="86"/>
      <c r="AD20" s="86"/>
      <c r="AE20" s="92"/>
      <c r="AF20" s="86"/>
      <c r="AG20" s="86"/>
      <c r="AH20" s="92"/>
      <c r="AI20" s="86"/>
      <c r="AJ20" s="86"/>
      <c r="AK20" s="92"/>
      <c r="AL20" s="86"/>
      <c r="AM20" s="86"/>
      <c r="AN20" s="92"/>
      <c r="AO20" s="86"/>
      <c r="AP20" s="86"/>
      <c r="AQ20" s="92"/>
      <c r="AR20" s="86"/>
      <c r="AS20" s="100"/>
      <c r="AT20" s="177"/>
      <c r="AU20" s="38"/>
      <c r="AV20" s="37"/>
      <c r="AX20" s="37"/>
    </row>
    <row r="21" spans="1:50" s="37" customFormat="1" ht="17.5" thickBot="1" x14ac:dyDescent="0.5">
      <c r="A21" s="718"/>
      <c r="B21" s="718"/>
      <c r="C21" s="718"/>
      <c r="D21" s="38"/>
      <c r="E21" s="38"/>
      <c r="F21" s="38"/>
      <c r="G21" s="38"/>
      <c r="H21" s="38"/>
      <c r="I21" s="38"/>
      <c r="J21" s="244"/>
      <c r="K21" s="38"/>
      <c r="L21" s="38"/>
      <c r="M21" s="244"/>
      <c r="N21" s="38"/>
      <c r="O21" s="38"/>
      <c r="P21" s="244"/>
      <c r="Q21" s="38"/>
      <c r="R21" s="38"/>
      <c r="T21" s="38"/>
      <c r="U21" s="38"/>
      <c r="W21" s="38"/>
      <c r="X21" s="38"/>
      <c r="Z21" s="38"/>
      <c r="AA21" s="38"/>
      <c r="AC21" s="38"/>
      <c r="AD21" s="38"/>
      <c r="AF21" s="38"/>
      <c r="AG21" s="38"/>
      <c r="AI21" s="38"/>
      <c r="AJ21" s="38"/>
      <c r="AL21" s="38"/>
      <c r="AM21" s="38"/>
      <c r="AO21" s="38"/>
      <c r="AP21" s="38"/>
      <c r="AR21" s="38"/>
      <c r="AS21" s="38"/>
      <c r="AT21" s="38"/>
      <c r="AU21" s="38"/>
    </row>
    <row r="22" spans="1:50" s="43" customFormat="1" ht="26.5" thickTop="1" thickBot="1" x14ac:dyDescent="0.5">
      <c r="A22" s="34" t="s">
        <v>61</v>
      </c>
      <c r="B22" s="58" t="s">
        <v>155</v>
      </c>
      <c r="C22" s="55">
        <f>SUM(L23:L25,O23:O25,R23:R25,U23:U25,X23:X25,AA23:AA25,AD23:AD25,AG23:AG25,AJ23:AJ25,AM23:AM25,AP23:AP25,AS23:AS25)</f>
        <v>0</v>
      </c>
      <c r="D22" s="44"/>
      <c r="E22" s="44"/>
      <c r="F22" s="44"/>
      <c r="G22" s="44"/>
      <c r="H22" s="44"/>
      <c r="I22" s="44"/>
      <c r="J22" s="63">
        <f>SUM(L23:L25)</f>
        <v>0</v>
      </c>
      <c r="K22" s="179"/>
      <c r="L22" s="178"/>
      <c r="M22" s="63">
        <f>SUM(O23:O25)</f>
        <v>0</v>
      </c>
      <c r="N22" s="179"/>
      <c r="O22" s="178"/>
      <c r="P22" s="63">
        <f>SUM(R23:R25)</f>
        <v>0</v>
      </c>
      <c r="Q22" s="179"/>
      <c r="R22" s="178"/>
      <c r="S22" s="63">
        <f>SUM(U23:U25)</f>
        <v>0</v>
      </c>
      <c r="T22" s="179"/>
      <c r="U22" s="178"/>
      <c r="V22" s="63">
        <f>SUM(X23:X25)</f>
        <v>0</v>
      </c>
      <c r="W22" s="179"/>
      <c r="X22" s="178"/>
      <c r="Y22" s="63">
        <f>SUM(AA23:AA25)</f>
        <v>0</v>
      </c>
      <c r="Z22" s="179"/>
      <c r="AA22" s="178"/>
      <c r="AB22" s="63">
        <f>SUM(AD23:AD25)</f>
        <v>0</v>
      </c>
      <c r="AC22" s="179"/>
      <c r="AD22" s="178"/>
      <c r="AE22" s="63">
        <f>SUM(AG23:AG25)</f>
        <v>0</v>
      </c>
      <c r="AF22" s="179"/>
      <c r="AG22" s="178"/>
      <c r="AH22" s="63">
        <f>SUM(AJ23:AJ25)</f>
        <v>0</v>
      </c>
      <c r="AI22" s="179"/>
      <c r="AJ22" s="178"/>
      <c r="AK22" s="63">
        <f>SUM(AM23:AM25)</f>
        <v>0</v>
      </c>
      <c r="AL22" s="179"/>
      <c r="AM22" s="178"/>
      <c r="AN22" s="63">
        <f>SUM(AP23:AP25)</f>
        <v>0</v>
      </c>
      <c r="AO22" s="179"/>
      <c r="AP22" s="178"/>
      <c r="AQ22" s="63">
        <f>SUM(AS23:AS25)</f>
        <v>0</v>
      </c>
      <c r="AR22" s="179"/>
      <c r="AS22" s="44"/>
      <c r="AT22" s="38"/>
      <c r="AU22" s="38"/>
      <c r="AV22" s="37"/>
      <c r="AW22" s="37"/>
      <c r="AX22" s="37"/>
    </row>
    <row r="23" spans="1:50" s="28" customFormat="1" ht="18" customHeight="1" thickTop="1" x14ac:dyDescent="0.45">
      <c r="A23" s="174"/>
      <c r="B23" s="48"/>
      <c r="D23" s="1"/>
      <c r="E23" s="1"/>
      <c r="F23" s="291"/>
      <c r="G23" s="73"/>
      <c r="H23" s="73"/>
      <c r="I23" s="71"/>
      <c r="J23" s="133"/>
      <c r="K23" s="107"/>
      <c r="L23" s="107"/>
      <c r="M23" s="133"/>
      <c r="N23" s="107"/>
      <c r="O23" s="107"/>
      <c r="P23" s="133"/>
      <c r="Q23" s="107"/>
      <c r="R23" s="107"/>
      <c r="S23" s="133"/>
      <c r="T23" s="107"/>
      <c r="U23" s="107"/>
      <c r="V23" s="93"/>
      <c r="W23" s="85"/>
      <c r="X23" s="85"/>
      <c r="Y23" s="95"/>
      <c r="Z23" s="85"/>
      <c r="AA23" s="85"/>
      <c r="AB23" s="95"/>
      <c r="AC23" s="85"/>
      <c r="AD23" s="85"/>
      <c r="AE23" s="95"/>
      <c r="AF23" s="85"/>
      <c r="AG23" s="85"/>
      <c r="AH23" s="95"/>
      <c r="AI23" s="85"/>
      <c r="AJ23" s="85"/>
      <c r="AK23" s="95"/>
      <c r="AL23" s="85"/>
      <c r="AM23" s="85"/>
      <c r="AN23" s="95"/>
      <c r="AO23" s="85"/>
      <c r="AP23" s="85"/>
      <c r="AQ23" s="95"/>
      <c r="AR23" s="85"/>
      <c r="AS23" s="175"/>
      <c r="AT23" s="38"/>
      <c r="AU23" s="38"/>
      <c r="AV23" s="37"/>
      <c r="AW23" s="37"/>
      <c r="AX23" s="37"/>
    </row>
    <row r="24" spans="1:50" ht="18" customHeight="1" x14ac:dyDescent="0.45">
      <c r="A24" s="275"/>
      <c r="F24" s="30"/>
      <c r="G24" s="74"/>
      <c r="H24" s="74"/>
      <c r="I24" s="65"/>
      <c r="J24" s="125"/>
      <c r="K24" s="114"/>
      <c r="L24" s="114"/>
      <c r="M24" s="94"/>
      <c r="N24" s="85"/>
      <c r="O24" s="85"/>
      <c r="P24" s="91"/>
      <c r="Q24" s="85"/>
      <c r="R24" s="85"/>
      <c r="S24" s="92"/>
      <c r="T24" s="85"/>
      <c r="U24" s="85"/>
      <c r="V24" s="92"/>
      <c r="W24" s="85"/>
      <c r="X24" s="85"/>
      <c r="Y24" s="92"/>
      <c r="Z24" s="85"/>
      <c r="AA24" s="85"/>
      <c r="AB24" s="92"/>
      <c r="AC24" s="85"/>
      <c r="AD24" s="85"/>
      <c r="AE24" s="92"/>
      <c r="AF24" s="85"/>
      <c r="AG24" s="85"/>
      <c r="AH24" s="92"/>
      <c r="AI24" s="85"/>
      <c r="AJ24" s="85"/>
      <c r="AK24" s="92"/>
      <c r="AL24" s="85"/>
      <c r="AM24" s="85"/>
      <c r="AN24" s="92"/>
      <c r="AO24" s="85"/>
      <c r="AP24" s="85"/>
      <c r="AQ24" s="92"/>
      <c r="AR24" s="85"/>
      <c r="AS24" s="175"/>
      <c r="AT24" s="38"/>
      <c r="AU24" s="38"/>
      <c r="AV24" s="37"/>
      <c r="AX24" s="37"/>
    </row>
    <row r="25" spans="1:50" ht="18" thickBot="1" x14ac:dyDescent="0.5">
      <c r="A25" s="270"/>
      <c r="B25" s="7"/>
      <c r="C25" s="7"/>
      <c r="D25" s="7"/>
      <c r="F25" s="30"/>
      <c r="G25" s="75"/>
      <c r="H25" s="75"/>
      <c r="I25" s="72"/>
      <c r="J25" s="91"/>
      <c r="K25" s="85"/>
      <c r="L25" s="85"/>
      <c r="M25" s="91"/>
      <c r="N25" s="85"/>
      <c r="O25" s="85"/>
      <c r="P25" s="91"/>
      <c r="Q25" s="85"/>
      <c r="R25" s="85"/>
      <c r="S25" s="92"/>
      <c r="T25" s="85"/>
      <c r="U25" s="85"/>
      <c r="V25" s="92"/>
      <c r="W25" s="85"/>
      <c r="X25" s="85"/>
      <c r="Y25" s="91"/>
      <c r="Z25" s="85"/>
      <c r="AA25" s="85"/>
      <c r="AB25" s="91"/>
      <c r="AC25" s="85"/>
      <c r="AD25" s="85"/>
      <c r="AE25" s="92"/>
      <c r="AF25" s="85"/>
      <c r="AG25" s="85"/>
      <c r="AH25" s="92"/>
      <c r="AI25" s="85"/>
      <c r="AJ25" s="85"/>
      <c r="AK25" s="92"/>
      <c r="AL25" s="85"/>
      <c r="AM25" s="85"/>
      <c r="AN25" s="92"/>
      <c r="AO25" s="85"/>
      <c r="AP25" s="85"/>
      <c r="AQ25" s="92"/>
      <c r="AR25" s="85"/>
      <c r="AS25" s="175"/>
      <c r="AT25" s="38"/>
      <c r="AU25" s="38"/>
      <c r="AV25" s="37"/>
      <c r="AX25" s="37"/>
    </row>
    <row r="26" spans="1:50" ht="21.5" thickTop="1" x14ac:dyDescent="0.45">
      <c r="A26" s="49" t="s">
        <v>141</v>
      </c>
      <c r="B26" s="49" t="s">
        <v>181</v>
      </c>
      <c r="F26" s="30"/>
      <c r="G26" s="50"/>
      <c r="H26" s="50"/>
      <c r="I26" s="65"/>
      <c r="J26" s="91"/>
      <c r="K26" s="99"/>
      <c r="L26" s="100"/>
      <c r="M26" s="91"/>
      <c r="N26" s="99"/>
      <c r="O26" s="86"/>
      <c r="P26" s="91"/>
      <c r="Q26" s="86"/>
      <c r="R26" s="100"/>
      <c r="S26" s="92"/>
      <c r="T26" s="85"/>
      <c r="U26" s="85"/>
      <c r="V26" s="92"/>
      <c r="W26" s="85"/>
      <c r="X26" s="85"/>
      <c r="Y26" s="92"/>
      <c r="Z26" s="85"/>
      <c r="AA26" s="85"/>
      <c r="AB26" s="92"/>
      <c r="AC26" s="85"/>
      <c r="AD26" s="85"/>
      <c r="AE26" s="92"/>
      <c r="AF26" s="85"/>
      <c r="AG26" s="85"/>
      <c r="AH26" s="92"/>
      <c r="AI26" s="85"/>
      <c r="AJ26" s="85"/>
      <c r="AK26" s="92"/>
      <c r="AL26" s="85"/>
      <c r="AM26" s="85"/>
      <c r="AN26" s="92"/>
      <c r="AO26" s="85"/>
      <c r="AP26" s="85"/>
      <c r="AQ26" s="92"/>
      <c r="AR26" s="85"/>
      <c r="AS26" s="175"/>
      <c r="AT26" s="38"/>
      <c r="AU26" s="38"/>
      <c r="AV26" s="37"/>
      <c r="AX26" s="37"/>
    </row>
    <row r="27" spans="1:50" customFormat="1" ht="17.5" thickBot="1" x14ac:dyDescent="0.5">
      <c r="A27" s="718"/>
      <c r="B27" s="718"/>
      <c r="C27" s="718"/>
      <c r="D27" s="718"/>
      <c r="E27" s="718"/>
      <c r="F27" s="718"/>
      <c r="G27" s="718"/>
      <c r="H27" s="718"/>
      <c r="I27" s="718"/>
      <c r="K27" s="41"/>
      <c r="L27" s="41"/>
      <c r="N27" s="41"/>
      <c r="O27" s="41"/>
      <c r="Q27" s="41"/>
      <c r="R27" s="41"/>
      <c r="S27" s="180"/>
      <c r="T27" s="41"/>
      <c r="U27" s="41"/>
      <c r="W27" s="41"/>
      <c r="X27" s="41"/>
      <c r="Z27" s="41"/>
      <c r="AA27" s="41"/>
      <c r="AC27" s="41"/>
      <c r="AD27" s="41"/>
      <c r="AE27" s="104"/>
      <c r="AF27" s="41"/>
      <c r="AG27" s="41"/>
      <c r="AI27" s="41"/>
      <c r="AJ27" s="41"/>
      <c r="AL27" s="41"/>
      <c r="AM27" s="41"/>
      <c r="AO27" s="41"/>
      <c r="AP27" s="41"/>
      <c r="AR27" s="41"/>
      <c r="AS27" s="41"/>
      <c r="AT27" s="38"/>
      <c r="AU27" s="38"/>
    </row>
    <row r="28" spans="1:50" s="43" customFormat="1" ht="26.5" thickTop="1" thickBot="1" x14ac:dyDescent="0.5">
      <c r="A28" s="34" t="s">
        <v>178</v>
      </c>
      <c r="B28" s="58" t="s">
        <v>155</v>
      </c>
      <c r="C28" s="55">
        <f>SUM(L29:L32,O29:O32,R29:R32,U29:U32,X29:X32,AA29:AA32,AD29:AD32,AG29:AG32,AJ29:AJ32,AM29:AM32,AP29:AP32,AS29:AS32)</f>
        <v>0</v>
      </c>
      <c r="D28" s="719"/>
      <c r="E28" s="719"/>
      <c r="F28" s="719"/>
      <c r="G28" s="719"/>
      <c r="H28" s="719"/>
      <c r="I28" s="719"/>
      <c r="J28" s="63">
        <f>SUM(L29:L32)</f>
        <v>0</v>
      </c>
      <c r="K28" s="179"/>
      <c r="L28" s="178"/>
      <c r="M28" s="63">
        <f>SUM(O29:O32)</f>
        <v>0</v>
      </c>
      <c r="N28" s="179"/>
      <c r="O28" s="178"/>
      <c r="P28" s="63">
        <f>SUM(R29:R32)</f>
        <v>0</v>
      </c>
      <c r="Q28" s="179"/>
      <c r="R28" s="178"/>
      <c r="S28" s="63">
        <f>SUM(U29:U32)</f>
        <v>0</v>
      </c>
      <c r="T28" s="179"/>
      <c r="U28" s="178"/>
      <c r="V28" s="63">
        <f>SUM(X29:X32)</f>
        <v>0</v>
      </c>
      <c r="W28" s="179"/>
      <c r="X28" s="178"/>
      <c r="Y28" s="63">
        <f>SUM(AA29:AA32)</f>
        <v>0</v>
      </c>
      <c r="Z28" s="179"/>
      <c r="AA28" s="178"/>
      <c r="AB28" s="63">
        <f>SUM(AD29:AD32)</f>
        <v>0</v>
      </c>
      <c r="AC28" s="179"/>
      <c r="AD28" s="178"/>
      <c r="AE28" s="63">
        <f>SUM(AG29:AG32)</f>
        <v>0</v>
      </c>
      <c r="AF28" s="179"/>
      <c r="AG28" s="178"/>
      <c r="AH28" s="63">
        <f>SUM(AJ29:AJ32)</f>
        <v>0</v>
      </c>
      <c r="AI28" s="179"/>
      <c r="AJ28" s="178"/>
      <c r="AK28" s="63">
        <f>SUM(AM29:AM32)</f>
        <v>0</v>
      </c>
      <c r="AL28" s="179"/>
      <c r="AM28" s="178"/>
      <c r="AN28" s="63">
        <f>SUM(AP29:AP32)</f>
        <v>0</v>
      </c>
      <c r="AO28" s="179"/>
      <c r="AP28" s="178"/>
      <c r="AQ28" s="63">
        <f>SUM(AS29:AS32)</f>
        <v>0</v>
      </c>
      <c r="AR28" s="179"/>
      <c r="AS28" s="44"/>
      <c r="AT28" s="38"/>
      <c r="AU28" s="38"/>
      <c r="AV28" s="37"/>
      <c r="AW28" s="37"/>
      <c r="AX28" s="37"/>
    </row>
    <row r="29" spans="1:50" s="28" customFormat="1" ht="18" thickTop="1" x14ac:dyDescent="0.45">
      <c r="A29" s="174"/>
      <c r="B29" s="48" t="s">
        <v>155</v>
      </c>
      <c r="D29" s="1" t="s">
        <v>178</v>
      </c>
      <c r="E29" s="1"/>
      <c r="F29" s="136" t="s">
        <v>179</v>
      </c>
      <c r="G29" s="73">
        <v>20</v>
      </c>
      <c r="H29" s="73"/>
      <c r="I29" s="48" t="s">
        <v>182</v>
      </c>
      <c r="J29" s="132"/>
      <c r="K29" s="122"/>
      <c r="L29" s="122"/>
      <c r="M29" s="132"/>
      <c r="N29" s="122"/>
      <c r="O29" s="122"/>
      <c r="P29" s="93">
        <v>8</v>
      </c>
      <c r="Q29" s="85">
        <v>10</v>
      </c>
      <c r="R29" s="85">
        <v>0</v>
      </c>
      <c r="S29" s="95"/>
      <c r="T29" s="85"/>
      <c r="U29" s="85"/>
      <c r="V29" s="95"/>
      <c r="W29" s="85"/>
      <c r="X29" s="85"/>
      <c r="Y29" s="95"/>
      <c r="Z29" s="85"/>
      <c r="AA29" s="85"/>
      <c r="AB29" s="95"/>
      <c r="AC29" s="85"/>
      <c r="AD29" s="85"/>
      <c r="AE29" s="95"/>
      <c r="AF29" s="85"/>
      <c r="AG29" s="85"/>
      <c r="AH29" s="95"/>
      <c r="AI29" s="85"/>
      <c r="AJ29" s="85"/>
      <c r="AK29" s="95"/>
      <c r="AL29" s="85"/>
      <c r="AM29" s="85"/>
      <c r="AN29" s="95"/>
      <c r="AO29" s="85"/>
      <c r="AP29" s="85"/>
      <c r="AQ29" s="95"/>
      <c r="AR29" s="85"/>
      <c r="AS29" s="139"/>
      <c r="AT29" s="38"/>
      <c r="AU29" s="38"/>
      <c r="AV29" s="37"/>
      <c r="AW29" s="37"/>
      <c r="AX29" s="37"/>
    </row>
    <row r="30" spans="1:50" ht="17.5" x14ac:dyDescent="0.45">
      <c r="A30" s="275"/>
      <c r="F30" s="30"/>
      <c r="G30" s="74"/>
      <c r="H30" s="74"/>
      <c r="I30" s="31"/>
      <c r="J30" s="91"/>
      <c r="K30" s="85"/>
      <c r="L30" s="85"/>
      <c r="M30" s="91"/>
      <c r="N30" s="85"/>
      <c r="O30" s="85"/>
      <c r="P30" s="91"/>
      <c r="Q30" s="85"/>
      <c r="R30" s="85"/>
      <c r="S30" s="92"/>
      <c r="T30" s="85"/>
      <c r="U30" s="85"/>
      <c r="V30" s="92"/>
      <c r="W30" s="85"/>
      <c r="X30" s="85"/>
      <c r="Y30" s="92"/>
      <c r="Z30" s="85"/>
      <c r="AA30" s="85"/>
      <c r="AB30" s="92"/>
      <c r="AC30" s="85"/>
      <c r="AD30" s="85"/>
      <c r="AE30" s="92"/>
      <c r="AF30" s="85"/>
      <c r="AG30" s="85"/>
      <c r="AH30" s="92"/>
      <c r="AI30" s="85"/>
      <c r="AJ30" s="85"/>
      <c r="AK30" s="92"/>
      <c r="AL30" s="85"/>
      <c r="AM30" s="85"/>
      <c r="AN30" s="92"/>
      <c r="AO30" s="85"/>
      <c r="AP30" s="85"/>
      <c r="AQ30" s="92"/>
      <c r="AR30" s="85"/>
      <c r="AS30" s="175"/>
      <c r="AT30" s="38"/>
      <c r="AU30" s="38"/>
      <c r="AV30" s="37"/>
      <c r="AX30" s="37"/>
    </row>
    <row r="31" spans="1:50" ht="17.5" x14ac:dyDescent="0.45">
      <c r="A31" s="275"/>
      <c r="F31" s="30"/>
      <c r="G31" s="74"/>
      <c r="H31" s="74"/>
      <c r="I31" s="31"/>
      <c r="J31" s="90"/>
      <c r="K31" s="85"/>
      <c r="L31" s="85"/>
      <c r="M31" s="91"/>
      <c r="N31" s="85"/>
      <c r="O31" s="85"/>
      <c r="P31" s="91"/>
      <c r="Q31" s="85"/>
      <c r="R31" s="85"/>
      <c r="S31" s="92"/>
      <c r="T31" s="85"/>
      <c r="U31" s="85"/>
      <c r="V31" s="92"/>
      <c r="W31" s="85"/>
      <c r="X31" s="85"/>
      <c r="Y31" s="92"/>
      <c r="Z31" s="85"/>
      <c r="AA31" s="85"/>
      <c r="AB31" s="92"/>
      <c r="AC31" s="85"/>
      <c r="AD31" s="85"/>
      <c r="AE31" s="92"/>
      <c r="AF31" s="85"/>
      <c r="AG31" s="85"/>
      <c r="AH31" s="92"/>
      <c r="AI31" s="85"/>
      <c r="AJ31" s="85"/>
      <c r="AK31" s="92"/>
      <c r="AL31" s="85"/>
      <c r="AM31" s="85"/>
      <c r="AN31" s="92"/>
      <c r="AO31" s="85"/>
      <c r="AP31" s="85"/>
      <c r="AQ31" s="92"/>
      <c r="AR31" s="85"/>
      <c r="AS31" s="175"/>
      <c r="AT31" s="38"/>
      <c r="AU31" s="38"/>
      <c r="AV31" s="37"/>
      <c r="AX31" s="37"/>
    </row>
    <row r="32" spans="1:50" ht="18" thickBot="1" x14ac:dyDescent="0.5">
      <c r="A32" s="270"/>
      <c r="F32" s="30"/>
      <c r="G32" s="76"/>
      <c r="H32" s="76"/>
      <c r="I32" s="31"/>
      <c r="J32" s="91"/>
      <c r="K32" s="85"/>
      <c r="L32" s="85"/>
      <c r="M32" s="91"/>
      <c r="N32" s="85"/>
      <c r="O32" s="85"/>
      <c r="P32" s="91"/>
      <c r="Q32" s="85"/>
      <c r="R32" s="85"/>
      <c r="S32" s="92"/>
      <c r="T32" s="85"/>
      <c r="U32" s="85"/>
      <c r="V32" s="92"/>
      <c r="W32" s="85"/>
      <c r="X32" s="85"/>
      <c r="Y32" s="92"/>
      <c r="Z32" s="85"/>
      <c r="AA32" s="85"/>
      <c r="AB32" s="92"/>
      <c r="AC32" s="85"/>
      <c r="AD32" s="85"/>
      <c r="AE32" s="92"/>
      <c r="AF32" s="85"/>
      <c r="AG32" s="85"/>
      <c r="AH32" s="92"/>
      <c r="AI32" s="85"/>
      <c r="AJ32" s="85"/>
      <c r="AK32" s="92"/>
      <c r="AL32" s="85"/>
      <c r="AM32" s="85"/>
      <c r="AN32" s="92"/>
      <c r="AO32" s="85"/>
      <c r="AP32" s="85"/>
      <c r="AQ32" s="92"/>
      <c r="AR32" s="85"/>
      <c r="AS32" s="175"/>
      <c r="AT32" s="38"/>
      <c r="AU32" s="38"/>
      <c r="AV32" s="37"/>
      <c r="AX32" s="37"/>
    </row>
    <row r="33" spans="1:50" ht="21.5" thickTop="1" x14ac:dyDescent="0.45">
      <c r="A33" s="49" t="s">
        <v>141</v>
      </c>
      <c r="B33" s="49" t="s">
        <v>181</v>
      </c>
      <c r="G33" s="28"/>
      <c r="H33" s="28"/>
      <c r="I33" s="7"/>
      <c r="J33" s="91"/>
      <c r="K33" s="86"/>
      <c r="L33" s="87"/>
      <c r="M33" s="91"/>
      <c r="N33" s="86"/>
      <c r="O33" s="87"/>
      <c r="P33" s="91"/>
      <c r="Q33" s="86"/>
      <c r="R33" s="87"/>
      <c r="S33" s="92"/>
      <c r="T33" s="86"/>
      <c r="U33" s="87"/>
      <c r="V33" s="92"/>
      <c r="W33" s="86"/>
      <c r="X33" s="87"/>
      <c r="Y33" s="92"/>
      <c r="Z33" s="86"/>
      <c r="AA33" s="87"/>
      <c r="AB33" s="92"/>
      <c r="AC33" s="86"/>
      <c r="AD33" s="87"/>
      <c r="AE33" s="92"/>
      <c r="AF33" s="86"/>
      <c r="AG33" s="87"/>
      <c r="AH33" s="92"/>
      <c r="AI33" s="86"/>
      <c r="AJ33" s="87"/>
      <c r="AK33" s="92"/>
      <c r="AL33" s="86"/>
      <c r="AM33" s="87"/>
      <c r="AN33" s="92"/>
      <c r="AO33" s="86"/>
      <c r="AP33" s="87"/>
      <c r="AQ33" s="92"/>
      <c r="AR33" s="86"/>
      <c r="AS33" s="176"/>
      <c r="AT33" s="38"/>
      <c r="AU33" s="38"/>
      <c r="AV33" s="37"/>
      <c r="AX33" s="37"/>
    </row>
    <row r="34" spans="1:50" customFormat="1" ht="17.5" thickBot="1" x14ac:dyDescent="0.5">
      <c r="A34" s="718"/>
      <c r="B34" s="718"/>
      <c r="C34" s="718"/>
      <c r="D34" s="718"/>
      <c r="E34" s="718"/>
      <c r="F34" s="718"/>
      <c r="G34" s="718"/>
      <c r="H34" s="718"/>
      <c r="I34" s="718"/>
      <c r="K34" s="41"/>
      <c r="L34" s="41"/>
      <c r="N34" s="41"/>
      <c r="O34" s="41"/>
      <c r="Q34" s="41"/>
      <c r="R34" s="41"/>
      <c r="S34" s="180"/>
      <c r="T34" s="41"/>
      <c r="U34" s="41"/>
      <c r="W34" s="41"/>
      <c r="X34" s="41"/>
      <c r="Z34" s="41"/>
      <c r="AA34" s="41"/>
      <c r="AC34" s="41"/>
      <c r="AD34" s="41"/>
      <c r="AE34" s="104"/>
      <c r="AF34" s="41"/>
      <c r="AG34" s="41"/>
      <c r="AI34" s="41"/>
      <c r="AJ34" s="41"/>
      <c r="AL34" s="41"/>
      <c r="AM34" s="41"/>
      <c r="AO34" s="41"/>
      <c r="AP34" s="41"/>
      <c r="AR34" s="41"/>
      <c r="AS34" s="41"/>
      <c r="AT34" s="38"/>
      <c r="AU34" s="38"/>
    </row>
    <row r="35" spans="1:50" s="43" customFormat="1" ht="26.5" thickTop="1" thickBot="1" x14ac:dyDescent="0.5">
      <c r="A35" s="34" t="s">
        <v>190</v>
      </c>
      <c r="B35" s="58"/>
      <c r="C35" s="55">
        <f>SUM(L36:L55,O36:O55,R36:R55,U36:U55,X36:X55,AA36:AA55,AD36:AD55,AG36:AG55,AJ36:AJ55,AM36:AM55,AP36:AP55,AS36:AS55)</f>
        <v>0</v>
      </c>
      <c r="D35" s="719"/>
      <c r="E35" s="719"/>
      <c r="F35" s="719"/>
      <c r="G35" s="719"/>
      <c r="H35" s="719"/>
      <c r="I35" s="719"/>
      <c r="J35" s="63">
        <f>SUM(L36:L55)</f>
        <v>0</v>
      </c>
      <c r="K35" s="179"/>
      <c r="L35" s="178"/>
      <c r="M35" s="63">
        <f>SUM(O36:O55)</f>
        <v>0</v>
      </c>
      <c r="N35" s="179"/>
      <c r="O35" s="178"/>
      <c r="P35" s="63">
        <f>SUM(R36:R55)</f>
        <v>0</v>
      </c>
      <c r="Q35" s="179"/>
      <c r="R35" s="178"/>
      <c r="S35" s="63">
        <f>SUM(U36:U55)</f>
        <v>0</v>
      </c>
      <c r="T35" s="179"/>
      <c r="U35" s="178"/>
      <c r="V35" s="63">
        <f>SUM(X36:X55)</f>
        <v>0</v>
      </c>
      <c r="W35" s="179"/>
      <c r="X35" s="178"/>
      <c r="Y35" s="63">
        <f>SUM(AA36:AA55)</f>
        <v>0</v>
      </c>
      <c r="Z35" s="179"/>
      <c r="AA35" s="178"/>
      <c r="AB35" s="63">
        <f>SUM(AD36:AD55)</f>
        <v>0</v>
      </c>
      <c r="AC35" s="179"/>
      <c r="AD35" s="178"/>
      <c r="AE35" s="63">
        <f>SUM(AG36:AG55)</f>
        <v>0</v>
      </c>
      <c r="AF35" s="179"/>
      <c r="AG35" s="178"/>
      <c r="AH35" s="63">
        <f>SUM(AJ36:AJ55)</f>
        <v>0</v>
      </c>
      <c r="AI35" s="179"/>
      <c r="AJ35" s="178"/>
      <c r="AK35" s="63">
        <f>SUM(AM36:AM55)</f>
        <v>0</v>
      </c>
      <c r="AL35" s="179"/>
      <c r="AM35" s="178"/>
      <c r="AN35" s="63">
        <f>SUM(AP36:AP55)</f>
        <v>0</v>
      </c>
      <c r="AO35" s="179"/>
      <c r="AP35" s="178"/>
      <c r="AQ35" s="63">
        <f>SUM(AS36:AS55)</f>
        <v>0</v>
      </c>
      <c r="AR35" s="179"/>
      <c r="AS35" s="44"/>
      <c r="AT35" s="38"/>
      <c r="AU35" s="38"/>
      <c r="AV35" s="37"/>
      <c r="AW35" s="37"/>
      <c r="AX35" s="37"/>
    </row>
    <row r="36" spans="1:50" s="28" customFormat="1" ht="18" thickTop="1" x14ac:dyDescent="0.45">
      <c r="A36" s="174"/>
      <c r="B36" s="1" t="s">
        <v>758</v>
      </c>
      <c r="C36" s="1" t="s">
        <v>131</v>
      </c>
      <c r="D36" s="1" t="s">
        <v>3</v>
      </c>
      <c r="E36" s="1" t="s">
        <v>760</v>
      </c>
      <c r="F36" s="30"/>
      <c r="G36" s="73"/>
      <c r="H36" s="73"/>
      <c r="I36" s="48"/>
      <c r="J36" s="132"/>
      <c r="K36" s="122"/>
      <c r="L36" s="122"/>
      <c r="M36" s="132"/>
      <c r="N36" s="122"/>
      <c r="O36" s="122"/>
      <c r="P36" s="93"/>
      <c r="Q36" s="85"/>
      <c r="R36" s="85"/>
      <c r="S36" s="95">
        <v>19</v>
      </c>
      <c r="T36" s="85">
        <v>60</v>
      </c>
      <c r="U36" s="85"/>
      <c r="V36" s="95"/>
      <c r="W36" s="85"/>
      <c r="X36" s="85"/>
      <c r="Y36" s="95"/>
      <c r="Z36" s="85"/>
      <c r="AA36" s="85"/>
      <c r="AB36" s="95"/>
      <c r="AC36" s="85"/>
      <c r="AD36" s="85"/>
      <c r="AE36" s="95"/>
      <c r="AF36" s="85"/>
      <c r="AG36" s="85"/>
      <c r="AH36" s="95"/>
      <c r="AI36" s="85"/>
      <c r="AJ36" s="85"/>
      <c r="AK36" s="95"/>
      <c r="AL36" s="85"/>
      <c r="AM36" s="85"/>
      <c r="AN36" s="95"/>
      <c r="AO36" s="85"/>
      <c r="AP36" s="85"/>
      <c r="AQ36" s="95"/>
      <c r="AR36" s="85"/>
      <c r="AS36" s="139"/>
      <c r="AT36" s="38"/>
      <c r="AU36" s="38"/>
      <c r="AV36" s="37"/>
      <c r="AW36" s="37"/>
      <c r="AX36" s="37"/>
    </row>
    <row r="37" spans="1:50" ht="17.5" x14ac:dyDescent="0.45">
      <c r="A37" s="275"/>
      <c r="B37" s="1" t="s">
        <v>756</v>
      </c>
      <c r="D37" s="1" t="s">
        <v>329</v>
      </c>
      <c r="E37" s="1" t="s">
        <v>330</v>
      </c>
      <c r="F37" s="30"/>
      <c r="G37" s="74"/>
      <c r="H37" s="74"/>
      <c r="I37" s="31"/>
      <c r="J37" s="91"/>
      <c r="K37" s="85"/>
      <c r="L37" s="85"/>
      <c r="M37" s="91"/>
      <c r="N37" s="85"/>
      <c r="O37" s="85"/>
      <c r="P37" s="91"/>
      <c r="Q37" s="85"/>
      <c r="R37" s="85"/>
      <c r="S37" s="92"/>
      <c r="T37" s="85"/>
      <c r="U37" s="85"/>
      <c r="V37" s="92">
        <v>20</v>
      </c>
      <c r="W37" s="85">
        <v>50</v>
      </c>
      <c r="X37" s="85"/>
      <c r="Y37" s="92"/>
      <c r="Z37" s="85"/>
      <c r="AA37" s="85"/>
      <c r="AB37" s="92"/>
      <c r="AC37" s="85"/>
      <c r="AD37" s="85"/>
      <c r="AE37" s="92"/>
      <c r="AF37" s="85"/>
      <c r="AG37" s="85"/>
      <c r="AH37" s="92"/>
      <c r="AI37" s="85"/>
      <c r="AJ37" s="85"/>
      <c r="AK37" s="92"/>
      <c r="AL37" s="85"/>
      <c r="AM37" s="85"/>
      <c r="AN37" s="92"/>
      <c r="AO37" s="85"/>
      <c r="AP37" s="85"/>
      <c r="AQ37" s="92"/>
      <c r="AR37" s="85"/>
      <c r="AS37" s="175"/>
      <c r="AT37" s="38"/>
      <c r="AU37" s="38"/>
      <c r="AV37" s="37"/>
      <c r="AX37" s="37"/>
    </row>
    <row r="38" spans="1:50" ht="17.5" x14ac:dyDescent="0.45">
      <c r="A38" s="275"/>
      <c r="B38" s="1" t="s">
        <v>758</v>
      </c>
      <c r="C38" s="1" t="s">
        <v>172</v>
      </c>
      <c r="D38" s="1" t="s">
        <v>331</v>
      </c>
      <c r="E38" s="1" t="s">
        <v>757</v>
      </c>
      <c r="F38" s="30"/>
      <c r="G38" s="74"/>
      <c r="H38" s="74"/>
      <c r="I38" s="31"/>
      <c r="J38" s="90"/>
      <c r="K38" s="85"/>
      <c r="L38" s="85"/>
      <c r="M38" s="91"/>
      <c r="N38" s="85"/>
      <c r="O38" s="85"/>
      <c r="P38" s="91"/>
      <c r="Q38" s="85"/>
      <c r="R38" s="85"/>
      <c r="S38" s="92"/>
      <c r="T38" s="85"/>
      <c r="U38" s="85"/>
      <c r="V38" s="92">
        <v>24</v>
      </c>
      <c r="W38" s="85">
        <v>60</v>
      </c>
      <c r="X38" s="85"/>
      <c r="Y38" s="92"/>
      <c r="Z38" s="85"/>
      <c r="AA38" s="85"/>
      <c r="AB38" s="92"/>
      <c r="AC38" s="85"/>
      <c r="AD38" s="85"/>
      <c r="AE38" s="92"/>
      <c r="AF38" s="85"/>
      <c r="AG38" s="85"/>
      <c r="AH38" s="92"/>
      <c r="AI38" s="85"/>
      <c r="AJ38" s="85"/>
      <c r="AK38" s="92"/>
      <c r="AL38" s="85"/>
      <c r="AM38" s="85"/>
      <c r="AN38" s="92"/>
      <c r="AO38" s="85"/>
      <c r="AP38" s="85"/>
      <c r="AQ38" s="92"/>
      <c r="AR38" s="85"/>
      <c r="AS38" s="175"/>
      <c r="AT38" s="38"/>
      <c r="AU38" s="38"/>
      <c r="AV38" s="37"/>
      <c r="AX38" s="37"/>
    </row>
    <row r="39" spans="1:50" ht="17.5" x14ac:dyDescent="0.45">
      <c r="A39" s="275"/>
      <c r="B39" s="1" t="s">
        <v>756</v>
      </c>
      <c r="D39" s="1" t="s">
        <v>3</v>
      </c>
      <c r="E39" s="1" t="s">
        <v>386</v>
      </c>
      <c r="F39" s="30"/>
      <c r="G39" s="75"/>
      <c r="H39" s="75"/>
      <c r="I39" s="31"/>
      <c r="J39" s="90"/>
      <c r="K39" s="85"/>
      <c r="L39" s="85"/>
      <c r="M39" s="91"/>
      <c r="N39" s="85"/>
      <c r="O39" s="85"/>
      <c r="P39" s="91"/>
      <c r="Q39" s="85"/>
      <c r="R39" s="85"/>
      <c r="S39" s="92"/>
      <c r="T39" s="85"/>
      <c r="U39" s="85"/>
      <c r="V39" s="92"/>
      <c r="W39" s="85"/>
      <c r="X39" s="85"/>
      <c r="Y39" s="92"/>
      <c r="Z39" s="85"/>
      <c r="AA39" s="85"/>
      <c r="AB39" s="92">
        <v>23</v>
      </c>
      <c r="AC39" s="85">
        <v>13.2</v>
      </c>
      <c r="AD39" s="85"/>
      <c r="AE39" s="92"/>
      <c r="AF39" s="85"/>
      <c r="AG39" s="85"/>
      <c r="AH39" s="92"/>
      <c r="AI39" s="85"/>
      <c r="AJ39" s="85"/>
      <c r="AK39" s="92"/>
      <c r="AL39" s="85"/>
      <c r="AM39" s="85"/>
      <c r="AN39" s="92"/>
      <c r="AO39" s="85"/>
      <c r="AP39" s="85"/>
      <c r="AQ39" s="92"/>
      <c r="AR39" s="85"/>
      <c r="AS39" s="175"/>
      <c r="AT39" s="38"/>
      <c r="AU39" s="38"/>
      <c r="AV39" s="37"/>
      <c r="AX39" s="37"/>
    </row>
    <row r="40" spans="1:50" ht="17.5" x14ac:dyDescent="0.45">
      <c r="A40" s="275"/>
      <c r="B40" s="1" t="s">
        <v>758</v>
      </c>
      <c r="D40" s="1" t="s">
        <v>393</v>
      </c>
      <c r="E40" s="1" t="s">
        <v>759</v>
      </c>
      <c r="F40" s="30"/>
      <c r="G40" s="75"/>
      <c r="H40" s="75"/>
      <c r="I40" s="31"/>
      <c r="J40" s="90"/>
      <c r="K40" s="85"/>
      <c r="L40" s="85"/>
      <c r="M40" s="91"/>
      <c r="N40" s="85"/>
      <c r="O40" s="85"/>
      <c r="P40" s="91"/>
      <c r="Q40" s="85"/>
      <c r="R40" s="85"/>
      <c r="S40" s="92"/>
      <c r="T40" s="85"/>
      <c r="U40" s="85"/>
      <c r="V40" s="92"/>
      <c r="W40" s="85"/>
      <c r="X40" s="85"/>
      <c r="Y40" s="92"/>
      <c r="Z40" s="85"/>
      <c r="AA40" s="85"/>
      <c r="AB40" s="92"/>
      <c r="AC40" s="85"/>
      <c r="AD40" s="85"/>
      <c r="AE40" s="92"/>
      <c r="AF40" s="85"/>
      <c r="AG40" s="85"/>
      <c r="AH40" s="92">
        <v>4</v>
      </c>
      <c r="AI40" s="85">
        <v>47</v>
      </c>
      <c r="AJ40" s="85"/>
      <c r="AK40" s="92"/>
      <c r="AL40" s="85"/>
      <c r="AM40" s="85"/>
      <c r="AN40" s="92"/>
      <c r="AO40" s="85"/>
      <c r="AP40" s="85"/>
      <c r="AQ40" s="92"/>
      <c r="AR40" s="85"/>
      <c r="AS40" s="175"/>
      <c r="AT40" s="38"/>
      <c r="AU40" s="38"/>
      <c r="AV40" s="37"/>
      <c r="AX40" s="37"/>
    </row>
    <row r="41" spans="1:50" ht="17.5" x14ac:dyDescent="0.45">
      <c r="A41" s="275"/>
      <c r="B41" s="1" t="s">
        <v>756</v>
      </c>
      <c r="D41" s="1" t="s">
        <v>393</v>
      </c>
      <c r="E41" s="1" t="s">
        <v>394</v>
      </c>
      <c r="F41" s="30"/>
      <c r="G41" s="75"/>
      <c r="H41" s="75"/>
      <c r="I41" s="31"/>
      <c r="J41" s="90"/>
      <c r="K41" s="85"/>
      <c r="L41" s="85"/>
      <c r="M41" s="91"/>
      <c r="N41" s="85"/>
      <c r="O41" s="85"/>
      <c r="P41" s="91"/>
      <c r="Q41" s="85"/>
      <c r="R41" s="85"/>
      <c r="S41" s="92"/>
      <c r="T41" s="85"/>
      <c r="U41" s="85"/>
      <c r="V41" s="92"/>
      <c r="W41" s="85"/>
      <c r="X41" s="85"/>
      <c r="Y41" s="92"/>
      <c r="Z41" s="85"/>
      <c r="AA41" s="85"/>
      <c r="AB41" s="92"/>
      <c r="AC41" s="85"/>
      <c r="AD41" s="85"/>
      <c r="AE41" s="92"/>
      <c r="AF41" s="85"/>
      <c r="AG41" s="85"/>
      <c r="AH41" s="92">
        <v>4</v>
      </c>
      <c r="AI41" s="85">
        <v>16</v>
      </c>
      <c r="AJ41" s="85"/>
      <c r="AK41" s="92"/>
      <c r="AL41" s="85"/>
      <c r="AM41" s="85"/>
      <c r="AN41" s="92"/>
      <c r="AO41" s="85"/>
      <c r="AP41" s="85"/>
      <c r="AQ41" s="92"/>
      <c r="AR41" s="85"/>
      <c r="AS41" s="175"/>
      <c r="AT41" s="38"/>
      <c r="AU41" s="38"/>
      <c r="AV41" s="37"/>
      <c r="AX41" s="37"/>
    </row>
    <row r="42" spans="1:50" ht="17.5" x14ac:dyDescent="0.45">
      <c r="A42" s="275"/>
      <c r="B42" s="1" t="s">
        <v>756</v>
      </c>
      <c r="D42" s="1" t="s">
        <v>393</v>
      </c>
      <c r="E42" s="1" t="s">
        <v>395</v>
      </c>
      <c r="F42" s="30"/>
      <c r="G42" s="75"/>
      <c r="H42" s="75"/>
      <c r="I42" s="31"/>
      <c r="J42" s="90"/>
      <c r="K42" s="85"/>
      <c r="L42" s="85"/>
      <c r="M42" s="91"/>
      <c r="N42" s="85"/>
      <c r="O42" s="85"/>
      <c r="P42" s="91"/>
      <c r="Q42" s="85"/>
      <c r="R42" s="85"/>
      <c r="S42" s="92"/>
      <c r="T42" s="85"/>
      <c r="U42" s="85"/>
      <c r="V42" s="92"/>
      <c r="W42" s="85"/>
      <c r="X42" s="85"/>
      <c r="Y42" s="92"/>
      <c r="Z42" s="85"/>
      <c r="AA42" s="85"/>
      <c r="AB42" s="92">
        <v>8</v>
      </c>
      <c r="AC42" s="85">
        <v>4</v>
      </c>
      <c r="AD42" s="85"/>
      <c r="AE42" s="92"/>
      <c r="AF42" s="85"/>
      <c r="AG42" s="85"/>
      <c r="AH42" s="92">
        <v>2</v>
      </c>
      <c r="AI42" s="85">
        <v>3</v>
      </c>
      <c r="AJ42" s="85"/>
      <c r="AK42" s="92"/>
      <c r="AL42" s="85"/>
      <c r="AM42" s="85"/>
      <c r="AN42" s="92"/>
      <c r="AO42" s="85"/>
      <c r="AP42" s="85"/>
      <c r="AQ42" s="92"/>
      <c r="AR42" s="85"/>
      <c r="AS42" s="175"/>
      <c r="AT42" s="38"/>
      <c r="AU42" s="38"/>
      <c r="AV42" s="37"/>
      <c r="AX42" s="37"/>
    </row>
    <row r="43" spans="1:50" ht="17.5" x14ac:dyDescent="0.45">
      <c r="A43" s="275"/>
      <c r="B43" s="1" t="s">
        <v>756</v>
      </c>
      <c r="D43" s="1" t="s">
        <v>398</v>
      </c>
      <c r="E43" s="1" t="s">
        <v>399</v>
      </c>
      <c r="F43" s="30"/>
      <c r="G43" s="75"/>
      <c r="H43" s="75"/>
      <c r="I43" s="31"/>
      <c r="J43" s="90"/>
      <c r="K43" s="85"/>
      <c r="L43" s="85"/>
      <c r="M43" s="91"/>
      <c r="N43" s="85"/>
      <c r="O43" s="85"/>
      <c r="P43" s="91"/>
      <c r="Q43" s="85"/>
      <c r="R43" s="85"/>
      <c r="S43" s="92"/>
      <c r="T43" s="85"/>
      <c r="U43" s="85"/>
      <c r="V43" s="92"/>
      <c r="W43" s="85"/>
      <c r="X43" s="85"/>
      <c r="Y43" s="92"/>
      <c r="Z43" s="85"/>
      <c r="AA43" s="85"/>
      <c r="AB43" s="92">
        <v>9</v>
      </c>
      <c r="AC43" s="85">
        <v>3</v>
      </c>
      <c r="AD43" s="85"/>
      <c r="AE43" s="92"/>
      <c r="AF43" s="85"/>
      <c r="AG43" s="85"/>
      <c r="AH43" s="92"/>
      <c r="AI43" s="85"/>
      <c r="AJ43" s="85"/>
      <c r="AK43" s="92"/>
      <c r="AL43" s="85"/>
      <c r="AM43" s="85"/>
      <c r="AN43" s="92"/>
      <c r="AO43" s="85"/>
      <c r="AP43" s="85"/>
      <c r="AQ43" s="92"/>
      <c r="AR43" s="85"/>
      <c r="AS43" s="175"/>
      <c r="AT43" s="38"/>
      <c r="AU43" s="38"/>
      <c r="AV43" s="37"/>
      <c r="AX43" s="37"/>
    </row>
    <row r="44" spans="1:50" ht="17.5" x14ac:dyDescent="0.45">
      <c r="A44" s="275"/>
      <c r="B44" s="1" t="s">
        <v>756</v>
      </c>
      <c r="D44" s="1" t="s">
        <v>400</v>
      </c>
      <c r="E44" s="1" t="s">
        <v>401</v>
      </c>
      <c r="F44" s="30"/>
      <c r="G44" s="75"/>
      <c r="H44" s="75"/>
      <c r="I44" s="31"/>
      <c r="J44" s="90"/>
      <c r="K44" s="85"/>
      <c r="L44" s="85"/>
      <c r="M44" s="91"/>
      <c r="N44" s="85"/>
      <c r="O44" s="85"/>
      <c r="P44" s="91"/>
      <c r="Q44" s="85"/>
      <c r="R44" s="85"/>
      <c r="S44" s="92"/>
      <c r="T44" s="85"/>
      <c r="U44" s="85"/>
      <c r="V44" s="92"/>
      <c r="W44" s="85"/>
      <c r="X44" s="85"/>
      <c r="Y44" s="92"/>
      <c r="Z44" s="85"/>
      <c r="AA44" s="85"/>
      <c r="AB44" s="92"/>
      <c r="AC44" s="85"/>
      <c r="AD44" s="85"/>
      <c r="AE44" s="92"/>
      <c r="AF44" s="85"/>
      <c r="AG44" s="85"/>
      <c r="AH44" s="92">
        <v>9</v>
      </c>
      <c r="AI44" s="85">
        <v>26.5</v>
      </c>
      <c r="AJ44" s="85"/>
      <c r="AK44" s="92"/>
      <c r="AL44" s="85"/>
      <c r="AM44" s="85"/>
      <c r="AN44" s="92"/>
      <c r="AO44" s="85"/>
      <c r="AP44" s="85"/>
      <c r="AQ44" s="92"/>
      <c r="AR44" s="85"/>
      <c r="AS44" s="175"/>
      <c r="AT44" s="38"/>
      <c r="AU44" s="38"/>
      <c r="AV44" s="37"/>
      <c r="AX44" s="37"/>
    </row>
    <row r="45" spans="1:50" ht="17.5" x14ac:dyDescent="0.45">
      <c r="A45" s="275"/>
      <c r="B45" s="1" t="s">
        <v>756</v>
      </c>
      <c r="D45" s="1" t="s">
        <v>400</v>
      </c>
      <c r="E45" s="1" t="s">
        <v>403</v>
      </c>
      <c r="F45" s="30"/>
      <c r="G45" s="75"/>
      <c r="H45" s="75"/>
      <c r="I45" s="31"/>
      <c r="J45" s="90"/>
      <c r="K45" s="85"/>
      <c r="L45" s="85"/>
      <c r="M45" s="91"/>
      <c r="N45" s="85"/>
      <c r="O45" s="85"/>
      <c r="P45" s="91"/>
      <c r="Q45" s="85"/>
      <c r="R45" s="85"/>
      <c r="S45" s="92"/>
      <c r="T45" s="85"/>
      <c r="U45" s="85"/>
      <c r="V45" s="92"/>
      <c r="W45" s="85"/>
      <c r="X45" s="85"/>
      <c r="Y45" s="92"/>
      <c r="Z45" s="85"/>
      <c r="AA45" s="85"/>
      <c r="AB45" s="92"/>
      <c r="AC45" s="85"/>
      <c r="AD45" s="85"/>
      <c r="AE45" s="92"/>
      <c r="AF45" s="85"/>
      <c r="AG45" s="85"/>
      <c r="AH45" s="92">
        <v>13</v>
      </c>
      <c r="AI45" s="85">
        <v>54.4</v>
      </c>
      <c r="AJ45" s="85"/>
      <c r="AK45" s="92"/>
      <c r="AL45" s="85"/>
      <c r="AM45" s="85"/>
      <c r="AN45" s="92"/>
      <c r="AO45" s="85"/>
      <c r="AP45" s="85"/>
      <c r="AQ45" s="92"/>
      <c r="AR45" s="85"/>
      <c r="AS45" s="175"/>
      <c r="AT45" s="38"/>
      <c r="AU45" s="38"/>
      <c r="AV45" s="37"/>
      <c r="AX45" s="37"/>
    </row>
    <row r="46" spans="1:50" ht="17.5" x14ac:dyDescent="0.45">
      <c r="A46" s="275"/>
      <c r="B46" s="1" t="s">
        <v>756</v>
      </c>
      <c r="D46" s="1" t="s">
        <v>404</v>
      </c>
      <c r="E46" s="1" t="s">
        <v>405</v>
      </c>
      <c r="F46" s="30"/>
      <c r="G46" s="75"/>
      <c r="H46" s="75"/>
      <c r="I46" s="31"/>
      <c r="J46" s="90"/>
      <c r="K46" s="85"/>
      <c r="L46" s="85"/>
      <c r="M46" s="91"/>
      <c r="N46" s="85"/>
      <c r="O46" s="85"/>
      <c r="P46" s="91"/>
      <c r="Q46" s="85"/>
      <c r="R46" s="85"/>
      <c r="S46" s="92"/>
      <c r="T46" s="85"/>
      <c r="U46" s="85"/>
      <c r="V46" s="92"/>
      <c r="W46" s="85"/>
      <c r="X46" s="85"/>
      <c r="Y46" s="92"/>
      <c r="Z46" s="85"/>
      <c r="AA46" s="85"/>
      <c r="AB46" s="92"/>
      <c r="AC46" s="85"/>
      <c r="AD46" s="85"/>
      <c r="AE46" s="92"/>
      <c r="AF46" s="85"/>
      <c r="AG46" s="85"/>
      <c r="AH46" s="92">
        <v>5</v>
      </c>
      <c r="AI46" s="85">
        <v>2.9</v>
      </c>
      <c r="AJ46" s="85"/>
      <c r="AK46" s="92"/>
      <c r="AL46" s="85"/>
      <c r="AM46" s="85"/>
      <c r="AN46" s="92"/>
      <c r="AO46" s="85"/>
      <c r="AP46" s="85"/>
      <c r="AQ46" s="92"/>
      <c r="AR46" s="85"/>
      <c r="AS46" s="175"/>
      <c r="AT46" s="38"/>
      <c r="AU46" s="38"/>
      <c r="AV46" s="37"/>
      <c r="AX46" s="37"/>
    </row>
    <row r="47" spans="1:50" ht="17.5" x14ac:dyDescent="0.45">
      <c r="A47" s="275"/>
      <c r="B47" s="1" t="s">
        <v>756</v>
      </c>
      <c r="D47" s="1" t="s">
        <v>404</v>
      </c>
      <c r="E47" s="1" t="s">
        <v>406</v>
      </c>
      <c r="F47" s="30"/>
      <c r="G47" s="75"/>
      <c r="H47" s="75"/>
      <c r="I47" s="31"/>
      <c r="J47" s="90"/>
      <c r="K47" s="85"/>
      <c r="L47" s="85"/>
      <c r="M47" s="91"/>
      <c r="N47" s="85"/>
      <c r="O47" s="85"/>
      <c r="P47" s="91"/>
      <c r="Q47" s="85"/>
      <c r="R47" s="85"/>
      <c r="S47" s="92"/>
      <c r="T47" s="85"/>
      <c r="U47" s="85"/>
      <c r="V47" s="92"/>
      <c r="W47" s="85"/>
      <c r="X47" s="85"/>
      <c r="Y47" s="92"/>
      <c r="Z47" s="85"/>
      <c r="AA47" s="85"/>
      <c r="AB47" s="92"/>
      <c r="AC47" s="85"/>
      <c r="AD47" s="85"/>
      <c r="AE47" s="92"/>
      <c r="AF47" s="85"/>
      <c r="AG47" s="85"/>
      <c r="AH47" s="92">
        <v>20</v>
      </c>
      <c r="AI47" s="85">
        <v>30</v>
      </c>
      <c r="AJ47" s="85"/>
      <c r="AK47" s="92"/>
      <c r="AL47" s="85"/>
      <c r="AM47" s="85"/>
      <c r="AN47" s="92"/>
      <c r="AO47" s="85"/>
      <c r="AP47" s="85"/>
      <c r="AQ47" s="92"/>
      <c r="AR47" s="85"/>
      <c r="AS47" s="175"/>
      <c r="AT47" s="38"/>
      <c r="AU47" s="38"/>
      <c r="AV47" s="37"/>
      <c r="AX47" s="37"/>
    </row>
    <row r="48" spans="1:50" ht="17.5" x14ac:dyDescent="0.45">
      <c r="A48" s="275"/>
      <c r="B48" s="1" t="s">
        <v>756</v>
      </c>
      <c r="D48" s="1" t="s">
        <v>408</v>
      </c>
      <c r="E48" s="1" t="s">
        <v>409</v>
      </c>
      <c r="F48" s="30"/>
      <c r="G48" s="75"/>
      <c r="H48" s="75"/>
      <c r="I48" s="31"/>
      <c r="J48" s="90"/>
      <c r="K48" s="85"/>
      <c r="L48" s="85"/>
      <c r="M48" s="91"/>
      <c r="N48" s="85"/>
      <c r="O48" s="85"/>
      <c r="P48" s="91"/>
      <c r="Q48" s="85"/>
      <c r="R48" s="85"/>
      <c r="S48" s="92"/>
      <c r="T48" s="85"/>
      <c r="U48" s="85"/>
      <c r="V48" s="92"/>
      <c r="W48" s="85"/>
      <c r="X48" s="85"/>
      <c r="Y48" s="92"/>
      <c r="Z48" s="85"/>
      <c r="AA48" s="85"/>
      <c r="AB48" s="92"/>
      <c r="AC48" s="85"/>
      <c r="AD48" s="85"/>
      <c r="AE48" s="92"/>
      <c r="AF48" s="85"/>
      <c r="AG48" s="85"/>
      <c r="AH48" s="92">
        <v>20</v>
      </c>
      <c r="AI48" s="85">
        <v>3</v>
      </c>
      <c r="AJ48" s="85"/>
      <c r="AK48" s="92"/>
      <c r="AL48" s="85"/>
      <c r="AM48" s="85"/>
      <c r="AN48" s="92"/>
      <c r="AO48" s="85"/>
      <c r="AP48" s="85"/>
      <c r="AQ48" s="92"/>
      <c r="AR48" s="85"/>
      <c r="AS48" s="175"/>
      <c r="AT48" s="38"/>
      <c r="AU48" s="38"/>
      <c r="AV48" s="37"/>
      <c r="AX48" s="37"/>
    </row>
    <row r="49" spans="1:50" ht="17.5" x14ac:dyDescent="0.45">
      <c r="A49" s="275"/>
      <c r="B49" s="1" t="s">
        <v>756</v>
      </c>
      <c r="D49" s="1" t="s">
        <v>408</v>
      </c>
      <c r="E49" s="1" t="s">
        <v>410</v>
      </c>
      <c r="F49" s="30"/>
      <c r="G49" s="75"/>
      <c r="H49" s="75"/>
      <c r="I49" s="31"/>
      <c r="J49" s="90"/>
      <c r="K49" s="85"/>
      <c r="L49" s="85"/>
      <c r="M49" s="91"/>
      <c r="N49" s="85"/>
      <c r="O49" s="85"/>
      <c r="P49" s="91"/>
      <c r="Q49" s="85"/>
      <c r="R49" s="85"/>
      <c r="S49" s="92"/>
      <c r="T49" s="85"/>
      <c r="U49" s="85"/>
      <c r="V49" s="92"/>
      <c r="W49" s="85"/>
      <c r="X49" s="85"/>
      <c r="Y49" s="92"/>
      <c r="Z49" s="85"/>
      <c r="AA49" s="85"/>
      <c r="AB49" s="92"/>
      <c r="AC49" s="85"/>
      <c r="AD49" s="85"/>
      <c r="AE49" s="92"/>
      <c r="AF49" s="85"/>
      <c r="AG49" s="85"/>
      <c r="AH49" s="92">
        <v>21</v>
      </c>
      <c r="AI49" s="85">
        <v>12</v>
      </c>
      <c r="AJ49" s="85"/>
      <c r="AK49" s="92"/>
      <c r="AL49" s="85"/>
      <c r="AM49" s="85"/>
      <c r="AN49" s="92"/>
      <c r="AO49" s="85"/>
      <c r="AP49" s="85"/>
      <c r="AQ49" s="92"/>
      <c r="AR49" s="85"/>
      <c r="AS49" s="175"/>
      <c r="AT49" s="38"/>
      <c r="AU49" s="38"/>
      <c r="AV49" s="37"/>
      <c r="AX49" s="37"/>
    </row>
    <row r="50" spans="1:50" ht="17.5" x14ac:dyDescent="0.45">
      <c r="A50" s="275"/>
      <c r="B50" s="1" t="s">
        <v>756</v>
      </c>
      <c r="D50" s="1" t="s">
        <v>408</v>
      </c>
      <c r="E50" s="1" t="s">
        <v>411</v>
      </c>
      <c r="F50" s="30"/>
      <c r="G50" s="75"/>
      <c r="H50" s="75"/>
      <c r="I50" s="31"/>
      <c r="J50" s="90"/>
      <c r="K50" s="85"/>
      <c r="L50" s="85"/>
      <c r="M50" s="91"/>
      <c r="N50" s="85"/>
      <c r="O50" s="85"/>
      <c r="P50" s="91"/>
      <c r="Q50" s="85"/>
      <c r="R50" s="85"/>
      <c r="S50" s="92"/>
      <c r="T50" s="85"/>
      <c r="U50" s="85"/>
      <c r="V50" s="92"/>
      <c r="W50" s="85"/>
      <c r="X50" s="85"/>
      <c r="Y50" s="92"/>
      <c r="Z50" s="85"/>
      <c r="AA50" s="85"/>
      <c r="AB50" s="92"/>
      <c r="AC50" s="85"/>
      <c r="AD50" s="85"/>
      <c r="AE50" s="92"/>
      <c r="AF50" s="85"/>
      <c r="AG50" s="85"/>
      <c r="AH50" s="92">
        <v>28</v>
      </c>
      <c r="AI50" s="85">
        <v>24</v>
      </c>
      <c r="AJ50" s="85"/>
      <c r="AK50" s="92"/>
      <c r="AL50" s="85"/>
      <c r="AM50" s="85"/>
      <c r="AN50" s="92"/>
      <c r="AO50" s="85"/>
      <c r="AP50" s="85"/>
      <c r="AQ50" s="92"/>
      <c r="AR50" s="85"/>
      <c r="AS50" s="175"/>
      <c r="AT50" s="38"/>
      <c r="AU50" s="38"/>
      <c r="AV50" s="37"/>
      <c r="AX50" s="37"/>
    </row>
    <row r="51" spans="1:50" ht="17.5" x14ac:dyDescent="0.45">
      <c r="A51" s="275"/>
      <c r="B51" s="1" t="s">
        <v>756</v>
      </c>
      <c r="D51" s="1" t="s">
        <v>433</v>
      </c>
      <c r="E51" s="1" t="s">
        <v>434</v>
      </c>
      <c r="F51" s="30"/>
      <c r="G51" s="75"/>
      <c r="H51" s="75"/>
      <c r="I51" s="31"/>
      <c r="J51" s="90"/>
      <c r="K51" s="85"/>
      <c r="L51" s="85"/>
      <c r="M51" s="91"/>
      <c r="N51" s="85"/>
      <c r="O51" s="85"/>
      <c r="P51" s="91"/>
      <c r="Q51" s="85"/>
      <c r="R51" s="85"/>
      <c r="S51" s="92"/>
      <c r="T51" s="85"/>
      <c r="U51" s="85"/>
      <c r="V51" s="92"/>
      <c r="W51" s="85"/>
      <c r="X51" s="85"/>
      <c r="Y51" s="92"/>
      <c r="Z51" s="85"/>
      <c r="AA51" s="85"/>
      <c r="AB51" s="92"/>
      <c r="AC51" s="85"/>
      <c r="AD51" s="85"/>
      <c r="AE51" s="92"/>
      <c r="AF51" s="85"/>
      <c r="AG51" s="85"/>
      <c r="AH51" s="92"/>
      <c r="AI51" s="85"/>
      <c r="AJ51" s="85"/>
      <c r="AK51" s="92">
        <v>29</v>
      </c>
      <c r="AL51" s="85">
        <v>17.3</v>
      </c>
      <c r="AM51" s="85"/>
      <c r="AN51" s="92"/>
      <c r="AO51" s="85"/>
      <c r="AP51" s="85"/>
      <c r="AQ51" s="92"/>
      <c r="AR51" s="85"/>
      <c r="AS51" s="175"/>
      <c r="AT51" s="38"/>
      <c r="AU51" s="38"/>
      <c r="AV51" s="37"/>
      <c r="AX51" s="37"/>
    </row>
    <row r="52" spans="1:50" ht="17.5" x14ac:dyDescent="0.45">
      <c r="A52" s="275"/>
      <c r="B52" s="1" t="s">
        <v>756</v>
      </c>
      <c r="D52" s="1" t="s">
        <v>433</v>
      </c>
      <c r="E52" s="1" t="s">
        <v>435</v>
      </c>
      <c r="F52" s="30"/>
      <c r="G52" s="75"/>
      <c r="H52" s="75"/>
      <c r="I52" s="31"/>
      <c r="J52" s="90"/>
      <c r="K52" s="85"/>
      <c r="L52" s="85"/>
      <c r="M52" s="91"/>
      <c r="N52" s="85"/>
      <c r="O52" s="85"/>
      <c r="P52" s="91"/>
      <c r="Q52" s="85"/>
      <c r="R52" s="85"/>
      <c r="S52" s="92"/>
      <c r="T52" s="85"/>
      <c r="U52" s="85"/>
      <c r="V52" s="92"/>
      <c r="W52" s="85"/>
      <c r="X52" s="85"/>
      <c r="Y52" s="92"/>
      <c r="Z52" s="85"/>
      <c r="AA52" s="85"/>
      <c r="AB52" s="92"/>
      <c r="AC52" s="85"/>
      <c r="AD52" s="85"/>
      <c r="AE52" s="92"/>
      <c r="AF52" s="85"/>
      <c r="AG52" s="85"/>
      <c r="AH52" s="92"/>
      <c r="AI52" s="85"/>
      <c r="AJ52" s="85"/>
      <c r="AK52" s="92">
        <v>25</v>
      </c>
      <c r="AL52" s="85">
        <v>12</v>
      </c>
      <c r="AM52" s="85"/>
      <c r="AN52" s="92"/>
      <c r="AO52" s="85"/>
      <c r="AP52" s="85"/>
      <c r="AQ52" s="92"/>
      <c r="AR52" s="85"/>
      <c r="AS52" s="175"/>
      <c r="AT52" s="38"/>
      <c r="AU52" s="38"/>
      <c r="AV52" s="37"/>
      <c r="AX52" s="37"/>
    </row>
    <row r="53" spans="1:50" ht="17.5" x14ac:dyDescent="0.45">
      <c r="A53" s="275"/>
      <c r="B53" s="1" t="s">
        <v>756</v>
      </c>
      <c r="D53" s="1" t="s">
        <v>445</v>
      </c>
      <c r="E53" s="1" t="s">
        <v>446</v>
      </c>
      <c r="F53" s="30"/>
      <c r="G53" s="75"/>
      <c r="H53" s="75"/>
      <c r="I53" s="31"/>
      <c r="J53" s="90"/>
      <c r="K53" s="85"/>
      <c r="L53" s="85"/>
      <c r="M53" s="91"/>
      <c r="N53" s="85"/>
      <c r="O53" s="85"/>
      <c r="P53" s="91"/>
      <c r="Q53" s="85"/>
      <c r="R53" s="85"/>
      <c r="S53" s="92"/>
      <c r="T53" s="85"/>
      <c r="U53" s="85"/>
      <c r="V53" s="92"/>
      <c r="W53" s="85"/>
      <c r="X53" s="85"/>
      <c r="Y53" s="92"/>
      <c r="Z53" s="85"/>
      <c r="AA53" s="85"/>
      <c r="AB53" s="92"/>
      <c r="AC53" s="85"/>
      <c r="AD53" s="85"/>
      <c r="AE53" s="92"/>
      <c r="AF53" s="85"/>
      <c r="AG53" s="85"/>
      <c r="AH53" s="92"/>
      <c r="AI53" s="85"/>
      <c r="AJ53" s="85"/>
      <c r="AK53" s="92"/>
      <c r="AL53" s="85"/>
      <c r="AM53" s="85"/>
      <c r="AN53" s="92">
        <v>13</v>
      </c>
      <c r="AO53" s="85">
        <v>17.3</v>
      </c>
      <c r="AP53" s="85"/>
      <c r="AQ53" s="92"/>
      <c r="AR53" s="85"/>
      <c r="AS53" s="175"/>
      <c r="AT53" s="38"/>
      <c r="AU53" s="38"/>
      <c r="AV53" s="37"/>
      <c r="AX53" s="37"/>
    </row>
    <row r="54" spans="1:50" ht="17.5" x14ac:dyDescent="0.45">
      <c r="A54" s="275"/>
      <c r="B54" s="1" t="s">
        <v>756</v>
      </c>
      <c r="D54" s="1" t="s">
        <v>450</v>
      </c>
      <c r="E54" s="1" t="s">
        <v>451</v>
      </c>
      <c r="F54" s="30"/>
      <c r="G54" s="75"/>
      <c r="H54" s="75"/>
      <c r="I54" s="31"/>
      <c r="J54" s="90"/>
      <c r="K54" s="85"/>
      <c r="L54" s="85"/>
      <c r="M54" s="91"/>
      <c r="N54" s="85"/>
      <c r="O54" s="85"/>
      <c r="P54" s="91"/>
      <c r="Q54" s="85"/>
      <c r="R54" s="85"/>
      <c r="S54" s="92"/>
      <c r="T54" s="85"/>
      <c r="U54" s="85"/>
      <c r="V54" s="92"/>
      <c r="W54" s="85"/>
      <c r="X54" s="85"/>
      <c r="Y54" s="92"/>
      <c r="Z54" s="85"/>
      <c r="AA54" s="85"/>
      <c r="AB54" s="92"/>
      <c r="AC54" s="85"/>
      <c r="AD54" s="85"/>
      <c r="AE54" s="92"/>
      <c r="AF54" s="85"/>
      <c r="AG54" s="85"/>
      <c r="AH54" s="92"/>
      <c r="AI54" s="85"/>
      <c r="AJ54" s="85"/>
      <c r="AK54" s="92"/>
      <c r="AL54" s="85"/>
      <c r="AM54" s="85"/>
      <c r="AN54" s="92"/>
      <c r="AO54" s="85"/>
      <c r="AP54" s="85"/>
      <c r="AQ54" s="92">
        <v>13</v>
      </c>
      <c r="AR54" s="85">
        <v>20</v>
      </c>
      <c r="AS54" s="175"/>
      <c r="AT54" s="38"/>
      <c r="AU54" s="38"/>
      <c r="AV54" s="37"/>
      <c r="AX54" s="37"/>
    </row>
    <row r="55" spans="1:50" ht="18" thickBot="1" x14ac:dyDescent="0.5">
      <c r="A55" s="270"/>
      <c r="F55" s="30"/>
      <c r="G55" s="76"/>
      <c r="H55" s="76"/>
      <c r="I55" s="31"/>
      <c r="J55" s="91"/>
      <c r="K55" s="85"/>
      <c r="L55" s="85"/>
      <c r="M55" s="91"/>
      <c r="N55" s="85"/>
      <c r="O55" s="85"/>
      <c r="P55" s="91"/>
      <c r="Q55" s="85"/>
      <c r="R55" s="85"/>
      <c r="S55" s="92"/>
      <c r="T55" s="85"/>
      <c r="U55" s="85"/>
      <c r="V55" s="92"/>
      <c r="W55" s="85"/>
      <c r="X55" s="85"/>
      <c r="Y55" s="92"/>
      <c r="Z55" s="85"/>
      <c r="AA55" s="85"/>
      <c r="AB55" s="92"/>
      <c r="AC55" s="85"/>
      <c r="AD55" s="85"/>
      <c r="AE55" s="92"/>
      <c r="AF55" s="85"/>
      <c r="AG55" s="85"/>
      <c r="AH55" s="92"/>
      <c r="AI55" s="85"/>
      <c r="AJ55" s="85"/>
      <c r="AK55" s="92"/>
      <c r="AL55" s="85"/>
      <c r="AM55" s="85"/>
      <c r="AN55" s="92"/>
      <c r="AO55" s="85"/>
      <c r="AP55" s="85"/>
      <c r="AQ55" s="92"/>
      <c r="AR55" s="85"/>
      <c r="AS55" s="175"/>
      <c r="AT55" s="38"/>
      <c r="AU55" s="38"/>
      <c r="AV55" s="37"/>
      <c r="AX55" s="37"/>
    </row>
    <row r="56" spans="1:50" ht="21.5" thickTop="1" x14ac:dyDescent="0.45">
      <c r="A56" s="49" t="s">
        <v>141</v>
      </c>
      <c r="B56" s="49" t="s">
        <v>180</v>
      </c>
      <c r="G56" s="28"/>
      <c r="H56" s="28"/>
      <c r="I56" s="7"/>
      <c r="J56" s="91"/>
      <c r="K56" s="86"/>
      <c r="L56" s="87"/>
      <c r="M56" s="91"/>
      <c r="N56" s="86"/>
      <c r="O56" s="87"/>
      <c r="P56" s="91"/>
      <c r="Q56" s="86"/>
      <c r="R56" s="87"/>
      <c r="S56" s="92"/>
      <c r="T56" s="86"/>
      <c r="U56" s="87"/>
      <c r="V56" s="92"/>
      <c r="W56" s="86"/>
      <c r="X56" s="87"/>
      <c r="Y56" s="92"/>
      <c r="Z56" s="86"/>
      <c r="AA56" s="87"/>
      <c r="AB56" s="92"/>
      <c r="AC56" s="86"/>
      <c r="AD56" s="87"/>
      <c r="AE56" s="92"/>
      <c r="AF56" s="86"/>
      <c r="AG56" s="87"/>
      <c r="AH56" s="92"/>
      <c r="AI56" s="86"/>
      <c r="AJ56" s="87"/>
      <c r="AK56" s="92"/>
      <c r="AL56" s="86"/>
      <c r="AM56" s="87"/>
      <c r="AN56" s="92"/>
      <c r="AO56" s="86"/>
      <c r="AP56" s="87"/>
      <c r="AQ56" s="92"/>
      <c r="AR56" s="86"/>
      <c r="AS56" s="176"/>
      <c r="AT56" s="38"/>
      <c r="AU56" s="38"/>
      <c r="AV56" s="37"/>
      <c r="AX56" s="37"/>
    </row>
    <row r="57" spans="1:50" ht="17.5" thickBot="1" x14ac:dyDescent="0.5">
      <c r="A57" s="41"/>
      <c r="B57" s="41"/>
      <c r="C57" s="41"/>
      <c r="D57" s="41"/>
      <c r="E57" s="41"/>
      <c r="F57" s="41"/>
      <c r="G57" s="41"/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41"/>
      <c r="S57" s="41"/>
      <c r="T57" s="41"/>
      <c r="U57" s="41"/>
      <c r="V57" s="41"/>
      <c r="W57" s="41"/>
      <c r="X57" s="41"/>
      <c r="Y57" s="41"/>
      <c r="Z57" s="41"/>
      <c r="AA57" s="41"/>
      <c r="AB57" s="41"/>
      <c r="AC57" s="41"/>
      <c r="AD57" s="41"/>
      <c r="AE57" s="41"/>
      <c r="AF57" s="41"/>
      <c r="AG57" s="41"/>
      <c r="AH57" s="41"/>
      <c r="AI57" s="41"/>
      <c r="AJ57" s="41"/>
      <c r="AK57" s="41"/>
      <c r="AL57" s="41"/>
      <c r="AM57" s="41"/>
      <c r="AN57" s="41"/>
      <c r="AO57" s="41"/>
      <c r="AP57" s="41"/>
      <c r="AQ57" s="41"/>
      <c r="AR57" s="41"/>
      <c r="AS57" s="41"/>
      <c r="AT57" s="38"/>
      <c r="AU57" s="38"/>
      <c r="AV57" s="37"/>
      <c r="AX57" s="37"/>
    </row>
    <row r="58" spans="1:50" s="117" customFormat="1" ht="22" thickTop="1" thickBot="1" x14ac:dyDescent="0.5">
      <c r="A58" s="131" t="s">
        <v>167</v>
      </c>
      <c r="B58" s="128"/>
      <c r="C58" s="129"/>
      <c r="D58" s="266"/>
      <c r="E58" s="129"/>
      <c r="F58" s="129"/>
      <c r="G58" s="129"/>
      <c r="H58" s="129"/>
      <c r="I58" s="129"/>
      <c r="J58" s="129"/>
      <c r="K58" s="129"/>
      <c r="L58" s="129"/>
      <c r="M58" s="129"/>
      <c r="N58" s="130"/>
      <c r="O58" s="129"/>
      <c r="P58" s="129"/>
      <c r="Q58" s="129"/>
      <c r="R58" s="129"/>
      <c r="S58" s="129"/>
      <c r="T58" s="129"/>
      <c r="U58" s="129"/>
      <c r="V58" s="129"/>
      <c r="W58" s="129"/>
      <c r="X58" s="129"/>
      <c r="Y58" s="129"/>
      <c r="Z58" s="129"/>
      <c r="AA58" s="129"/>
      <c r="AB58" s="129"/>
      <c r="AC58" s="129"/>
      <c r="AD58" s="129"/>
      <c r="AE58" s="129"/>
      <c r="AF58" s="129"/>
      <c r="AG58" s="129"/>
      <c r="AH58" s="129"/>
      <c r="AI58" s="129"/>
      <c r="AJ58" s="129"/>
      <c r="AK58" s="129"/>
      <c r="AL58" s="129"/>
      <c r="AM58" s="129"/>
      <c r="AN58" s="129"/>
      <c r="AO58" s="129"/>
      <c r="AP58" s="129"/>
      <c r="AQ58" s="129"/>
      <c r="AR58" s="118"/>
      <c r="AT58" s="37"/>
      <c r="AU58" s="37"/>
      <c r="AV58" s="37"/>
      <c r="AW58" s="37"/>
      <c r="AX58" s="37"/>
    </row>
    <row r="59" spans="1:50" s="28" customFormat="1" ht="17.25" customHeight="1" thickTop="1" x14ac:dyDescent="0.45">
      <c r="A59" s="174">
        <v>1</v>
      </c>
      <c r="B59" s="48" t="s">
        <v>148</v>
      </c>
      <c r="C59" s="28" t="s">
        <v>149</v>
      </c>
      <c r="D59" s="28" t="s">
        <v>150</v>
      </c>
      <c r="E59" s="28" t="s">
        <v>151</v>
      </c>
      <c r="F59" s="268" t="s">
        <v>176</v>
      </c>
      <c r="G59" s="110">
        <v>12</v>
      </c>
      <c r="H59" s="110">
        <v>2</v>
      </c>
      <c r="I59" s="48"/>
      <c r="J59" s="88">
        <v>17</v>
      </c>
      <c r="K59" s="83">
        <v>12</v>
      </c>
      <c r="L59" s="85">
        <v>10</v>
      </c>
      <c r="M59" s="93">
        <v>6</v>
      </c>
      <c r="N59" s="83">
        <v>12</v>
      </c>
      <c r="O59" s="85">
        <v>10</v>
      </c>
      <c r="P59" s="93">
        <v>6</v>
      </c>
      <c r="Q59" s="83">
        <v>12</v>
      </c>
      <c r="R59" s="84">
        <v>10</v>
      </c>
      <c r="S59" s="95">
        <v>3</v>
      </c>
      <c r="T59" s="85">
        <v>12</v>
      </c>
      <c r="U59" s="85">
        <v>10</v>
      </c>
      <c r="V59" s="95"/>
      <c r="W59" s="85"/>
      <c r="X59" s="85"/>
      <c r="Y59" s="95"/>
      <c r="Z59" s="85"/>
      <c r="AA59" s="85"/>
      <c r="AB59" s="95"/>
      <c r="AC59" s="85"/>
      <c r="AD59" s="85"/>
      <c r="AE59" s="95"/>
      <c r="AF59" s="85"/>
      <c r="AG59" s="85"/>
      <c r="AH59" s="95"/>
      <c r="AI59" s="85"/>
      <c r="AJ59" s="85"/>
      <c r="AK59" s="95"/>
      <c r="AL59" s="85"/>
      <c r="AM59" s="85"/>
      <c r="AN59" s="95"/>
      <c r="AO59" s="85"/>
      <c r="AP59" s="85"/>
      <c r="AQ59" s="95"/>
      <c r="AR59" s="85"/>
      <c r="AS59" s="175"/>
      <c r="AT59" s="177"/>
      <c r="AU59" s="38"/>
      <c r="AV59" s="37"/>
      <c r="AW59" s="37"/>
      <c r="AX59" s="37"/>
    </row>
    <row r="60" spans="1:50" ht="18" thickBot="1" x14ac:dyDescent="0.5">
      <c r="A60" s="298">
        <v>2</v>
      </c>
      <c r="B60" s="1" t="s">
        <v>152</v>
      </c>
      <c r="C60" s="1" t="s">
        <v>153</v>
      </c>
      <c r="D60" s="1" t="s">
        <v>150</v>
      </c>
      <c r="E60" s="1" t="s">
        <v>151</v>
      </c>
      <c r="F60" s="82" t="s">
        <v>176</v>
      </c>
      <c r="G60" s="74">
        <v>12</v>
      </c>
      <c r="H60" s="74">
        <v>2</v>
      </c>
      <c r="I60" s="141" t="s">
        <v>278</v>
      </c>
      <c r="J60" s="90">
        <v>22</v>
      </c>
      <c r="K60" s="109">
        <v>24</v>
      </c>
      <c r="L60" s="85">
        <v>10</v>
      </c>
      <c r="M60" s="142"/>
      <c r="N60" s="143"/>
      <c r="O60" s="85"/>
      <c r="P60" s="91">
        <v>16</v>
      </c>
      <c r="Q60" s="85">
        <v>24</v>
      </c>
      <c r="R60" s="85">
        <v>10</v>
      </c>
      <c r="S60" s="133"/>
      <c r="T60" s="107"/>
      <c r="U60" s="85"/>
      <c r="V60" s="92"/>
      <c r="W60" s="85"/>
      <c r="X60" s="85"/>
      <c r="Y60" s="92"/>
      <c r="Z60" s="85"/>
      <c r="AA60" s="85"/>
      <c r="AB60" s="92"/>
      <c r="AC60" s="85"/>
      <c r="AD60" s="85"/>
      <c r="AE60" s="92"/>
      <c r="AF60" s="85"/>
      <c r="AG60" s="85"/>
      <c r="AH60" s="92"/>
      <c r="AI60" s="85"/>
      <c r="AJ60" s="85"/>
      <c r="AK60" s="92"/>
      <c r="AL60" s="85"/>
      <c r="AM60" s="85"/>
      <c r="AN60" s="92"/>
      <c r="AO60" s="85"/>
      <c r="AP60" s="85"/>
      <c r="AQ60" s="92"/>
      <c r="AR60" s="85"/>
      <c r="AS60" s="175"/>
      <c r="AT60" s="177"/>
      <c r="AU60" s="38"/>
      <c r="AV60" s="37"/>
      <c r="AX60" s="37"/>
    </row>
    <row r="61" spans="1:50" s="28" customFormat="1" ht="18" thickTop="1" x14ac:dyDescent="0.45">
      <c r="A61" s="270">
        <v>3</v>
      </c>
      <c r="B61" s="48" t="s">
        <v>284</v>
      </c>
      <c r="C61" s="28" t="s">
        <v>286</v>
      </c>
      <c r="D61" s="28" t="s">
        <v>137</v>
      </c>
      <c r="E61" s="28" t="s">
        <v>7</v>
      </c>
      <c r="F61" s="269" t="s">
        <v>285</v>
      </c>
      <c r="G61" s="110">
        <v>20</v>
      </c>
      <c r="H61" s="110">
        <v>10</v>
      </c>
      <c r="I61" s="48"/>
      <c r="J61" s="132"/>
      <c r="K61" s="122"/>
      <c r="L61" s="122"/>
      <c r="M61" s="132"/>
      <c r="N61" s="122"/>
      <c r="O61" s="122"/>
      <c r="P61" s="93"/>
      <c r="Q61" s="85"/>
      <c r="R61" s="85"/>
      <c r="S61" s="95">
        <v>13</v>
      </c>
      <c r="T61" s="85">
        <v>20</v>
      </c>
      <c r="U61" s="85">
        <v>10</v>
      </c>
      <c r="V61" s="95">
        <v>1</v>
      </c>
      <c r="W61" s="85">
        <v>20</v>
      </c>
      <c r="X61" s="85">
        <v>10</v>
      </c>
      <c r="Y61" s="95"/>
      <c r="Z61" s="85"/>
      <c r="AA61" s="85"/>
      <c r="AB61" s="95"/>
      <c r="AC61" s="85"/>
      <c r="AD61" s="85"/>
      <c r="AE61" s="95"/>
      <c r="AF61" s="85"/>
      <c r="AG61" s="85"/>
      <c r="AH61" s="95"/>
      <c r="AI61" s="85"/>
      <c r="AJ61" s="85"/>
      <c r="AK61" s="95"/>
      <c r="AL61" s="85"/>
      <c r="AM61" s="85"/>
      <c r="AN61" s="95"/>
      <c r="AO61" s="85"/>
      <c r="AP61" s="85"/>
      <c r="AQ61" s="95"/>
      <c r="AR61" s="85"/>
      <c r="AS61" s="139"/>
      <c r="AT61" s="38"/>
      <c r="AU61" s="38"/>
      <c r="AV61" s="37"/>
      <c r="AW61" s="37"/>
      <c r="AX61" s="37"/>
    </row>
    <row r="62" spans="1:50" x14ac:dyDescent="0.45">
      <c r="AT62" s="296"/>
      <c r="AU62" s="37"/>
      <c r="AV62" s="37"/>
      <c r="AX62" s="37"/>
    </row>
    <row r="63" spans="1:50" x14ac:dyDescent="0.45">
      <c r="AT63" s="296"/>
      <c r="AU63" s="37"/>
      <c r="AV63" s="37"/>
      <c r="AX63" s="37"/>
    </row>
    <row r="64" spans="1:50" s="37" customFormat="1" x14ac:dyDescent="0.45">
      <c r="K64" s="39"/>
      <c r="L64" s="39"/>
      <c r="N64" s="39"/>
      <c r="O64" s="39"/>
      <c r="Q64" s="39"/>
      <c r="R64" s="39"/>
      <c r="T64" s="39"/>
      <c r="U64" s="39"/>
      <c r="W64" s="39"/>
      <c r="X64" s="39"/>
      <c r="Z64" s="39"/>
      <c r="AA64" s="39"/>
      <c r="AC64" s="39"/>
      <c r="AD64" s="39"/>
      <c r="AF64" s="39"/>
      <c r="AG64" s="39"/>
      <c r="AI64" s="39"/>
      <c r="AJ64" s="39"/>
      <c r="AL64" s="39"/>
      <c r="AM64" s="39"/>
      <c r="AO64" s="39"/>
      <c r="AP64" s="39"/>
      <c r="AR64" s="39"/>
      <c r="AS64" s="39"/>
    </row>
    <row r="65" spans="11:45" s="37" customFormat="1" x14ac:dyDescent="0.45">
      <c r="K65" s="39"/>
      <c r="L65" s="39"/>
      <c r="N65" s="39"/>
      <c r="O65" s="39"/>
      <c r="Q65" s="39"/>
      <c r="R65" s="39"/>
      <c r="T65" s="39"/>
      <c r="U65" s="39"/>
      <c r="W65" s="39"/>
      <c r="X65" s="39"/>
      <c r="Z65" s="39"/>
      <c r="AA65" s="39"/>
      <c r="AC65" s="39"/>
      <c r="AD65" s="39"/>
      <c r="AF65" s="39"/>
      <c r="AG65" s="39"/>
      <c r="AI65" s="39"/>
      <c r="AJ65" s="39"/>
      <c r="AL65" s="39"/>
      <c r="AM65" s="39"/>
      <c r="AO65" s="39"/>
      <c r="AP65" s="39"/>
      <c r="AR65" s="39"/>
      <c r="AS65" s="39"/>
    </row>
    <row r="66" spans="11:45" s="37" customFormat="1" x14ac:dyDescent="0.45">
      <c r="K66" s="39"/>
      <c r="L66" s="39"/>
      <c r="N66" s="39"/>
      <c r="O66" s="39"/>
      <c r="Q66" s="39"/>
      <c r="R66" s="39"/>
      <c r="T66" s="39"/>
      <c r="U66" s="39"/>
      <c r="W66" s="39"/>
      <c r="X66" s="39"/>
      <c r="Z66" s="39"/>
      <c r="AA66" s="39"/>
      <c r="AC66" s="39"/>
      <c r="AD66" s="39"/>
      <c r="AF66" s="39"/>
      <c r="AG66" s="39"/>
      <c r="AI66" s="39"/>
      <c r="AJ66" s="39"/>
      <c r="AL66" s="39"/>
      <c r="AM66" s="39"/>
      <c r="AO66" s="39"/>
      <c r="AP66" s="39"/>
      <c r="AR66" s="39"/>
      <c r="AS66" s="39"/>
    </row>
    <row r="67" spans="11:45" s="37" customFormat="1" x14ac:dyDescent="0.45">
      <c r="K67" s="39"/>
      <c r="L67" s="39"/>
      <c r="N67" s="39"/>
      <c r="O67" s="39"/>
      <c r="Q67" s="39"/>
      <c r="R67" s="39"/>
      <c r="T67" s="39"/>
      <c r="U67" s="39"/>
      <c r="W67" s="39"/>
      <c r="X67" s="39"/>
      <c r="Z67" s="39"/>
      <c r="AA67" s="39"/>
      <c r="AC67" s="39"/>
      <c r="AD67" s="39"/>
      <c r="AF67" s="39"/>
      <c r="AG67" s="39"/>
      <c r="AI67" s="39"/>
      <c r="AJ67" s="39"/>
      <c r="AL67" s="39"/>
      <c r="AM67" s="39"/>
      <c r="AO67" s="39"/>
      <c r="AP67" s="39"/>
      <c r="AR67" s="39"/>
      <c r="AS67" s="39"/>
    </row>
    <row r="68" spans="11:45" s="37" customFormat="1" x14ac:dyDescent="0.45">
      <c r="K68" s="39"/>
      <c r="L68" s="39"/>
      <c r="N68" s="39"/>
      <c r="O68" s="39"/>
      <c r="Q68" s="39"/>
      <c r="R68" s="39"/>
      <c r="T68" s="39"/>
      <c r="U68" s="39"/>
      <c r="W68" s="39"/>
      <c r="X68" s="39"/>
      <c r="Z68" s="39"/>
      <c r="AA68" s="39"/>
      <c r="AC68" s="39"/>
      <c r="AD68" s="39"/>
      <c r="AF68" s="39"/>
      <c r="AG68" s="39"/>
      <c r="AI68" s="39"/>
      <c r="AJ68" s="39"/>
      <c r="AL68" s="39"/>
      <c r="AM68" s="39"/>
      <c r="AO68" s="39"/>
      <c r="AP68" s="39"/>
      <c r="AR68" s="39"/>
      <c r="AS68" s="39"/>
    </row>
    <row r="69" spans="11:45" s="37" customFormat="1" x14ac:dyDescent="0.45">
      <c r="K69" s="39"/>
      <c r="L69" s="39"/>
      <c r="N69" s="39"/>
      <c r="O69" s="39"/>
      <c r="Q69" s="39"/>
      <c r="R69" s="39"/>
      <c r="T69" s="39"/>
      <c r="U69" s="39"/>
      <c r="W69" s="39"/>
      <c r="X69" s="39"/>
      <c r="Z69" s="39"/>
      <c r="AA69" s="39"/>
      <c r="AC69" s="39"/>
      <c r="AD69" s="39"/>
      <c r="AF69" s="39"/>
      <c r="AG69" s="39"/>
      <c r="AI69" s="39"/>
      <c r="AJ69" s="39"/>
      <c r="AL69" s="39"/>
      <c r="AM69" s="39"/>
      <c r="AO69" s="39"/>
      <c r="AP69" s="39"/>
      <c r="AR69" s="39"/>
      <c r="AS69" s="39"/>
    </row>
    <row r="70" spans="11:45" s="37" customFormat="1" x14ac:dyDescent="0.45">
      <c r="K70" s="39"/>
      <c r="L70" s="39"/>
      <c r="N70" s="39"/>
      <c r="O70" s="39"/>
      <c r="Q70" s="39"/>
      <c r="R70" s="39"/>
      <c r="T70" s="39"/>
      <c r="U70" s="39"/>
      <c r="W70" s="39"/>
      <c r="X70" s="39"/>
      <c r="Z70" s="39"/>
      <c r="AA70" s="39"/>
      <c r="AC70" s="39"/>
      <c r="AD70" s="39"/>
      <c r="AF70" s="39"/>
      <c r="AG70" s="39"/>
      <c r="AI70" s="39"/>
      <c r="AJ70" s="39"/>
      <c r="AL70" s="39"/>
      <c r="AM70" s="39"/>
      <c r="AO70" s="39"/>
      <c r="AP70" s="39"/>
      <c r="AR70" s="39"/>
      <c r="AS70" s="39"/>
    </row>
    <row r="71" spans="11:45" s="37" customFormat="1" x14ac:dyDescent="0.45">
      <c r="K71" s="39"/>
      <c r="L71" s="39"/>
      <c r="N71" s="39"/>
      <c r="O71" s="39"/>
      <c r="Q71" s="39"/>
      <c r="R71" s="39"/>
      <c r="T71" s="39"/>
      <c r="U71" s="39"/>
      <c r="W71" s="39"/>
      <c r="X71" s="39"/>
      <c r="Z71" s="39"/>
      <c r="AA71" s="39"/>
      <c r="AC71" s="39"/>
      <c r="AD71" s="39"/>
      <c r="AF71" s="39"/>
      <c r="AG71" s="39"/>
      <c r="AI71" s="39"/>
      <c r="AJ71" s="39"/>
      <c r="AL71" s="39"/>
      <c r="AM71" s="39"/>
      <c r="AO71" s="39"/>
      <c r="AP71" s="39"/>
      <c r="AR71" s="39"/>
      <c r="AS71" s="39"/>
    </row>
    <row r="72" spans="11:45" s="37" customFormat="1" x14ac:dyDescent="0.45">
      <c r="K72" s="39"/>
      <c r="L72" s="39"/>
      <c r="N72" s="39"/>
      <c r="O72" s="39"/>
      <c r="Q72" s="39"/>
      <c r="R72" s="39"/>
      <c r="T72" s="39"/>
      <c r="U72" s="39"/>
      <c r="W72" s="39"/>
      <c r="X72" s="39"/>
      <c r="Z72" s="39"/>
      <c r="AA72" s="39"/>
      <c r="AC72" s="39"/>
      <c r="AD72" s="39"/>
      <c r="AF72" s="39"/>
      <c r="AG72" s="39"/>
      <c r="AI72" s="39"/>
      <c r="AJ72" s="39"/>
      <c r="AL72" s="39"/>
      <c r="AM72" s="39"/>
      <c r="AO72" s="39"/>
      <c r="AP72" s="39"/>
      <c r="AR72" s="39"/>
      <c r="AS72" s="39"/>
    </row>
    <row r="73" spans="11:45" s="37" customFormat="1" x14ac:dyDescent="0.45">
      <c r="K73" s="39"/>
      <c r="L73" s="39"/>
      <c r="N73" s="39"/>
      <c r="O73" s="39"/>
      <c r="Q73" s="39"/>
      <c r="R73" s="39"/>
      <c r="T73" s="39"/>
      <c r="U73" s="39"/>
      <c r="W73" s="39"/>
      <c r="X73" s="39"/>
      <c r="Z73" s="39"/>
      <c r="AA73" s="39"/>
      <c r="AC73" s="39"/>
      <c r="AD73" s="39"/>
      <c r="AF73" s="39"/>
      <c r="AG73" s="39"/>
      <c r="AI73" s="39"/>
      <c r="AJ73" s="39"/>
      <c r="AL73" s="39"/>
      <c r="AM73" s="39"/>
      <c r="AO73" s="39"/>
      <c r="AP73" s="39"/>
      <c r="AR73" s="39"/>
      <c r="AS73" s="39"/>
    </row>
    <row r="74" spans="11:45" s="37" customFormat="1" x14ac:dyDescent="0.45">
      <c r="K74" s="39"/>
      <c r="L74" s="39"/>
      <c r="N74" s="39"/>
      <c r="O74" s="39"/>
      <c r="Q74" s="39"/>
      <c r="R74" s="39"/>
      <c r="T74" s="39"/>
      <c r="U74" s="39"/>
      <c r="W74" s="39"/>
      <c r="X74" s="39"/>
      <c r="Z74" s="39"/>
      <c r="AA74" s="39"/>
      <c r="AC74" s="39"/>
      <c r="AD74" s="39"/>
      <c r="AF74" s="39"/>
      <c r="AG74" s="39"/>
      <c r="AI74" s="39"/>
      <c r="AJ74" s="39"/>
      <c r="AL74" s="39"/>
      <c r="AM74" s="39"/>
      <c r="AO74" s="39"/>
      <c r="AP74" s="39"/>
      <c r="AR74" s="39"/>
      <c r="AS74" s="39"/>
    </row>
    <row r="75" spans="11:45" s="37" customFormat="1" x14ac:dyDescent="0.45">
      <c r="K75" s="39"/>
      <c r="L75" s="39"/>
      <c r="N75" s="39"/>
      <c r="O75" s="39"/>
      <c r="Q75" s="39"/>
      <c r="R75" s="39"/>
      <c r="T75" s="39"/>
      <c r="U75" s="39"/>
      <c r="W75" s="39"/>
      <c r="X75" s="39"/>
      <c r="Z75" s="39"/>
      <c r="AA75" s="39"/>
      <c r="AC75" s="39"/>
      <c r="AD75" s="39"/>
      <c r="AF75" s="39"/>
      <c r="AG75" s="39"/>
      <c r="AI75" s="39"/>
      <c r="AJ75" s="39"/>
      <c r="AL75" s="39"/>
      <c r="AM75" s="39"/>
      <c r="AO75" s="39"/>
      <c r="AP75" s="39"/>
      <c r="AR75" s="39"/>
      <c r="AS75" s="39"/>
    </row>
    <row r="76" spans="11:45" s="37" customFormat="1" x14ac:dyDescent="0.45">
      <c r="K76" s="39"/>
      <c r="L76" s="39"/>
      <c r="N76" s="39"/>
      <c r="O76" s="39"/>
      <c r="Q76" s="39"/>
      <c r="R76" s="39"/>
      <c r="T76" s="39"/>
      <c r="U76" s="39"/>
      <c r="W76" s="39"/>
      <c r="X76" s="39"/>
      <c r="Z76" s="39"/>
      <c r="AA76" s="39"/>
      <c r="AC76" s="39"/>
      <c r="AD76" s="39"/>
      <c r="AF76" s="39"/>
      <c r="AG76" s="39"/>
      <c r="AI76" s="39"/>
      <c r="AJ76" s="39"/>
      <c r="AL76" s="39"/>
      <c r="AM76" s="39"/>
      <c r="AO76" s="39"/>
      <c r="AP76" s="39"/>
      <c r="AR76" s="39"/>
      <c r="AS76" s="39"/>
    </row>
    <row r="77" spans="11:45" s="37" customFormat="1" x14ac:dyDescent="0.45">
      <c r="K77" s="39"/>
      <c r="L77" s="39"/>
      <c r="N77" s="39"/>
      <c r="O77" s="39"/>
      <c r="Q77" s="39"/>
      <c r="R77" s="39"/>
      <c r="T77" s="39"/>
      <c r="U77" s="39"/>
      <c r="W77" s="39"/>
      <c r="X77" s="39"/>
      <c r="Z77" s="39"/>
      <c r="AA77" s="39"/>
      <c r="AC77" s="39"/>
      <c r="AD77" s="39"/>
      <c r="AF77" s="39"/>
      <c r="AG77" s="39"/>
      <c r="AI77" s="39"/>
      <c r="AJ77" s="39"/>
      <c r="AL77" s="39"/>
      <c r="AM77" s="39"/>
      <c r="AO77" s="39"/>
      <c r="AP77" s="39"/>
      <c r="AR77" s="39"/>
      <c r="AS77" s="39"/>
    </row>
    <row r="78" spans="11:45" s="37" customFormat="1" x14ac:dyDescent="0.45">
      <c r="K78" s="39"/>
      <c r="L78" s="39"/>
      <c r="N78" s="39"/>
      <c r="O78" s="39"/>
      <c r="Q78" s="39"/>
      <c r="R78" s="39"/>
      <c r="T78" s="39"/>
      <c r="U78" s="39"/>
      <c r="W78" s="39"/>
      <c r="X78" s="39"/>
      <c r="Z78" s="39"/>
      <c r="AA78" s="39"/>
      <c r="AC78" s="39"/>
      <c r="AD78" s="39"/>
      <c r="AF78" s="39"/>
      <c r="AG78" s="39"/>
      <c r="AI78" s="39"/>
      <c r="AJ78" s="39"/>
      <c r="AL78" s="39"/>
      <c r="AM78" s="39"/>
      <c r="AO78" s="39"/>
      <c r="AP78" s="39"/>
      <c r="AR78" s="39"/>
      <c r="AS78" s="39"/>
    </row>
    <row r="79" spans="11:45" s="37" customFormat="1" x14ac:dyDescent="0.45">
      <c r="K79" s="39"/>
      <c r="L79" s="39"/>
      <c r="N79" s="39"/>
      <c r="O79" s="39"/>
      <c r="Q79" s="39"/>
      <c r="R79" s="39"/>
      <c r="T79" s="39"/>
      <c r="U79" s="39"/>
      <c r="W79" s="39"/>
      <c r="X79" s="39"/>
      <c r="Z79" s="39"/>
      <c r="AA79" s="39"/>
      <c r="AC79" s="39"/>
      <c r="AD79" s="39"/>
      <c r="AF79" s="39"/>
      <c r="AG79" s="39"/>
      <c r="AI79" s="39"/>
      <c r="AJ79" s="39"/>
      <c r="AL79" s="39"/>
      <c r="AM79" s="39"/>
      <c r="AO79" s="39"/>
      <c r="AP79" s="39"/>
      <c r="AR79" s="39"/>
      <c r="AS79" s="39"/>
    </row>
    <row r="80" spans="11:45" s="37" customFormat="1" x14ac:dyDescent="0.45">
      <c r="K80" s="39"/>
      <c r="L80" s="39"/>
      <c r="N80" s="39"/>
      <c r="O80" s="39"/>
      <c r="Q80" s="39"/>
      <c r="R80" s="39"/>
      <c r="T80" s="39"/>
      <c r="U80" s="39"/>
      <c r="W80" s="39"/>
      <c r="X80" s="39"/>
      <c r="Z80" s="39"/>
      <c r="AA80" s="39"/>
      <c r="AC80" s="39"/>
      <c r="AD80" s="39"/>
      <c r="AF80" s="39"/>
      <c r="AG80" s="39"/>
      <c r="AI80" s="39"/>
      <c r="AJ80" s="39"/>
      <c r="AL80" s="39"/>
      <c r="AM80" s="39"/>
      <c r="AO80" s="39"/>
      <c r="AP80" s="39"/>
      <c r="AR80" s="39"/>
      <c r="AS80" s="39"/>
    </row>
    <row r="81" spans="11:45" s="37" customFormat="1" x14ac:dyDescent="0.45">
      <c r="K81" s="39"/>
      <c r="L81" s="39"/>
      <c r="N81" s="39"/>
      <c r="O81" s="39"/>
      <c r="Q81" s="39"/>
      <c r="R81" s="39"/>
      <c r="T81" s="39"/>
      <c r="U81" s="39"/>
      <c r="W81" s="39"/>
      <c r="X81" s="39"/>
      <c r="Z81" s="39"/>
      <c r="AA81" s="39"/>
      <c r="AC81" s="39"/>
      <c r="AD81" s="39"/>
      <c r="AF81" s="39"/>
      <c r="AG81" s="39"/>
      <c r="AI81" s="39"/>
      <c r="AJ81" s="39"/>
      <c r="AL81" s="39"/>
      <c r="AM81" s="39"/>
      <c r="AO81" s="39"/>
      <c r="AP81" s="39"/>
      <c r="AR81" s="39"/>
      <c r="AS81" s="39"/>
    </row>
    <row r="82" spans="11:45" s="37" customFormat="1" x14ac:dyDescent="0.45">
      <c r="K82" s="39"/>
      <c r="L82" s="39"/>
      <c r="N82" s="39"/>
      <c r="O82" s="39"/>
      <c r="Q82" s="39"/>
      <c r="R82" s="39"/>
      <c r="T82" s="39"/>
      <c r="U82" s="39"/>
      <c r="W82" s="39"/>
      <c r="X82" s="39"/>
      <c r="Z82" s="39"/>
      <c r="AA82" s="39"/>
      <c r="AC82" s="39"/>
      <c r="AD82" s="39"/>
      <c r="AF82" s="39"/>
      <c r="AG82" s="39"/>
      <c r="AI82" s="39"/>
      <c r="AJ82" s="39"/>
      <c r="AL82" s="39"/>
      <c r="AM82" s="39"/>
      <c r="AO82" s="39"/>
      <c r="AP82" s="39"/>
      <c r="AR82" s="39"/>
      <c r="AS82" s="39"/>
    </row>
    <row r="83" spans="11:45" s="37" customFormat="1" x14ac:dyDescent="0.45">
      <c r="K83" s="39"/>
      <c r="L83" s="39"/>
      <c r="N83" s="39"/>
      <c r="O83" s="39"/>
      <c r="Q83" s="39"/>
      <c r="R83" s="39"/>
      <c r="T83" s="39"/>
      <c r="U83" s="39"/>
      <c r="W83" s="39"/>
      <c r="X83" s="39"/>
      <c r="Z83" s="39"/>
      <c r="AA83" s="39"/>
      <c r="AC83" s="39"/>
      <c r="AD83" s="39"/>
      <c r="AF83" s="39"/>
      <c r="AG83" s="39"/>
      <c r="AI83" s="39"/>
      <c r="AJ83" s="39"/>
      <c r="AL83" s="39"/>
      <c r="AM83" s="39"/>
      <c r="AO83" s="39"/>
      <c r="AP83" s="39"/>
      <c r="AR83" s="39"/>
      <c r="AS83" s="39"/>
    </row>
    <row r="84" spans="11:45" s="37" customFormat="1" x14ac:dyDescent="0.45">
      <c r="K84" s="39"/>
      <c r="L84" s="39"/>
      <c r="N84" s="39"/>
      <c r="O84" s="39"/>
      <c r="Q84" s="39"/>
      <c r="R84" s="39"/>
      <c r="T84" s="39"/>
      <c r="U84" s="39"/>
      <c r="W84" s="39"/>
      <c r="X84" s="39"/>
      <c r="Z84" s="39"/>
      <c r="AA84" s="39"/>
      <c r="AC84" s="39"/>
      <c r="AD84" s="39"/>
      <c r="AF84" s="39"/>
      <c r="AG84" s="39"/>
      <c r="AI84" s="39"/>
      <c r="AJ84" s="39"/>
      <c r="AL84" s="39"/>
      <c r="AM84" s="39"/>
      <c r="AO84" s="39"/>
      <c r="AP84" s="39"/>
      <c r="AR84" s="39"/>
      <c r="AS84" s="39"/>
    </row>
    <row r="85" spans="11:45" s="37" customFormat="1" x14ac:dyDescent="0.45">
      <c r="K85" s="39"/>
      <c r="L85" s="39"/>
      <c r="N85" s="39"/>
      <c r="O85" s="39"/>
      <c r="Q85" s="39"/>
      <c r="R85" s="39"/>
      <c r="T85" s="39"/>
      <c r="U85" s="39"/>
      <c r="W85" s="39"/>
      <c r="X85" s="39"/>
      <c r="Z85" s="39"/>
      <c r="AA85" s="39"/>
      <c r="AC85" s="39"/>
      <c r="AD85" s="39"/>
      <c r="AF85" s="39"/>
      <c r="AG85" s="39"/>
      <c r="AI85" s="39"/>
      <c r="AJ85" s="39"/>
      <c r="AL85" s="39"/>
      <c r="AM85" s="39"/>
      <c r="AO85" s="39"/>
      <c r="AP85" s="39"/>
      <c r="AR85" s="39"/>
      <c r="AS85" s="39"/>
    </row>
    <row r="86" spans="11:45" s="37" customFormat="1" x14ac:dyDescent="0.45">
      <c r="K86" s="39"/>
      <c r="L86" s="39"/>
      <c r="N86" s="39"/>
      <c r="O86" s="39"/>
      <c r="Q86" s="39"/>
      <c r="R86" s="39"/>
      <c r="T86" s="39"/>
      <c r="U86" s="39"/>
      <c r="W86" s="39"/>
      <c r="X86" s="39"/>
      <c r="Z86" s="39"/>
      <c r="AA86" s="39"/>
      <c r="AC86" s="39"/>
      <c r="AD86" s="39"/>
      <c r="AF86" s="39"/>
      <c r="AG86" s="39"/>
      <c r="AI86" s="39"/>
      <c r="AJ86" s="39"/>
      <c r="AL86" s="39"/>
      <c r="AM86" s="39"/>
      <c r="AO86" s="39"/>
      <c r="AP86" s="39"/>
      <c r="AR86" s="39"/>
      <c r="AS86" s="39"/>
    </row>
    <row r="87" spans="11:45" s="37" customFormat="1" x14ac:dyDescent="0.45">
      <c r="K87" s="39"/>
      <c r="L87" s="39"/>
      <c r="N87" s="39"/>
      <c r="O87" s="39"/>
      <c r="Q87" s="39"/>
      <c r="R87" s="39"/>
      <c r="T87" s="39"/>
      <c r="U87" s="39"/>
      <c r="W87" s="39"/>
      <c r="X87" s="39"/>
      <c r="Z87" s="39"/>
      <c r="AA87" s="39"/>
      <c r="AC87" s="39"/>
      <c r="AD87" s="39"/>
      <c r="AF87" s="39"/>
      <c r="AG87" s="39"/>
      <c r="AI87" s="39"/>
      <c r="AJ87" s="39"/>
      <c r="AL87" s="39"/>
      <c r="AM87" s="39"/>
      <c r="AO87" s="39"/>
      <c r="AP87" s="39"/>
      <c r="AR87" s="39"/>
      <c r="AS87" s="39"/>
    </row>
    <row r="88" spans="11:45" s="37" customFormat="1" x14ac:dyDescent="0.45">
      <c r="K88" s="39"/>
      <c r="L88" s="39"/>
      <c r="N88" s="39"/>
      <c r="O88" s="39"/>
      <c r="Q88" s="39"/>
      <c r="R88" s="39"/>
      <c r="T88" s="39"/>
      <c r="U88" s="39"/>
      <c r="W88" s="39"/>
      <c r="X88" s="39"/>
      <c r="Z88" s="39"/>
      <c r="AA88" s="39"/>
      <c r="AC88" s="39"/>
      <c r="AD88" s="39"/>
      <c r="AF88" s="39"/>
      <c r="AG88" s="39"/>
      <c r="AI88" s="39"/>
      <c r="AJ88" s="39"/>
      <c r="AL88" s="39"/>
      <c r="AM88" s="39"/>
      <c r="AO88" s="39"/>
      <c r="AP88" s="39"/>
      <c r="AR88" s="39"/>
      <c r="AS88" s="39"/>
    </row>
    <row r="89" spans="11:45" s="37" customFormat="1" x14ac:dyDescent="0.45">
      <c r="K89" s="39"/>
      <c r="L89" s="39"/>
      <c r="N89" s="39"/>
      <c r="O89" s="39"/>
      <c r="Q89" s="39"/>
      <c r="R89" s="39"/>
      <c r="T89" s="39"/>
      <c r="U89" s="39"/>
      <c r="W89" s="39"/>
      <c r="X89" s="39"/>
      <c r="Z89" s="39"/>
      <c r="AA89" s="39"/>
      <c r="AC89" s="39"/>
      <c r="AD89" s="39"/>
      <c r="AF89" s="39"/>
      <c r="AG89" s="39"/>
      <c r="AI89" s="39"/>
      <c r="AJ89" s="39"/>
      <c r="AL89" s="39"/>
      <c r="AM89" s="39"/>
      <c r="AO89" s="39"/>
      <c r="AP89" s="39"/>
      <c r="AR89" s="39"/>
      <c r="AS89" s="39"/>
    </row>
    <row r="90" spans="11:45" s="37" customFormat="1" x14ac:dyDescent="0.45">
      <c r="K90" s="39"/>
      <c r="L90" s="39"/>
      <c r="N90" s="39"/>
      <c r="O90" s="39"/>
      <c r="Q90" s="39"/>
      <c r="R90" s="39"/>
      <c r="T90" s="39"/>
      <c r="U90" s="39"/>
      <c r="W90" s="39"/>
      <c r="X90" s="39"/>
      <c r="Z90" s="39"/>
      <c r="AA90" s="39"/>
      <c r="AC90" s="39"/>
      <c r="AD90" s="39"/>
      <c r="AF90" s="39"/>
      <c r="AG90" s="39"/>
      <c r="AI90" s="39"/>
      <c r="AJ90" s="39"/>
      <c r="AL90" s="39"/>
      <c r="AM90" s="39"/>
      <c r="AO90" s="39"/>
      <c r="AP90" s="39"/>
      <c r="AR90" s="39"/>
      <c r="AS90" s="39"/>
    </row>
    <row r="91" spans="11:45" s="37" customFormat="1" x14ac:dyDescent="0.45">
      <c r="K91" s="39"/>
      <c r="L91" s="39"/>
      <c r="N91" s="39"/>
      <c r="O91" s="39"/>
      <c r="Q91" s="39"/>
      <c r="R91" s="39"/>
      <c r="T91" s="39"/>
      <c r="U91" s="39"/>
      <c r="W91" s="39"/>
      <c r="X91" s="39"/>
      <c r="Z91" s="39"/>
      <c r="AA91" s="39"/>
      <c r="AC91" s="39"/>
      <c r="AD91" s="39"/>
      <c r="AF91" s="39"/>
      <c r="AG91" s="39"/>
      <c r="AI91" s="39"/>
      <c r="AJ91" s="39"/>
      <c r="AL91" s="39"/>
      <c r="AM91" s="39"/>
      <c r="AO91" s="39"/>
      <c r="AP91" s="39"/>
      <c r="AR91" s="39"/>
      <c r="AS91" s="39"/>
    </row>
    <row r="92" spans="11:45" s="37" customFormat="1" x14ac:dyDescent="0.45">
      <c r="K92" s="39"/>
      <c r="L92" s="39"/>
      <c r="N92" s="39"/>
      <c r="O92" s="39"/>
      <c r="Q92" s="39"/>
      <c r="R92" s="39"/>
      <c r="T92" s="39"/>
      <c r="U92" s="39"/>
      <c r="W92" s="39"/>
      <c r="X92" s="39"/>
      <c r="Z92" s="39"/>
      <c r="AA92" s="39"/>
      <c r="AC92" s="39"/>
      <c r="AD92" s="39"/>
      <c r="AF92" s="39"/>
      <c r="AG92" s="39"/>
      <c r="AI92" s="39"/>
      <c r="AJ92" s="39"/>
      <c r="AL92" s="39"/>
      <c r="AM92" s="39"/>
      <c r="AO92" s="39"/>
      <c r="AP92" s="39"/>
      <c r="AR92" s="39"/>
      <c r="AS92" s="39"/>
    </row>
    <row r="93" spans="11:45" s="37" customFormat="1" x14ac:dyDescent="0.45">
      <c r="K93" s="39"/>
      <c r="L93" s="39"/>
      <c r="N93" s="39"/>
      <c r="O93" s="39"/>
      <c r="Q93" s="39"/>
      <c r="R93" s="39"/>
      <c r="T93" s="39"/>
      <c r="U93" s="39"/>
      <c r="W93" s="39"/>
      <c r="X93" s="39"/>
      <c r="Z93" s="39"/>
      <c r="AA93" s="39"/>
      <c r="AC93" s="39"/>
      <c r="AD93" s="39"/>
      <c r="AF93" s="39"/>
      <c r="AG93" s="39"/>
      <c r="AI93" s="39"/>
      <c r="AJ93" s="39"/>
      <c r="AL93" s="39"/>
      <c r="AM93" s="39"/>
      <c r="AO93" s="39"/>
      <c r="AP93" s="39"/>
      <c r="AR93" s="39"/>
      <c r="AS93" s="39"/>
    </row>
    <row r="94" spans="11:45" s="37" customFormat="1" x14ac:dyDescent="0.45">
      <c r="K94" s="39"/>
      <c r="L94" s="39"/>
      <c r="N94" s="39"/>
      <c r="O94" s="39"/>
      <c r="Q94" s="39"/>
      <c r="R94" s="39"/>
      <c r="T94" s="39"/>
      <c r="U94" s="39"/>
      <c r="W94" s="39"/>
      <c r="X94" s="39"/>
      <c r="Z94" s="39"/>
      <c r="AA94" s="39"/>
      <c r="AC94" s="39"/>
      <c r="AD94" s="39"/>
      <c r="AF94" s="39"/>
      <c r="AG94" s="39"/>
      <c r="AI94" s="39"/>
      <c r="AJ94" s="39"/>
      <c r="AL94" s="39"/>
      <c r="AM94" s="39"/>
      <c r="AO94" s="39"/>
      <c r="AP94" s="39"/>
      <c r="AR94" s="39"/>
      <c r="AS94" s="39"/>
    </row>
    <row r="95" spans="11:45" s="37" customFormat="1" x14ac:dyDescent="0.45">
      <c r="K95" s="39"/>
      <c r="L95" s="39"/>
      <c r="N95" s="39"/>
      <c r="O95" s="39"/>
      <c r="Q95" s="39"/>
      <c r="R95" s="39"/>
      <c r="T95" s="39"/>
      <c r="U95" s="39"/>
      <c r="W95" s="39"/>
      <c r="X95" s="39"/>
      <c r="Z95" s="39"/>
      <c r="AA95" s="39"/>
      <c r="AC95" s="39"/>
      <c r="AD95" s="39"/>
      <c r="AF95" s="39"/>
      <c r="AG95" s="39"/>
      <c r="AI95" s="39"/>
      <c r="AJ95" s="39"/>
      <c r="AL95" s="39"/>
      <c r="AM95" s="39"/>
      <c r="AO95" s="39"/>
      <c r="AP95" s="39"/>
      <c r="AR95" s="39"/>
      <c r="AS95" s="39"/>
    </row>
    <row r="96" spans="11:45" s="37" customFormat="1" x14ac:dyDescent="0.45">
      <c r="K96" s="39"/>
      <c r="L96" s="39"/>
      <c r="N96" s="39"/>
      <c r="O96" s="39"/>
      <c r="Q96" s="39"/>
      <c r="R96" s="39"/>
      <c r="T96" s="39"/>
      <c r="U96" s="39"/>
      <c r="W96" s="39"/>
      <c r="X96" s="39"/>
      <c r="Z96" s="39"/>
      <c r="AA96" s="39"/>
      <c r="AC96" s="39"/>
      <c r="AD96" s="39"/>
      <c r="AF96" s="39"/>
      <c r="AG96" s="39"/>
      <c r="AI96" s="39"/>
      <c r="AJ96" s="39"/>
      <c r="AL96" s="39"/>
      <c r="AM96" s="39"/>
      <c r="AO96" s="39"/>
      <c r="AP96" s="39"/>
      <c r="AR96" s="39"/>
      <c r="AS96" s="39"/>
    </row>
    <row r="97" spans="11:45" s="37" customFormat="1" x14ac:dyDescent="0.45">
      <c r="K97" s="39"/>
      <c r="L97" s="39"/>
      <c r="N97" s="39"/>
      <c r="O97" s="39"/>
      <c r="Q97" s="39"/>
      <c r="R97" s="39"/>
      <c r="T97" s="39"/>
      <c r="U97" s="39"/>
      <c r="W97" s="39"/>
      <c r="X97" s="39"/>
      <c r="Z97" s="39"/>
      <c r="AA97" s="39"/>
      <c r="AC97" s="39"/>
      <c r="AD97" s="39"/>
      <c r="AF97" s="39"/>
      <c r="AG97" s="39"/>
      <c r="AI97" s="39"/>
      <c r="AJ97" s="39"/>
      <c r="AL97" s="39"/>
      <c r="AM97" s="39"/>
      <c r="AO97" s="39"/>
      <c r="AP97" s="39"/>
      <c r="AR97" s="39"/>
      <c r="AS97" s="39"/>
    </row>
    <row r="98" spans="11:45" s="37" customFormat="1" x14ac:dyDescent="0.45">
      <c r="K98" s="39"/>
      <c r="L98" s="39"/>
      <c r="N98" s="39"/>
      <c r="O98" s="39"/>
      <c r="Q98" s="39"/>
      <c r="R98" s="39"/>
      <c r="T98" s="39"/>
      <c r="U98" s="39"/>
      <c r="W98" s="39"/>
      <c r="X98" s="39"/>
      <c r="Z98" s="39"/>
      <c r="AA98" s="39"/>
      <c r="AC98" s="39"/>
      <c r="AD98" s="39"/>
      <c r="AF98" s="39"/>
      <c r="AG98" s="39"/>
      <c r="AI98" s="39"/>
      <c r="AJ98" s="39"/>
      <c r="AL98" s="39"/>
      <c r="AM98" s="39"/>
      <c r="AO98" s="39"/>
      <c r="AP98" s="39"/>
      <c r="AR98" s="39"/>
      <c r="AS98" s="39"/>
    </row>
    <row r="99" spans="11:45" s="37" customFormat="1" x14ac:dyDescent="0.45">
      <c r="K99" s="39"/>
      <c r="L99" s="39"/>
      <c r="N99" s="39"/>
      <c r="O99" s="39"/>
      <c r="Q99" s="39"/>
      <c r="R99" s="39"/>
      <c r="T99" s="39"/>
      <c r="U99" s="39"/>
      <c r="W99" s="39"/>
      <c r="X99" s="39"/>
      <c r="Z99" s="39"/>
      <c r="AA99" s="39"/>
      <c r="AC99" s="39"/>
      <c r="AD99" s="39"/>
      <c r="AF99" s="39"/>
      <c r="AG99" s="39"/>
      <c r="AI99" s="39"/>
      <c r="AJ99" s="39"/>
      <c r="AL99" s="39"/>
      <c r="AM99" s="39"/>
      <c r="AO99" s="39"/>
      <c r="AP99" s="39"/>
      <c r="AR99" s="39"/>
      <c r="AS99" s="39"/>
    </row>
    <row r="100" spans="11:45" s="37" customFormat="1" x14ac:dyDescent="0.45">
      <c r="K100" s="39"/>
      <c r="L100" s="39"/>
      <c r="N100" s="39"/>
      <c r="O100" s="39"/>
      <c r="Q100" s="39"/>
      <c r="R100" s="39"/>
      <c r="T100" s="39"/>
      <c r="U100" s="39"/>
      <c r="W100" s="39"/>
      <c r="X100" s="39"/>
      <c r="Z100" s="39"/>
      <c r="AA100" s="39"/>
      <c r="AC100" s="39"/>
      <c r="AD100" s="39"/>
      <c r="AF100" s="39"/>
      <c r="AG100" s="39"/>
      <c r="AI100" s="39"/>
      <c r="AJ100" s="39"/>
      <c r="AL100" s="39"/>
      <c r="AM100" s="39"/>
      <c r="AO100" s="39"/>
      <c r="AP100" s="39"/>
      <c r="AR100" s="39"/>
      <c r="AS100" s="39"/>
    </row>
    <row r="101" spans="11:45" s="37" customFormat="1" x14ac:dyDescent="0.45">
      <c r="K101" s="39"/>
      <c r="L101" s="39"/>
      <c r="N101" s="39"/>
      <c r="O101" s="39"/>
      <c r="Q101" s="39"/>
      <c r="R101" s="39"/>
      <c r="T101" s="39"/>
      <c r="U101" s="39"/>
      <c r="W101" s="39"/>
      <c r="X101" s="39"/>
      <c r="Z101" s="39"/>
      <c r="AA101" s="39"/>
      <c r="AC101" s="39"/>
      <c r="AD101" s="39"/>
      <c r="AF101" s="39"/>
      <c r="AG101" s="39"/>
      <c r="AI101" s="39"/>
      <c r="AJ101" s="39"/>
      <c r="AL101" s="39"/>
      <c r="AM101" s="39"/>
      <c r="AO101" s="39"/>
      <c r="AP101" s="39"/>
      <c r="AR101" s="39"/>
      <c r="AS101" s="39"/>
    </row>
    <row r="102" spans="11:45" s="37" customFormat="1" x14ac:dyDescent="0.45">
      <c r="K102" s="39"/>
      <c r="L102" s="39"/>
      <c r="N102" s="39"/>
      <c r="O102" s="39"/>
      <c r="Q102" s="39"/>
      <c r="R102" s="39"/>
      <c r="T102" s="39"/>
      <c r="U102" s="39"/>
      <c r="W102" s="39"/>
      <c r="X102" s="39"/>
      <c r="Z102" s="39"/>
      <c r="AA102" s="39"/>
      <c r="AC102" s="39"/>
      <c r="AD102" s="39"/>
      <c r="AF102" s="39"/>
      <c r="AG102" s="39"/>
      <c r="AI102" s="39"/>
      <c r="AJ102" s="39"/>
      <c r="AL102" s="39"/>
      <c r="AM102" s="39"/>
      <c r="AO102" s="39"/>
      <c r="AP102" s="39"/>
      <c r="AR102" s="39"/>
      <c r="AS102" s="39"/>
    </row>
    <row r="103" spans="11:45" s="37" customFormat="1" x14ac:dyDescent="0.45">
      <c r="K103" s="39"/>
      <c r="L103" s="39"/>
      <c r="N103" s="39"/>
      <c r="O103" s="39"/>
      <c r="Q103" s="39"/>
      <c r="R103" s="39"/>
      <c r="T103" s="39"/>
      <c r="U103" s="39"/>
      <c r="W103" s="39"/>
      <c r="X103" s="39"/>
      <c r="Z103" s="39"/>
      <c r="AA103" s="39"/>
      <c r="AC103" s="39"/>
      <c r="AD103" s="39"/>
      <c r="AF103" s="39"/>
      <c r="AG103" s="39"/>
      <c r="AI103" s="39"/>
      <c r="AJ103" s="39"/>
      <c r="AL103" s="39"/>
      <c r="AM103" s="39"/>
      <c r="AO103" s="39"/>
      <c r="AP103" s="39"/>
      <c r="AR103" s="39"/>
      <c r="AS103" s="39"/>
    </row>
    <row r="104" spans="11:45" s="37" customFormat="1" x14ac:dyDescent="0.45">
      <c r="K104" s="39"/>
      <c r="L104" s="39"/>
      <c r="N104" s="39"/>
      <c r="O104" s="39"/>
      <c r="Q104" s="39"/>
      <c r="R104" s="39"/>
      <c r="T104" s="39"/>
      <c r="U104" s="39"/>
      <c r="W104" s="39"/>
      <c r="X104" s="39"/>
      <c r="Z104" s="39"/>
      <c r="AA104" s="39"/>
      <c r="AC104" s="39"/>
      <c r="AD104" s="39"/>
      <c r="AF104" s="39"/>
      <c r="AG104" s="39"/>
      <c r="AI104" s="39"/>
      <c r="AJ104" s="39"/>
      <c r="AL104" s="39"/>
      <c r="AM104" s="39"/>
      <c r="AO104" s="39"/>
      <c r="AP104" s="39"/>
      <c r="AR104" s="39"/>
      <c r="AS104" s="39"/>
    </row>
    <row r="105" spans="11:45" s="37" customFormat="1" x14ac:dyDescent="0.45">
      <c r="K105" s="39"/>
      <c r="L105" s="39"/>
      <c r="N105" s="39"/>
      <c r="O105" s="39"/>
      <c r="Q105" s="39"/>
      <c r="R105" s="39"/>
      <c r="T105" s="39"/>
      <c r="U105" s="39"/>
      <c r="W105" s="39"/>
      <c r="X105" s="39"/>
      <c r="Z105" s="39"/>
      <c r="AA105" s="39"/>
      <c r="AC105" s="39"/>
      <c r="AD105" s="39"/>
      <c r="AF105" s="39"/>
      <c r="AG105" s="39"/>
      <c r="AI105" s="39"/>
      <c r="AJ105" s="39"/>
      <c r="AL105" s="39"/>
      <c r="AM105" s="39"/>
      <c r="AO105" s="39"/>
      <c r="AP105" s="39"/>
      <c r="AR105" s="39"/>
      <c r="AS105" s="39"/>
    </row>
    <row r="106" spans="11:45" s="37" customFormat="1" x14ac:dyDescent="0.45">
      <c r="K106" s="39"/>
      <c r="L106" s="39"/>
      <c r="N106" s="39"/>
      <c r="O106" s="39"/>
      <c r="Q106" s="39"/>
      <c r="R106" s="39"/>
      <c r="T106" s="39"/>
      <c r="U106" s="39"/>
      <c r="W106" s="39"/>
      <c r="X106" s="39"/>
      <c r="Z106" s="39"/>
      <c r="AA106" s="39"/>
      <c r="AC106" s="39"/>
      <c r="AD106" s="39"/>
      <c r="AF106" s="39"/>
      <c r="AG106" s="39"/>
      <c r="AI106" s="39"/>
      <c r="AJ106" s="39"/>
      <c r="AL106" s="39"/>
      <c r="AM106" s="39"/>
      <c r="AO106" s="39"/>
      <c r="AP106" s="39"/>
      <c r="AR106" s="39"/>
      <c r="AS106" s="39"/>
    </row>
    <row r="107" spans="11:45" s="37" customFormat="1" x14ac:dyDescent="0.45">
      <c r="K107" s="39"/>
      <c r="L107" s="39"/>
      <c r="N107" s="39"/>
      <c r="O107" s="39"/>
      <c r="Q107" s="39"/>
      <c r="R107" s="39"/>
      <c r="T107" s="39"/>
      <c r="U107" s="39"/>
      <c r="W107" s="39"/>
      <c r="X107" s="39"/>
      <c r="Z107" s="39"/>
      <c r="AA107" s="39"/>
      <c r="AC107" s="39"/>
      <c r="AD107" s="39"/>
      <c r="AF107" s="39"/>
      <c r="AG107" s="39"/>
      <c r="AI107" s="39"/>
      <c r="AJ107" s="39"/>
      <c r="AL107" s="39"/>
      <c r="AM107" s="39"/>
      <c r="AO107" s="39"/>
      <c r="AP107" s="39"/>
      <c r="AR107" s="39"/>
      <c r="AS107" s="39"/>
    </row>
    <row r="108" spans="11:45" s="37" customFormat="1" x14ac:dyDescent="0.45">
      <c r="K108" s="39"/>
      <c r="L108" s="39"/>
      <c r="N108" s="39"/>
      <c r="O108" s="39"/>
      <c r="Q108" s="39"/>
      <c r="R108" s="39"/>
      <c r="T108" s="39"/>
      <c r="U108" s="39"/>
      <c r="W108" s="39"/>
      <c r="X108" s="39"/>
      <c r="Z108" s="39"/>
      <c r="AA108" s="39"/>
      <c r="AC108" s="39"/>
      <c r="AD108" s="39"/>
      <c r="AF108" s="39"/>
      <c r="AG108" s="39"/>
      <c r="AI108" s="39"/>
      <c r="AJ108" s="39"/>
      <c r="AL108" s="39"/>
      <c r="AM108" s="39"/>
      <c r="AO108" s="39"/>
      <c r="AP108" s="39"/>
      <c r="AR108" s="39"/>
      <c r="AS108" s="39"/>
    </row>
    <row r="109" spans="11:45" s="37" customFormat="1" x14ac:dyDescent="0.45">
      <c r="K109" s="39"/>
      <c r="L109" s="39"/>
      <c r="N109" s="39"/>
      <c r="O109" s="39"/>
      <c r="Q109" s="39"/>
      <c r="R109" s="39"/>
      <c r="T109" s="39"/>
      <c r="U109" s="39"/>
      <c r="W109" s="39"/>
      <c r="X109" s="39"/>
      <c r="Z109" s="39"/>
      <c r="AA109" s="39"/>
      <c r="AC109" s="39"/>
      <c r="AD109" s="39"/>
      <c r="AF109" s="39"/>
      <c r="AG109" s="39"/>
      <c r="AI109" s="39"/>
      <c r="AJ109" s="39"/>
      <c r="AL109" s="39"/>
      <c r="AM109" s="39"/>
      <c r="AO109" s="39"/>
      <c r="AP109" s="39"/>
      <c r="AR109" s="39"/>
      <c r="AS109" s="39"/>
    </row>
    <row r="110" spans="11:45" s="37" customFormat="1" x14ac:dyDescent="0.45">
      <c r="K110" s="39"/>
      <c r="L110" s="39"/>
      <c r="N110" s="39"/>
      <c r="O110" s="39"/>
      <c r="Q110" s="39"/>
      <c r="R110" s="39"/>
      <c r="T110" s="39"/>
      <c r="U110" s="39"/>
      <c r="W110" s="39"/>
      <c r="X110" s="39"/>
      <c r="Z110" s="39"/>
      <c r="AA110" s="39"/>
      <c r="AC110" s="39"/>
      <c r="AD110" s="39"/>
      <c r="AF110" s="39"/>
      <c r="AG110" s="39"/>
      <c r="AI110" s="39"/>
      <c r="AJ110" s="39"/>
      <c r="AL110" s="39"/>
      <c r="AM110" s="39"/>
      <c r="AO110" s="39"/>
      <c r="AP110" s="39"/>
      <c r="AR110" s="39"/>
      <c r="AS110" s="39"/>
    </row>
    <row r="111" spans="11:45" s="37" customFormat="1" x14ac:dyDescent="0.45">
      <c r="K111" s="39"/>
      <c r="L111" s="39"/>
      <c r="N111" s="39"/>
      <c r="O111" s="39"/>
      <c r="Q111" s="39"/>
      <c r="R111" s="39"/>
      <c r="T111" s="39"/>
      <c r="U111" s="39"/>
      <c r="W111" s="39"/>
      <c r="X111" s="39"/>
      <c r="Z111" s="39"/>
      <c r="AA111" s="39"/>
      <c r="AC111" s="39"/>
      <c r="AD111" s="39"/>
      <c r="AF111" s="39"/>
      <c r="AG111" s="39"/>
      <c r="AI111" s="39"/>
      <c r="AJ111" s="39"/>
      <c r="AL111" s="39"/>
      <c r="AM111" s="39"/>
      <c r="AO111" s="39"/>
      <c r="AP111" s="39"/>
      <c r="AR111" s="39"/>
      <c r="AS111" s="39"/>
    </row>
    <row r="112" spans="11:45" s="37" customFormat="1" x14ac:dyDescent="0.45">
      <c r="K112" s="39"/>
      <c r="L112" s="39"/>
      <c r="N112" s="39"/>
      <c r="O112" s="39"/>
      <c r="Q112" s="39"/>
      <c r="R112" s="39"/>
      <c r="T112" s="39"/>
      <c r="U112" s="39"/>
      <c r="W112" s="39"/>
      <c r="X112" s="39"/>
      <c r="Z112" s="39"/>
      <c r="AA112" s="39"/>
      <c r="AC112" s="39"/>
      <c r="AD112" s="39"/>
      <c r="AF112" s="39"/>
      <c r="AG112" s="39"/>
      <c r="AI112" s="39"/>
      <c r="AJ112" s="39"/>
      <c r="AL112" s="39"/>
      <c r="AM112" s="39"/>
      <c r="AO112" s="39"/>
      <c r="AP112" s="39"/>
      <c r="AR112" s="39"/>
      <c r="AS112" s="39"/>
    </row>
    <row r="113" spans="11:45" s="37" customFormat="1" x14ac:dyDescent="0.45">
      <c r="K113" s="39"/>
      <c r="L113" s="39"/>
      <c r="N113" s="39"/>
      <c r="O113" s="39"/>
      <c r="Q113" s="39"/>
      <c r="R113" s="39"/>
      <c r="T113" s="39"/>
      <c r="U113" s="39"/>
      <c r="W113" s="39"/>
      <c r="X113" s="39"/>
      <c r="Z113" s="39"/>
      <c r="AA113" s="39"/>
      <c r="AC113" s="39"/>
      <c r="AD113" s="39"/>
      <c r="AF113" s="39"/>
      <c r="AG113" s="39"/>
      <c r="AI113" s="39"/>
      <c r="AJ113" s="39"/>
      <c r="AL113" s="39"/>
      <c r="AM113" s="39"/>
      <c r="AO113" s="39"/>
      <c r="AP113" s="39"/>
      <c r="AR113" s="39"/>
      <c r="AS113" s="39"/>
    </row>
    <row r="114" spans="11:45" s="37" customFormat="1" x14ac:dyDescent="0.45">
      <c r="K114" s="39"/>
      <c r="L114" s="39"/>
      <c r="N114" s="39"/>
      <c r="O114" s="39"/>
      <c r="Q114" s="39"/>
      <c r="R114" s="39"/>
      <c r="T114" s="39"/>
      <c r="U114" s="39"/>
      <c r="W114" s="39"/>
      <c r="X114" s="39"/>
      <c r="Z114" s="39"/>
      <c r="AA114" s="39"/>
      <c r="AC114" s="39"/>
      <c r="AD114" s="39"/>
      <c r="AF114" s="39"/>
      <c r="AG114" s="39"/>
      <c r="AI114" s="39"/>
      <c r="AJ114" s="39"/>
      <c r="AL114" s="39"/>
      <c r="AM114" s="39"/>
      <c r="AO114" s="39"/>
      <c r="AP114" s="39"/>
      <c r="AR114" s="39"/>
      <c r="AS114" s="39"/>
    </row>
    <row r="115" spans="11:45" s="37" customFormat="1" x14ac:dyDescent="0.45">
      <c r="K115" s="39"/>
      <c r="L115" s="39"/>
      <c r="N115" s="39"/>
      <c r="O115" s="39"/>
      <c r="Q115" s="39"/>
      <c r="R115" s="39"/>
      <c r="T115" s="39"/>
      <c r="U115" s="39"/>
      <c r="W115" s="39"/>
      <c r="X115" s="39"/>
      <c r="Z115" s="39"/>
      <c r="AA115" s="39"/>
      <c r="AC115" s="39"/>
      <c r="AD115" s="39"/>
      <c r="AF115" s="39"/>
      <c r="AG115" s="39"/>
      <c r="AI115" s="39"/>
      <c r="AJ115" s="39"/>
      <c r="AL115" s="39"/>
      <c r="AM115" s="39"/>
      <c r="AO115" s="39"/>
      <c r="AP115" s="39"/>
      <c r="AR115" s="39"/>
      <c r="AS115" s="39"/>
    </row>
    <row r="116" spans="11:45" s="37" customFormat="1" x14ac:dyDescent="0.45">
      <c r="K116" s="39"/>
      <c r="L116" s="39"/>
      <c r="N116" s="39"/>
      <c r="O116" s="39"/>
      <c r="Q116" s="39"/>
      <c r="R116" s="39"/>
      <c r="T116" s="39"/>
      <c r="U116" s="39"/>
      <c r="W116" s="39"/>
      <c r="X116" s="39"/>
      <c r="Z116" s="39"/>
      <c r="AA116" s="39"/>
      <c r="AC116" s="39"/>
      <c r="AD116" s="39"/>
      <c r="AF116" s="39"/>
      <c r="AG116" s="39"/>
      <c r="AI116" s="39"/>
      <c r="AJ116" s="39"/>
      <c r="AL116" s="39"/>
      <c r="AM116" s="39"/>
      <c r="AO116" s="39"/>
      <c r="AP116" s="39"/>
      <c r="AR116" s="39"/>
      <c r="AS116" s="39"/>
    </row>
    <row r="117" spans="11:45" s="37" customFormat="1" x14ac:dyDescent="0.45">
      <c r="K117" s="39"/>
      <c r="L117" s="39"/>
      <c r="N117" s="39"/>
      <c r="O117" s="39"/>
      <c r="Q117" s="39"/>
      <c r="R117" s="39"/>
      <c r="T117" s="39"/>
      <c r="U117" s="39"/>
      <c r="W117" s="39"/>
      <c r="X117" s="39"/>
      <c r="Z117" s="39"/>
      <c r="AA117" s="39"/>
      <c r="AC117" s="39"/>
      <c r="AD117" s="39"/>
      <c r="AF117" s="39"/>
      <c r="AG117" s="39"/>
      <c r="AI117" s="39"/>
      <c r="AJ117" s="39"/>
      <c r="AL117" s="39"/>
      <c r="AM117" s="39"/>
      <c r="AO117" s="39"/>
      <c r="AP117" s="39"/>
      <c r="AR117" s="39"/>
      <c r="AS117" s="39"/>
    </row>
    <row r="118" spans="11:45" s="37" customFormat="1" x14ac:dyDescent="0.45">
      <c r="K118" s="39"/>
      <c r="L118" s="39"/>
      <c r="N118" s="39"/>
      <c r="O118" s="39"/>
      <c r="Q118" s="39"/>
      <c r="R118" s="39"/>
      <c r="T118" s="39"/>
      <c r="U118" s="39"/>
      <c r="W118" s="39"/>
      <c r="X118" s="39"/>
      <c r="Z118" s="39"/>
      <c r="AA118" s="39"/>
      <c r="AC118" s="39"/>
      <c r="AD118" s="39"/>
      <c r="AF118" s="39"/>
      <c r="AG118" s="39"/>
      <c r="AI118" s="39"/>
      <c r="AJ118" s="39"/>
      <c r="AL118" s="39"/>
      <c r="AM118" s="39"/>
      <c r="AO118" s="39"/>
      <c r="AP118" s="39"/>
      <c r="AR118" s="39"/>
      <c r="AS118" s="39"/>
    </row>
    <row r="119" spans="11:45" s="37" customFormat="1" x14ac:dyDescent="0.45">
      <c r="K119" s="39"/>
      <c r="L119" s="39"/>
      <c r="N119" s="39"/>
      <c r="O119" s="39"/>
      <c r="Q119" s="39"/>
      <c r="R119" s="39"/>
      <c r="T119" s="39"/>
      <c r="U119" s="39"/>
      <c r="W119" s="39"/>
      <c r="X119" s="39"/>
      <c r="Z119" s="39"/>
      <c r="AA119" s="39"/>
      <c r="AC119" s="39"/>
      <c r="AD119" s="39"/>
      <c r="AF119" s="39"/>
      <c r="AG119" s="39"/>
      <c r="AI119" s="39"/>
      <c r="AJ119" s="39"/>
      <c r="AL119" s="39"/>
      <c r="AM119" s="39"/>
      <c r="AO119" s="39"/>
      <c r="AP119" s="39"/>
      <c r="AR119" s="39"/>
      <c r="AS119" s="39"/>
    </row>
    <row r="120" spans="11:45" s="37" customFormat="1" x14ac:dyDescent="0.45">
      <c r="K120" s="39"/>
      <c r="L120" s="39"/>
      <c r="N120" s="39"/>
      <c r="O120" s="39"/>
      <c r="Q120" s="39"/>
      <c r="R120" s="39"/>
      <c r="T120" s="39"/>
      <c r="U120" s="39"/>
      <c r="W120" s="39"/>
      <c r="X120" s="39"/>
      <c r="Z120" s="39"/>
      <c r="AA120" s="39"/>
      <c r="AC120" s="39"/>
      <c r="AD120" s="39"/>
      <c r="AF120" s="39"/>
      <c r="AG120" s="39"/>
      <c r="AI120" s="39"/>
      <c r="AJ120" s="39"/>
      <c r="AL120" s="39"/>
      <c r="AM120" s="39"/>
      <c r="AO120" s="39"/>
      <c r="AP120" s="39"/>
      <c r="AR120" s="39"/>
      <c r="AS120" s="39"/>
    </row>
    <row r="121" spans="11:45" s="37" customFormat="1" x14ac:dyDescent="0.45">
      <c r="K121" s="39"/>
      <c r="L121" s="39"/>
      <c r="N121" s="39"/>
      <c r="O121" s="39"/>
      <c r="Q121" s="39"/>
      <c r="R121" s="39"/>
      <c r="T121" s="39"/>
      <c r="U121" s="39"/>
      <c r="W121" s="39"/>
      <c r="X121" s="39"/>
      <c r="Z121" s="39"/>
      <c r="AA121" s="39"/>
      <c r="AC121" s="39"/>
      <c r="AD121" s="39"/>
      <c r="AF121" s="39"/>
      <c r="AG121" s="39"/>
      <c r="AI121" s="39"/>
      <c r="AJ121" s="39"/>
      <c r="AL121" s="39"/>
      <c r="AM121" s="39"/>
      <c r="AO121" s="39"/>
      <c r="AP121" s="39"/>
      <c r="AR121" s="39"/>
      <c r="AS121" s="39"/>
    </row>
    <row r="122" spans="11:45" s="37" customFormat="1" x14ac:dyDescent="0.45">
      <c r="K122" s="39"/>
      <c r="L122" s="39"/>
      <c r="N122" s="39"/>
      <c r="O122" s="39"/>
      <c r="Q122" s="39"/>
      <c r="R122" s="39"/>
      <c r="T122" s="39"/>
      <c r="U122" s="39"/>
      <c r="W122" s="39"/>
      <c r="X122" s="39"/>
      <c r="Z122" s="39"/>
      <c r="AA122" s="39"/>
      <c r="AC122" s="39"/>
      <c r="AD122" s="39"/>
      <c r="AF122" s="39"/>
      <c r="AG122" s="39"/>
      <c r="AI122" s="39"/>
      <c r="AJ122" s="39"/>
      <c r="AL122" s="39"/>
      <c r="AM122" s="39"/>
      <c r="AO122" s="39"/>
      <c r="AP122" s="39"/>
      <c r="AR122" s="39"/>
      <c r="AS122" s="39"/>
    </row>
    <row r="123" spans="11:45" s="37" customFormat="1" x14ac:dyDescent="0.45">
      <c r="K123" s="39"/>
      <c r="L123" s="39"/>
      <c r="N123" s="39"/>
      <c r="O123" s="39"/>
      <c r="Q123" s="39"/>
      <c r="R123" s="39"/>
      <c r="T123" s="39"/>
      <c r="U123" s="39"/>
      <c r="W123" s="39"/>
      <c r="X123" s="39"/>
      <c r="Z123" s="39"/>
      <c r="AA123" s="39"/>
      <c r="AC123" s="39"/>
      <c r="AD123" s="39"/>
      <c r="AF123" s="39"/>
      <c r="AG123" s="39"/>
      <c r="AI123" s="39"/>
      <c r="AJ123" s="39"/>
      <c r="AL123" s="39"/>
      <c r="AM123" s="39"/>
      <c r="AO123" s="39"/>
      <c r="AP123" s="39"/>
      <c r="AR123" s="39"/>
      <c r="AS123" s="39"/>
    </row>
    <row r="124" spans="11:45" s="37" customFormat="1" x14ac:dyDescent="0.45">
      <c r="K124" s="39"/>
      <c r="L124" s="39"/>
      <c r="N124" s="39"/>
      <c r="O124" s="39"/>
      <c r="Q124" s="39"/>
      <c r="R124" s="39"/>
      <c r="T124" s="39"/>
      <c r="U124" s="39"/>
      <c r="W124" s="39"/>
      <c r="X124" s="39"/>
      <c r="Z124" s="39"/>
      <c r="AA124" s="39"/>
      <c r="AC124" s="39"/>
      <c r="AD124" s="39"/>
      <c r="AF124" s="39"/>
      <c r="AG124" s="39"/>
      <c r="AI124" s="39"/>
      <c r="AJ124" s="39"/>
      <c r="AL124" s="39"/>
      <c r="AM124" s="39"/>
      <c r="AO124" s="39"/>
      <c r="AP124" s="39"/>
      <c r="AR124" s="39"/>
      <c r="AS124" s="39"/>
    </row>
    <row r="125" spans="11:45" s="37" customFormat="1" x14ac:dyDescent="0.45">
      <c r="K125" s="39"/>
      <c r="L125" s="39"/>
      <c r="N125" s="39"/>
      <c r="O125" s="39"/>
      <c r="Q125" s="39"/>
      <c r="R125" s="39"/>
      <c r="T125" s="39"/>
      <c r="U125" s="39"/>
      <c r="W125" s="39"/>
      <c r="X125" s="39"/>
      <c r="Z125" s="39"/>
      <c r="AA125" s="39"/>
      <c r="AC125" s="39"/>
      <c r="AD125" s="39"/>
      <c r="AF125" s="39"/>
      <c r="AG125" s="39"/>
      <c r="AI125" s="39"/>
      <c r="AJ125" s="39"/>
      <c r="AL125" s="39"/>
      <c r="AM125" s="39"/>
      <c r="AO125" s="39"/>
      <c r="AP125" s="39"/>
      <c r="AR125" s="39"/>
      <c r="AS125" s="39"/>
    </row>
    <row r="126" spans="11:45" s="37" customFormat="1" x14ac:dyDescent="0.45">
      <c r="K126" s="39"/>
      <c r="L126" s="39"/>
      <c r="N126" s="39"/>
      <c r="O126" s="39"/>
      <c r="Q126" s="39"/>
      <c r="R126" s="39"/>
      <c r="T126" s="39"/>
      <c r="U126" s="39"/>
      <c r="W126" s="39"/>
      <c r="X126" s="39"/>
      <c r="Z126" s="39"/>
      <c r="AA126" s="39"/>
      <c r="AC126" s="39"/>
      <c r="AD126" s="39"/>
      <c r="AF126" s="39"/>
      <c r="AG126" s="39"/>
      <c r="AI126" s="39"/>
      <c r="AJ126" s="39"/>
      <c r="AL126" s="39"/>
      <c r="AM126" s="39"/>
      <c r="AO126" s="39"/>
      <c r="AP126" s="39"/>
      <c r="AR126" s="39"/>
      <c r="AS126" s="39"/>
    </row>
    <row r="127" spans="11:45" s="37" customFormat="1" x14ac:dyDescent="0.45">
      <c r="K127" s="39"/>
      <c r="L127" s="39"/>
      <c r="N127" s="39"/>
      <c r="O127" s="39"/>
      <c r="Q127" s="39"/>
      <c r="R127" s="39"/>
      <c r="T127" s="39"/>
      <c r="U127" s="39"/>
      <c r="W127" s="39"/>
      <c r="X127" s="39"/>
      <c r="Z127" s="39"/>
      <c r="AA127" s="39"/>
      <c r="AC127" s="39"/>
      <c r="AD127" s="39"/>
      <c r="AF127" s="39"/>
      <c r="AG127" s="39"/>
      <c r="AI127" s="39"/>
      <c r="AJ127" s="39"/>
      <c r="AL127" s="39"/>
      <c r="AM127" s="39"/>
      <c r="AO127" s="39"/>
      <c r="AP127" s="39"/>
      <c r="AR127" s="39"/>
      <c r="AS127" s="39"/>
    </row>
    <row r="128" spans="11:45" s="37" customFormat="1" x14ac:dyDescent="0.45">
      <c r="K128" s="39"/>
      <c r="L128" s="39"/>
      <c r="N128" s="39"/>
      <c r="O128" s="39"/>
      <c r="Q128" s="39"/>
      <c r="R128" s="39"/>
      <c r="T128" s="39"/>
      <c r="U128" s="39"/>
      <c r="W128" s="39"/>
      <c r="X128" s="39"/>
      <c r="Z128" s="39"/>
      <c r="AA128" s="39"/>
      <c r="AC128" s="39"/>
      <c r="AD128" s="39"/>
      <c r="AF128" s="39"/>
      <c r="AG128" s="39"/>
      <c r="AI128" s="39"/>
      <c r="AJ128" s="39"/>
      <c r="AL128" s="39"/>
      <c r="AM128" s="39"/>
      <c r="AO128" s="39"/>
      <c r="AP128" s="39"/>
      <c r="AR128" s="39"/>
      <c r="AS128" s="39"/>
    </row>
    <row r="129" spans="11:45" s="37" customFormat="1" x14ac:dyDescent="0.45">
      <c r="K129" s="39"/>
      <c r="L129" s="39"/>
      <c r="N129" s="39"/>
      <c r="O129" s="39"/>
      <c r="Q129" s="39"/>
      <c r="R129" s="39"/>
      <c r="T129" s="39"/>
      <c r="U129" s="39"/>
      <c r="W129" s="39"/>
      <c r="X129" s="39"/>
      <c r="Z129" s="39"/>
      <c r="AA129" s="39"/>
      <c r="AC129" s="39"/>
      <c r="AD129" s="39"/>
      <c r="AF129" s="39"/>
      <c r="AG129" s="39"/>
      <c r="AI129" s="39"/>
      <c r="AJ129" s="39"/>
      <c r="AL129" s="39"/>
      <c r="AM129" s="39"/>
      <c r="AO129" s="39"/>
      <c r="AP129" s="39"/>
      <c r="AR129" s="39"/>
      <c r="AS129" s="39"/>
    </row>
    <row r="130" spans="11:45" s="37" customFormat="1" x14ac:dyDescent="0.45">
      <c r="K130" s="39"/>
      <c r="L130" s="39"/>
      <c r="N130" s="39"/>
      <c r="O130" s="39"/>
      <c r="Q130" s="39"/>
      <c r="R130" s="39"/>
      <c r="T130" s="39"/>
      <c r="U130" s="39"/>
      <c r="W130" s="39"/>
      <c r="X130" s="39"/>
      <c r="Z130" s="39"/>
      <c r="AA130" s="39"/>
      <c r="AC130" s="39"/>
      <c r="AD130" s="39"/>
      <c r="AF130" s="39"/>
      <c r="AG130" s="39"/>
      <c r="AI130" s="39"/>
      <c r="AJ130" s="39"/>
      <c r="AL130" s="39"/>
      <c r="AM130" s="39"/>
      <c r="AO130" s="39"/>
      <c r="AP130" s="39"/>
      <c r="AR130" s="39"/>
      <c r="AS130" s="39"/>
    </row>
    <row r="131" spans="11:45" s="37" customFormat="1" x14ac:dyDescent="0.45">
      <c r="K131" s="39"/>
      <c r="L131" s="39"/>
      <c r="N131" s="39"/>
      <c r="O131" s="39"/>
      <c r="Q131" s="39"/>
      <c r="R131" s="39"/>
      <c r="T131" s="39"/>
      <c r="U131" s="39"/>
      <c r="W131" s="39"/>
      <c r="X131" s="39"/>
      <c r="Z131" s="39"/>
      <c r="AA131" s="39"/>
      <c r="AC131" s="39"/>
      <c r="AD131" s="39"/>
      <c r="AF131" s="39"/>
      <c r="AG131" s="39"/>
      <c r="AI131" s="39"/>
      <c r="AJ131" s="39"/>
      <c r="AL131" s="39"/>
      <c r="AM131" s="39"/>
      <c r="AO131" s="39"/>
      <c r="AP131" s="39"/>
      <c r="AR131" s="39"/>
      <c r="AS131" s="39"/>
    </row>
    <row r="132" spans="11:45" s="37" customFormat="1" x14ac:dyDescent="0.45">
      <c r="K132" s="39"/>
      <c r="L132" s="39"/>
      <c r="N132" s="39"/>
      <c r="O132" s="39"/>
      <c r="Q132" s="39"/>
      <c r="R132" s="39"/>
      <c r="T132" s="39"/>
      <c r="U132" s="39"/>
      <c r="W132" s="39"/>
      <c r="X132" s="39"/>
      <c r="Z132" s="39"/>
      <c r="AA132" s="39"/>
      <c r="AC132" s="39"/>
      <c r="AD132" s="39"/>
      <c r="AF132" s="39"/>
      <c r="AG132" s="39"/>
      <c r="AI132" s="39"/>
      <c r="AJ132" s="39"/>
      <c r="AL132" s="39"/>
      <c r="AM132" s="39"/>
      <c r="AO132" s="39"/>
      <c r="AP132" s="39"/>
      <c r="AR132" s="39"/>
      <c r="AS132" s="39"/>
    </row>
    <row r="133" spans="11:45" s="37" customFormat="1" x14ac:dyDescent="0.45">
      <c r="K133" s="39"/>
      <c r="L133" s="39"/>
      <c r="N133" s="39"/>
      <c r="O133" s="39"/>
      <c r="Q133" s="39"/>
      <c r="R133" s="39"/>
      <c r="T133" s="39"/>
      <c r="U133" s="39"/>
      <c r="W133" s="39"/>
      <c r="X133" s="39"/>
      <c r="Z133" s="39"/>
      <c r="AA133" s="39"/>
      <c r="AC133" s="39"/>
      <c r="AD133" s="39"/>
      <c r="AF133" s="39"/>
      <c r="AG133" s="39"/>
      <c r="AI133" s="39"/>
      <c r="AJ133" s="39"/>
      <c r="AL133" s="39"/>
      <c r="AM133" s="39"/>
      <c r="AO133" s="39"/>
      <c r="AP133" s="39"/>
      <c r="AR133" s="39"/>
      <c r="AS133" s="39"/>
    </row>
    <row r="134" spans="11:45" s="37" customFormat="1" x14ac:dyDescent="0.45">
      <c r="K134" s="39"/>
      <c r="L134" s="39"/>
      <c r="N134" s="39"/>
      <c r="O134" s="39"/>
      <c r="Q134" s="39"/>
      <c r="R134" s="39"/>
      <c r="T134" s="39"/>
      <c r="U134" s="39"/>
      <c r="W134" s="39"/>
      <c r="X134" s="39"/>
      <c r="Z134" s="39"/>
      <c r="AA134" s="39"/>
      <c r="AC134" s="39"/>
      <c r="AD134" s="39"/>
      <c r="AF134" s="39"/>
      <c r="AG134" s="39"/>
      <c r="AI134" s="39"/>
      <c r="AJ134" s="39"/>
      <c r="AL134" s="39"/>
      <c r="AM134" s="39"/>
      <c r="AO134" s="39"/>
      <c r="AP134" s="39"/>
      <c r="AR134" s="39"/>
      <c r="AS134" s="39"/>
    </row>
    <row r="135" spans="11:45" s="37" customFormat="1" x14ac:dyDescent="0.45">
      <c r="K135" s="39"/>
      <c r="L135" s="39"/>
      <c r="N135" s="39"/>
      <c r="O135" s="39"/>
      <c r="Q135" s="39"/>
      <c r="R135" s="39"/>
      <c r="T135" s="39"/>
      <c r="U135" s="39"/>
      <c r="W135" s="39"/>
      <c r="X135" s="39"/>
      <c r="Z135" s="39"/>
      <c r="AA135" s="39"/>
      <c r="AC135" s="39"/>
      <c r="AD135" s="39"/>
      <c r="AF135" s="39"/>
      <c r="AG135" s="39"/>
      <c r="AI135" s="39"/>
      <c r="AJ135" s="39"/>
      <c r="AL135" s="39"/>
      <c r="AM135" s="39"/>
      <c r="AO135" s="39"/>
      <c r="AP135" s="39"/>
      <c r="AR135" s="39"/>
      <c r="AS135" s="39"/>
    </row>
    <row r="136" spans="11:45" s="37" customFormat="1" x14ac:dyDescent="0.45">
      <c r="K136" s="39"/>
      <c r="L136" s="39"/>
      <c r="N136" s="39"/>
      <c r="O136" s="39"/>
      <c r="Q136" s="39"/>
      <c r="R136" s="39"/>
      <c r="T136" s="39"/>
      <c r="U136" s="39"/>
      <c r="W136" s="39"/>
      <c r="X136" s="39"/>
      <c r="Z136" s="39"/>
      <c r="AA136" s="39"/>
      <c r="AC136" s="39"/>
      <c r="AD136" s="39"/>
      <c r="AF136" s="39"/>
      <c r="AG136" s="39"/>
      <c r="AI136" s="39"/>
      <c r="AJ136" s="39"/>
      <c r="AL136" s="39"/>
      <c r="AM136" s="39"/>
      <c r="AO136" s="39"/>
      <c r="AP136" s="39"/>
      <c r="AR136" s="39"/>
      <c r="AS136" s="39"/>
    </row>
    <row r="137" spans="11:45" s="37" customFormat="1" x14ac:dyDescent="0.45">
      <c r="K137" s="39"/>
      <c r="L137" s="39"/>
      <c r="N137" s="39"/>
      <c r="O137" s="39"/>
      <c r="Q137" s="39"/>
      <c r="R137" s="39"/>
      <c r="T137" s="39"/>
      <c r="U137" s="39"/>
      <c r="W137" s="39"/>
      <c r="X137" s="39"/>
      <c r="Z137" s="39"/>
      <c r="AA137" s="39"/>
      <c r="AC137" s="39"/>
      <c r="AD137" s="39"/>
      <c r="AF137" s="39"/>
      <c r="AG137" s="39"/>
      <c r="AI137" s="39"/>
      <c r="AJ137" s="39"/>
      <c r="AL137" s="39"/>
      <c r="AM137" s="39"/>
      <c r="AO137" s="39"/>
      <c r="AP137" s="39"/>
      <c r="AR137" s="39"/>
      <c r="AS137" s="39"/>
    </row>
    <row r="138" spans="11:45" s="37" customFormat="1" x14ac:dyDescent="0.45">
      <c r="K138" s="39"/>
      <c r="L138" s="39"/>
      <c r="N138" s="39"/>
      <c r="O138" s="39"/>
      <c r="Q138" s="39"/>
      <c r="R138" s="39"/>
      <c r="T138" s="39"/>
      <c r="U138" s="39"/>
      <c r="W138" s="39"/>
      <c r="X138" s="39"/>
      <c r="Z138" s="39"/>
      <c r="AA138" s="39"/>
      <c r="AC138" s="39"/>
      <c r="AD138" s="39"/>
      <c r="AF138" s="39"/>
      <c r="AG138" s="39"/>
      <c r="AI138" s="39"/>
      <c r="AJ138" s="39"/>
      <c r="AL138" s="39"/>
      <c r="AM138" s="39"/>
      <c r="AO138" s="39"/>
      <c r="AP138" s="39"/>
      <c r="AR138" s="39"/>
      <c r="AS138" s="39"/>
    </row>
    <row r="139" spans="11:45" s="37" customFormat="1" x14ac:dyDescent="0.45">
      <c r="K139" s="39"/>
      <c r="L139" s="39"/>
      <c r="N139" s="39"/>
      <c r="O139" s="39"/>
      <c r="Q139" s="39"/>
      <c r="R139" s="39"/>
      <c r="T139" s="39"/>
      <c r="U139" s="39"/>
      <c r="W139" s="39"/>
      <c r="X139" s="39"/>
      <c r="Z139" s="39"/>
      <c r="AA139" s="39"/>
      <c r="AC139" s="39"/>
      <c r="AD139" s="39"/>
      <c r="AF139" s="39"/>
      <c r="AG139" s="39"/>
      <c r="AI139" s="39"/>
      <c r="AJ139" s="39"/>
      <c r="AL139" s="39"/>
      <c r="AM139" s="39"/>
      <c r="AO139" s="39"/>
      <c r="AP139" s="39"/>
      <c r="AR139" s="39"/>
      <c r="AS139" s="39"/>
    </row>
    <row r="140" spans="11:45" s="37" customFormat="1" x14ac:dyDescent="0.45">
      <c r="K140" s="39"/>
      <c r="L140" s="39"/>
      <c r="N140" s="39"/>
      <c r="O140" s="39"/>
      <c r="Q140" s="39"/>
      <c r="R140" s="39"/>
      <c r="T140" s="39"/>
      <c r="U140" s="39"/>
      <c r="W140" s="39"/>
      <c r="X140" s="39"/>
      <c r="Z140" s="39"/>
      <c r="AA140" s="39"/>
      <c r="AC140" s="39"/>
      <c r="AD140" s="39"/>
      <c r="AF140" s="39"/>
      <c r="AG140" s="39"/>
      <c r="AI140" s="39"/>
      <c r="AJ140" s="39"/>
      <c r="AL140" s="39"/>
      <c r="AM140" s="39"/>
      <c r="AO140" s="39"/>
      <c r="AP140" s="39"/>
      <c r="AR140" s="39"/>
      <c r="AS140" s="39"/>
    </row>
    <row r="141" spans="11:45" s="37" customFormat="1" x14ac:dyDescent="0.45">
      <c r="K141" s="39"/>
      <c r="L141" s="39"/>
      <c r="N141" s="39"/>
      <c r="O141" s="39"/>
      <c r="Q141" s="39"/>
      <c r="R141" s="39"/>
      <c r="T141" s="39"/>
      <c r="U141" s="39"/>
      <c r="W141" s="39"/>
      <c r="X141" s="39"/>
      <c r="Z141" s="39"/>
      <c r="AA141" s="39"/>
      <c r="AC141" s="39"/>
      <c r="AD141" s="39"/>
      <c r="AF141" s="39"/>
      <c r="AG141" s="39"/>
      <c r="AI141" s="39"/>
      <c r="AJ141" s="39"/>
      <c r="AL141" s="39"/>
      <c r="AM141" s="39"/>
      <c r="AO141" s="39"/>
      <c r="AP141" s="39"/>
      <c r="AR141" s="39"/>
      <c r="AS141" s="39"/>
    </row>
    <row r="142" spans="11:45" s="37" customFormat="1" x14ac:dyDescent="0.45">
      <c r="K142" s="39"/>
      <c r="L142" s="39"/>
      <c r="N142" s="39"/>
      <c r="O142" s="39"/>
      <c r="Q142" s="39"/>
      <c r="R142" s="39"/>
      <c r="T142" s="39"/>
      <c r="U142" s="39"/>
      <c r="W142" s="39"/>
      <c r="X142" s="39"/>
      <c r="Z142" s="39"/>
      <c r="AA142" s="39"/>
      <c r="AC142" s="39"/>
      <c r="AD142" s="39"/>
      <c r="AF142" s="39"/>
      <c r="AG142" s="39"/>
      <c r="AI142" s="39"/>
      <c r="AJ142" s="39"/>
      <c r="AL142" s="39"/>
      <c r="AM142" s="39"/>
      <c r="AO142" s="39"/>
      <c r="AP142" s="39"/>
      <c r="AR142" s="39"/>
      <c r="AS142" s="39"/>
    </row>
    <row r="143" spans="11:45" s="37" customFormat="1" x14ac:dyDescent="0.45">
      <c r="K143" s="39"/>
      <c r="L143" s="39"/>
      <c r="N143" s="39"/>
      <c r="O143" s="39"/>
      <c r="Q143" s="39"/>
      <c r="R143" s="39"/>
      <c r="T143" s="39"/>
      <c r="U143" s="39"/>
      <c r="W143" s="39"/>
      <c r="X143" s="39"/>
      <c r="Z143" s="39"/>
      <c r="AA143" s="39"/>
      <c r="AC143" s="39"/>
      <c r="AD143" s="39"/>
      <c r="AF143" s="39"/>
      <c r="AG143" s="39"/>
      <c r="AI143" s="39"/>
      <c r="AJ143" s="39"/>
      <c r="AL143" s="39"/>
      <c r="AM143" s="39"/>
      <c r="AO143" s="39"/>
      <c r="AP143" s="39"/>
      <c r="AR143" s="39"/>
      <c r="AS143" s="39"/>
    </row>
    <row r="144" spans="11:45" s="37" customFormat="1" x14ac:dyDescent="0.45">
      <c r="K144" s="39"/>
      <c r="L144" s="39"/>
      <c r="N144" s="39"/>
      <c r="O144" s="39"/>
      <c r="Q144" s="39"/>
      <c r="R144" s="39"/>
      <c r="T144" s="39"/>
      <c r="U144" s="39"/>
      <c r="W144" s="39"/>
      <c r="X144" s="39"/>
      <c r="Z144" s="39"/>
      <c r="AA144" s="39"/>
      <c r="AC144" s="39"/>
      <c r="AD144" s="39"/>
      <c r="AF144" s="39"/>
      <c r="AG144" s="39"/>
      <c r="AI144" s="39"/>
      <c r="AJ144" s="39"/>
      <c r="AL144" s="39"/>
      <c r="AM144" s="39"/>
      <c r="AO144" s="39"/>
      <c r="AP144" s="39"/>
      <c r="AR144" s="39"/>
      <c r="AS144" s="39"/>
    </row>
    <row r="145" spans="11:45" s="37" customFormat="1" x14ac:dyDescent="0.45">
      <c r="K145" s="39"/>
      <c r="L145" s="39"/>
      <c r="N145" s="39"/>
      <c r="O145" s="39"/>
      <c r="Q145" s="39"/>
      <c r="R145" s="39"/>
      <c r="T145" s="39"/>
      <c r="U145" s="39"/>
      <c r="W145" s="39"/>
      <c r="X145" s="39"/>
      <c r="Z145" s="39"/>
      <c r="AA145" s="39"/>
      <c r="AC145" s="39"/>
      <c r="AD145" s="39"/>
      <c r="AF145" s="39"/>
      <c r="AG145" s="39"/>
      <c r="AI145" s="39"/>
      <c r="AJ145" s="39"/>
      <c r="AL145" s="39"/>
      <c r="AM145" s="39"/>
      <c r="AO145" s="39"/>
      <c r="AP145" s="39"/>
      <c r="AR145" s="39"/>
      <c r="AS145" s="39"/>
    </row>
    <row r="146" spans="11:45" s="37" customFormat="1" x14ac:dyDescent="0.45">
      <c r="K146" s="39"/>
      <c r="L146" s="39"/>
      <c r="N146" s="39"/>
      <c r="O146" s="39"/>
      <c r="Q146" s="39"/>
      <c r="R146" s="39"/>
      <c r="T146" s="39"/>
      <c r="U146" s="39"/>
      <c r="W146" s="39"/>
      <c r="X146" s="39"/>
      <c r="Z146" s="39"/>
      <c r="AA146" s="39"/>
      <c r="AC146" s="39"/>
      <c r="AD146" s="39"/>
      <c r="AF146" s="39"/>
      <c r="AG146" s="39"/>
      <c r="AI146" s="39"/>
      <c r="AJ146" s="39"/>
      <c r="AL146" s="39"/>
      <c r="AM146" s="39"/>
      <c r="AO146" s="39"/>
      <c r="AP146" s="39"/>
      <c r="AR146" s="39"/>
      <c r="AS146" s="39"/>
    </row>
    <row r="147" spans="11:45" s="37" customFormat="1" x14ac:dyDescent="0.45">
      <c r="K147" s="39"/>
      <c r="L147" s="39"/>
      <c r="N147" s="39"/>
      <c r="O147" s="39"/>
      <c r="Q147" s="39"/>
      <c r="R147" s="39"/>
      <c r="T147" s="39"/>
      <c r="U147" s="39"/>
      <c r="W147" s="39"/>
      <c r="X147" s="39"/>
      <c r="Z147" s="39"/>
      <c r="AA147" s="39"/>
      <c r="AC147" s="39"/>
      <c r="AD147" s="39"/>
      <c r="AF147" s="39"/>
      <c r="AG147" s="39"/>
      <c r="AI147" s="39"/>
      <c r="AJ147" s="39"/>
      <c r="AL147" s="39"/>
      <c r="AM147" s="39"/>
      <c r="AO147" s="39"/>
      <c r="AP147" s="39"/>
      <c r="AR147" s="39"/>
      <c r="AS147" s="39"/>
    </row>
    <row r="148" spans="11:45" s="37" customFormat="1" x14ac:dyDescent="0.45">
      <c r="K148" s="39"/>
      <c r="L148" s="39"/>
      <c r="N148" s="39"/>
      <c r="O148" s="39"/>
      <c r="Q148" s="39"/>
      <c r="R148" s="39"/>
      <c r="T148" s="39"/>
      <c r="U148" s="39"/>
      <c r="W148" s="39"/>
      <c r="X148" s="39"/>
      <c r="Z148" s="39"/>
      <c r="AA148" s="39"/>
      <c r="AC148" s="39"/>
      <c r="AD148" s="39"/>
      <c r="AF148" s="39"/>
      <c r="AG148" s="39"/>
      <c r="AI148" s="39"/>
      <c r="AJ148" s="39"/>
      <c r="AL148" s="39"/>
      <c r="AM148" s="39"/>
      <c r="AO148" s="39"/>
      <c r="AP148" s="39"/>
      <c r="AR148" s="39"/>
      <c r="AS148" s="39"/>
    </row>
    <row r="149" spans="11:45" s="37" customFormat="1" x14ac:dyDescent="0.45">
      <c r="K149" s="39"/>
      <c r="L149" s="39"/>
      <c r="N149" s="39"/>
      <c r="O149" s="39"/>
      <c r="Q149" s="39"/>
      <c r="R149" s="39"/>
      <c r="T149" s="39"/>
      <c r="U149" s="39"/>
      <c r="W149" s="39"/>
      <c r="X149" s="39"/>
      <c r="Z149" s="39"/>
      <c r="AA149" s="39"/>
      <c r="AC149" s="39"/>
      <c r="AD149" s="39"/>
      <c r="AF149" s="39"/>
      <c r="AG149" s="39"/>
      <c r="AI149" s="39"/>
      <c r="AJ149" s="39"/>
      <c r="AL149" s="39"/>
      <c r="AM149" s="39"/>
      <c r="AO149" s="39"/>
      <c r="AP149" s="39"/>
      <c r="AR149" s="39"/>
      <c r="AS149" s="39"/>
    </row>
    <row r="150" spans="11:45" s="37" customFormat="1" x14ac:dyDescent="0.45">
      <c r="K150" s="39"/>
      <c r="L150" s="39"/>
      <c r="N150" s="39"/>
      <c r="O150" s="39"/>
      <c r="Q150" s="39"/>
      <c r="R150" s="39"/>
      <c r="T150" s="39"/>
      <c r="U150" s="39"/>
      <c r="W150" s="39"/>
      <c r="X150" s="39"/>
      <c r="Z150" s="39"/>
      <c r="AA150" s="39"/>
      <c r="AC150" s="39"/>
      <c r="AD150" s="39"/>
      <c r="AF150" s="39"/>
      <c r="AG150" s="39"/>
      <c r="AI150" s="39"/>
      <c r="AJ150" s="39"/>
      <c r="AL150" s="39"/>
      <c r="AM150" s="39"/>
      <c r="AO150" s="39"/>
      <c r="AP150" s="39"/>
      <c r="AR150" s="39"/>
      <c r="AS150" s="39"/>
    </row>
    <row r="151" spans="11:45" s="37" customFormat="1" x14ac:dyDescent="0.45">
      <c r="K151" s="39"/>
      <c r="L151" s="39"/>
      <c r="N151" s="39"/>
      <c r="O151" s="39"/>
      <c r="Q151" s="39"/>
      <c r="R151" s="39"/>
      <c r="T151" s="39"/>
      <c r="U151" s="39"/>
      <c r="W151" s="39"/>
      <c r="X151" s="39"/>
      <c r="Z151" s="39"/>
      <c r="AA151" s="39"/>
      <c r="AC151" s="39"/>
      <c r="AD151" s="39"/>
      <c r="AF151" s="39"/>
      <c r="AG151" s="39"/>
      <c r="AI151" s="39"/>
      <c r="AJ151" s="39"/>
      <c r="AL151" s="39"/>
      <c r="AM151" s="39"/>
      <c r="AO151" s="39"/>
      <c r="AP151" s="39"/>
      <c r="AR151" s="39"/>
      <c r="AS151" s="39"/>
    </row>
    <row r="152" spans="11:45" s="37" customFormat="1" x14ac:dyDescent="0.45">
      <c r="K152" s="39"/>
      <c r="L152" s="39"/>
      <c r="N152" s="39"/>
      <c r="O152" s="39"/>
      <c r="Q152" s="39"/>
      <c r="R152" s="39"/>
      <c r="T152" s="39"/>
      <c r="U152" s="39"/>
      <c r="W152" s="39"/>
      <c r="X152" s="39"/>
      <c r="Z152" s="39"/>
      <c r="AA152" s="39"/>
      <c r="AC152" s="39"/>
      <c r="AD152" s="39"/>
      <c r="AF152" s="39"/>
      <c r="AG152" s="39"/>
      <c r="AI152" s="39"/>
      <c r="AJ152" s="39"/>
      <c r="AL152" s="39"/>
      <c r="AM152" s="39"/>
      <c r="AO152" s="39"/>
      <c r="AP152" s="39"/>
      <c r="AR152" s="39"/>
      <c r="AS152" s="39"/>
    </row>
    <row r="153" spans="11:45" s="37" customFormat="1" x14ac:dyDescent="0.45">
      <c r="K153" s="39"/>
      <c r="L153" s="39"/>
      <c r="N153" s="39"/>
      <c r="O153" s="39"/>
      <c r="Q153" s="39"/>
      <c r="R153" s="39"/>
      <c r="T153" s="39"/>
      <c r="U153" s="39"/>
      <c r="W153" s="39"/>
      <c r="X153" s="39"/>
      <c r="Z153" s="39"/>
      <c r="AA153" s="39"/>
      <c r="AC153" s="39"/>
      <c r="AD153" s="39"/>
      <c r="AF153" s="39"/>
      <c r="AG153" s="39"/>
      <c r="AI153" s="39"/>
      <c r="AJ153" s="39"/>
      <c r="AL153" s="39"/>
      <c r="AM153" s="39"/>
      <c r="AO153" s="39"/>
      <c r="AP153" s="39"/>
      <c r="AR153" s="39"/>
      <c r="AS153" s="39"/>
    </row>
    <row r="154" spans="11:45" s="37" customFormat="1" x14ac:dyDescent="0.45">
      <c r="K154" s="39"/>
      <c r="L154" s="39"/>
      <c r="N154" s="39"/>
      <c r="O154" s="39"/>
      <c r="Q154" s="39"/>
      <c r="R154" s="39"/>
      <c r="T154" s="39"/>
      <c r="U154" s="39"/>
      <c r="W154" s="39"/>
      <c r="X154" s="39"/>
      <c r="Z154" s="39"/>
      <c r="AA154" s="39"/>
      <c r="AC154" s="39"/>
      <c r="AD154" s="39"/>
      <c r="AF154" s="39"/>
      <c r="AG154" s="39"/>
      <c r="AI154" s="39"/>
      <c r="AJ154" s="39"/>
      <c r="AL154" s="39"/>
      <c r="AM154" s="39"/>
      <c r="AO154" s="39"/>
      <c r="AP154" s="39"/>
      <c r="AR154" s="39"/>
      <c r="AS154" s="39"/>
    </row>
    <row r="155" spans="11:45" s="37" customFormat="1" x14ac:dyDescent="0.45">
      <c r="K155" s="39"/>
      <c r="L155" s="39"/>
      <c r="N155" s="39"/>
      <c r="O155" s="39"/>
      <c r="Q155" s="39"/>
      <c r="R155" s="39"/>
      <c r="T155" s="39"/>
      <c r="U155" s="39"/>
      <c r="W155" s="39"/>
      <c r="X155" s="39"/>
      <c r="Z155" s="39"/>
      <c r="AA155" s="39"/>
      <c r="AC155" s="39"/>
      <c r="AD155" s="39"/>
      <c r="AF155" s="39"/>
      <c r="AG155" s="39"/>
      <c r="AI155" s="39"/>
      <c r="AJ155" s="39"/>
      <c r="AL155" s="39"/>
      <c r="AM155" s="39"/>
      <c r="AO155" s="39"/>
      <c r="AP155" s="39"/>
      <c r="AR155" s="39"/>
      <c r="AS155" s="39"/>
    </row>
    <row r="156" spans="11:45" s="37" customFormat="1" x14ac:dyDescent="0.45">
      <c r="K156" s="39"/>
      <c r="L156" s="39"/>
      <c r="N156" s="39"/>
      <c r="O156" s="39"/>
      <c r="Q156" s="39"/>
      <c r="R156" s="39"/>
      <c r="T156" s="39"/>
      <c r="U156" s="39"/>
      <c r="W156" s="39"/>
      <c r="X156" s="39"/>
      <c r="Z156" s="39"/>
      <c r="AA156" s="39"/>
      <c r="AC156" s="39"/>
      <c r="AD156" s="39"/>
      <c r="AF156" s="39"/>
      <c r="AG156" s="39"/>
      <c r="AI156" s="39"/>
      <c r="AJ156" s="39"/>
      <c r="AL156" s="39"/>
      <c r="AM156" s="39"/>
      <c r="AO156" s="39"/>
      <c r="AP156" s="39"/>
      <c r="AR156" s="39"/>
      <c r="AS156" s="39"/>
    </row>
    <row r="157" spans="11:45" s="37" customFormat="1" x14ac:dyDescent="0.45">
      <c r="K157" s="39"/>
      <c r="L157" s="39"/>
      <c r="N157" s="39"/>
      <c r="O157" s="39"/>
      <c r="Q157" s="39"/>
      <c r="R157" s="39"/>
      <c r="T157" s="39"/>
      <c r="U157" s="39"/>
      <c r="W157" s="39"/>
      <c r="X157" s="39"/>
      <c r="Z157" s="39"/>
      <c r="AA157" s="39"/>
      <c r="AC157" s="39"/>
      <c r="AD157" s="39"/>
      <c r="AF157" s="39"/>
      <c r="AG157" s="39"/>
      <c r="AI157" s="39"/>
      <c r="AJ157" s="39"/>
      <c r="AL157" s="39"/>
      <c r="AM157" s="39"/>
      <c r="AO157" s="39"/>
      <c r="AP157" s="39"/>
      <c r="AR157" s="39"/>
      <c r="AS157" s="39"/>
    </row>
    <row r="158" spans="11:45" s="37" customFormat="1" x14ac:dyDescent="0.45">
      <c r="K158" s="39"/>
      <c r="L158" s="39"/>
      <c r="N158" s="39"/>
      <c r="O158" s="39"/>
      <c r="Q158" s="39"/>
      <c r="R158" s="39"/>
      <c r="T158" s="39"/>
      <c r="U158" s="39"/>
      <c r="W158" s="39"/>
      <c r="X158" s="39"/>
      <c r="Z158" s="39"/>
      <c r="AA158" s="39"/>
      <c r="AC158" s="39"/>
      <c r="AD158" s="39"/>
      <c r="AF158" s="39"/>
      <c r="AG158" s="39"/>
      <c r="AI158" s="39"/>
      <c r="AJ158" s="39"/>
      <c r="AL158" s="39"/>
      <c r="AM158" s="39"/>
      <c r="AO158" s="39"/>
      <c r="AP158" s="39"/>
      <c r="AR158" s="39"/>
      <c r="AS158" s="39"/>
    </row>
    <row r="159" spans="11:45" s="37" customFormat="1" x14ac:dyDescent="0.45">
      <c r="K159" s="39"/>
      <c r="L159" s="39"/>
      <c r="N159" s="39"/>
      <c r="O159" s="39"/>
      <c r="Q159" s="39"/>
      <c r="R159" s="39"/>
      <c r="T159" s="39"/>
      <c r="U159" s="39"/>
      <c r="W159" s="39"/>
      <c r="X159" s="39"/>
      <c r="Z159" s="39"/>
      <c r="AA159" s="39"/>
      <c r="AC159" s="39"/>
      <c r="AD159" s="39"/>
      <c r="AF159" s="39"/>
      <c r="AG159" s="39"/>
      <c r="AI159" s="39"/>
      <c r="AJ159" s="39"/>
      <c r="AL159" s="39"/>
      <c r="AM159" s="39"/>
      <c r="AO159" s="39"/>
      <c r="AP159" s="39"/>
      <c r="AR159" s="39"/>
      <c r="AS159" s="39"/>
    </row>
    <row r="160" spans="11:45" s="37" customFormat="1" x14ac:dyDescent="0.45">
      <c r="K160" s="39"/>
      <c r="L160" s="39"/>
      <c r="N160" s="39"/>
      <c r="O160" s="39"/>
      <c r="Q160" s="39"/>
      <c r="R160" s="39"/>
      <c r="T160" s="39"/>
      <c r="U160" s="39"/>
      <c r="W160" s="39"/>
      <c r="X160" s="39"/>
      <c r="Z160" s="39"/>
      <c r="AA160" s="39"/>
      <c r="AC160" s="39"/>
      <c r="AD160" s="39"/>
      <c r="AF160" s="39"/>
      <c r="AG160" s="39"/>
      <c r="AI160" s="39"/>
      <c r="AJ160" s="39"/>
      <c r="AL160" s="39"/>
      <c r="AM160" s="39"/>
      <c r="AO160" s="39"/>
      <c r="AP160" s="39"/>
      <c r="AR160" s="39"/>
      <c r="AS160" s="39"/>
    </row>
    <row r="161" spans="11:45" s="37" customFormat="1" x14ac:dyDescent="0.45">
      <c r="K161" s="39"/>
      <c r="L161" s="39"/>
      <c r="N161" s="39"/>
      <c r="O161" s="39"/>
      <c r="Q161" s="39"/>
      <c r="R161" s="39"/>
      <c r="T161" s="39"/>
      <c r="U161" s="39"/>
      <c r="W161" s="39"/>
      <c r="X161" s="39"/>
      <c r="Z161" s="39"/>
      <c r="AA161" s="39"/>
      <c r="AC161" s="39"/>
      <c r="AD161" s="39"/>
      <c r="AF161" s="39"/>
      <c r="AG161" s="39"/>
      <c r="AI161" s="39"/>
      <c r="AJ161" s="39"/>
      <c r="AL161" s="39"/>
      <c r="AM161" s="39"/>
      <c r="AO161" s="39"/>
      <c r="AP161" s="39"/>
      <c r="AR161" s="39"/>
      <c r="AS161" s="39"/>
    </row>
    <row r="162" spans="11:45" s="37" customFormat="1" x14ac:dyDescent="0.45">
      <c r="K162" s="39"/>
      <c r="L162" s="39"/>
      <c r="N162" s="39"/>
      <c r="O162" s="39"/>
      <c r="Q162" s="39"/>
      <c r="R162" s="39"/>
      <c r="T162" s="39"/>
      <c r="U162" s="39"/>
      <c r="W162" s="39"/>
      <c r="X162" s="39"/>
      <c r="Z162" s="39"/>
      <c r="AA162" s="39"/>
      <c r="AC162" s="39"/>
      <c r="AD162" s="39"/>
      <c r="AF162" s="39"/>
      <c r="AG162" s="39"/>
      <c r="AI162" s="39"/>
      <c r="AJ162" s="39"/>
      <c r="AL162" s="39"/>
      <c r="AM162" s="39"/>
      <c r="AO162" s="39"/>
      <c r="AP162" s="39"/>
      <c r="AR162" s="39"/>
      <c r="AS162" s="39"/>
    </row>
    <row r="163" spans="11:45" s="37" customFormat="1" x14ac:dyDescent="0.45">
      <c r="K163" s="39"/>
      <c r="L163" s="39"/>
      <c r="N163" s="39"/>
      <c r="O163" s="39"/>
      <c r="Q163" s="39"/>
      <c r="R163" s="39"/>
      <c r="T163" s="39"/>
      <c r="U163" s="39"/>
      <c r="W163" s="39"/>
      <c r="X163" s="39"/>
      <c r="Z163" s="39"/>
      <c r="AA163" s="39"/>
      <c r="AC163" s="39"/>
      <c r="AD163" s="39"/>
      <c r="AF163" s="39"/>
      <c r="AG163" s="39"/>
      <c r="AI163" s="39"/>
      <c r="AJ163" s="39"/>
      <c r="AL163" s="39"/>
      <c r="AM163" s="39"/>
      <c r="AO163" s="39"/>
      <c r="AP163" s="39"/>
      <c r="AR163" s="39"/>
      <c r="AS163" s="39"/>
    </row>
    <row r="164" spans="11:45" s="37" customFormat="1" x14ac:dyDescent="0.45">
      <c r="K164" s="39"/>
      <c r="L164" s="39"/>
      <c r="N164" s="39"/>
      <c r="O164" s="39"/>
      <c r="Q164" s="39"/>
      <c r="R164" s="39"/>
      <c r="T164" s="39"/>
      <c r="U164" s="39"/>
      <c r="W164" s="39"/>
      <c r="X164" s="39"/>
      <c r="Z164" s="39"/>
      <c r="AA164" s="39"/>
      <c r="AC164" s="39"/>
      <c r="AD164" s="39"/>
      <c r="AF164" s="39"/>
      <c r="AG164" s="39"/>
      <c r="AI164" s="39"/>
      <c r="AJ164" s="39"/>
      <c r="AL164" s="39"/>
      <c r="AM164" s="39"/>
      <c r="AO164" s="39"/>
      <c r="AP164" s="39"/>
      <c r="AR164" s="39"/>
      <c r="AS164" s="39"/>
    </row>
    <row r="165" spans="11:45" s="37" customFormat="1" x14ac:dyDescent="0.45">
      <c r="K165" s="39"/>
      <c r="L165" s="39"/>
      <c r="N165" s="39"/>
      <c r="O165" s="39"/>
      <c r="Q165" s="39"/>
      <c r="R165" s="39"/>
      <c r="T165" s="39"/>
      <c r="U165" s="39"/>
      <c r="W165" s="39"/>
      <c r="X165" s="39"/>
      <c r="Z165" s="39"/>
      <c r="AA165" s="39"/>
      <c r="AC165" s="39"/>
      <c r="AD165" s="39"/>
      <c r="AF165" s="39"/>
      <c r="AG165" s="39"/>
      <c r="AI165" s="39"/>
      <c r="AJ165" s="39"/>
      <c r="AL165" s="39"/>
      <c r="AM165" s="39"/>
      <c r="AO165" s="39"/>
      <c r="AP165" s="39"/>
      <c r="AR165" s="39"/>
      <c r="AS165" s="39"/>
    </row>
    <row r="166" spans="11:45" s="37" customFormat="1" x14ac:dyDescent="0.45">
      <c r="K166" s="39"/>
      <c r="L166" s="39"/>
      <c r="N166" s="39"/>
      <c r="O166" s="39"/>
      <c r="Q166" s="39"/>
      <c r="R166" s="39"/>
      <c r="T166" s="39"/>
      <c r="U166" s="39"/>
      <c r="W166" s="39"/>
      <c r="X166" s="39"/>
      <c r="Z166" s="39"/>
      <c r="AA166" s="39"/>
      <c r="AC166" s="39"/>
      <c r="AD166" s="39"/>
      <c r="AF166" s="39"/>
      <c r="AG166" s="39"/>
      <c r="AI166" s="39"/>
      <c r="AJ166" s="39"/>
      <c r="AL166" s="39"/>
      <c r="AM166" s="39"/>
      <c r="AO166" s="39"/>
      <c r="AP166" s="39"/>
      <c r="AR166" s="39"/>
      <c r="AS166" s="39"/>
    </row>
    <row r="167" spans="11:45" s="37" customFormat="1" x14ac:dyDescent="0.45">
      <c r="K167" s="39"/>
      <c r="L167" s="39"/>
      <c r="N167" s="39"/>
      <c r="O167" s="39"/>
      <c r="Q167" s="39"/>
      <c r="R167" s="39"/>
      <c r="T167" s="39"/>
      <c r="U167" s="39"/>
      <c r="W167" s="39"/>
      <c r="X167" s="39"/>
      <c r="Z167" s="39"/>
      <c r="AA167" s="39"/>
      <c r="AC167" s="39"/>
      <c r="AD167" s="39"/>
      <c r="AF167" s="39"/>
      <c r="AG167" s="39"/>
      <c r="AI167" s="39"/>
      <c r="AJ167" s="39"/>
      <c r="AL167" s="39"/>
      <c r="AM167" s="39"/>
      <c r="AO167" s="39"/>
      <c r="AP167" s="39"/>
      <c r="AR167" s="39"/>
      <c r="AS167" s="39"/>
    </row>
    <row r="168" spans="11:45" s="37" customFormat="1" x14ac:dyDescent="0.45">
      <c r="K168" s="39"/>
      <c r="L168" s="39"/>
      <c r="N168" s="39"/>
      <c r="O168" s="39"/>
      <c r="Q168" s="39"/>
      <c r="R168" s="39"/>
      <c r="T168" s="39"/>
      <c r="U168" s="39"/>
      <c r="W168" s="39"/>
      <c r="X168" s="39"/>
      <c r="Z168" s="39"/>
      <c r="AA168" s="39"/>
      <c r="AC168" s="39"/>
      <c r="AD168" s="39"/>
      <c r="AF168" s="39"/>
      <c r="AG168" s="39"/>
      <c r="AI168" s="39"/>
      <c r="AJ168" s="39"/>
      <c r="AL168" s="39"/>
      <c r="AM168" s="39"/>
      <c r="AO168" s="39"/>
      <c r="AP168" s="39"/>
      <c r="AR168" s="39"/>
      <c r="AS168" s="39"/>
    </row>
    <row r="169" spans="11:45" s="37" customFormat="1" x14ac:dyDescent="0.45">
      <c r="K169" s="39"/>
      <c r="L169" s="39"/>
      <c r="N169" s="39"/>
      <c r="O169" s="39"/>
      <c r="Q169" s="39"/>
      <c r="R169" s="39"/>
      <c r="T169" s="39"/>
      <c r="U169" s="39"/>
      <c r="W169" s="39"/>
      <c r="X169" s="39"/>
      <c r="Z169" s="39"/>
      <c r="AA169" s="39"/>
      <c r="AC169" s="39"/>
      <c r="AD169" s="39"/>
      <c r="AF169" s="39"/>
      <c r="AG169" s="39"/>
      <c r="AI169" s="39"/>
      <c r="AJ169" s="39"/>
      <c r="AL169" s="39"/>
      <c r="AM169" s="39"/>
      <c r="AO169" s="39"/>
      <c r="AP169" s="39"/>
      <c r="AR169" s="39"/>
      <c r="AS169" s="39"/>
    </row>
    <row r="170" spans="11:45" s="37" customFormat="1" x14ac:dyDescent="0.45">
      <c r="K170" s="39"/>
      <c r="L170" s="39"/>
      <c r="N170" s="39"/>
      <c r="O170" s="39"/>
      <c r="Q170" s="39"/>
      <c r="R170" s="39"/>
      <c r="T170" s="39"/>
      <c r="U170" s="39"/>
      <c r="W170" s="39"/>
      <c r="X170" s="39"/>
      <c r="Z170" s="39"/>
      <c r="AA170" s="39"/>
      <c r="AC170" s="39"/>
      <c r="AD170" s="39"/>
      <c r="AF170" s="39"/>
      <c r="AG170" s="39"/>
      <c r="AI170" s="39"/>
      <c r="AJ170" s="39"/>
      <c r="AL170" s="39"/>
      <c r="AM170" s="39"/>
      <c r="AO170" s="39"/>
      <c r="AP170" s="39"/>
      <c r="AR170" s="39"/>
      <c r="AS170" s="39"/>
    </row>
    <row r="171" spans="11:45" s="37" customFormat="1" x14ac:dyDescent="0.45">
      <c r="K171" s="39"/>
      <c r="L171" s="39"/>
      <c r="N171" s="39"/>
      <c r="O171" s="39"/>
      <c r="Q171" s="39"/>
      <c r="R171" s="39"/>
      <c r="T171" s="39"/>
      <c r="U171" s="39"/>
      <c r="W171" s="39"/>
      <c r="X171" s="39"/>
      <c r="Z171" s="39"/>
      <c r="AA171" s="39"/>
      <c r="AC171" s="39"/>
      <c r="AD171" s="39"/>
      <c r="AF171" s="39"/>
      <c r="AG171" s="39"/>
      <c r="AI171" s="39"/>
      <c r="AJ171" s="39"/>
      <c r="AL171" s="39"/>
      <c r="AM171" s="39"/>
      <c r="AO171" s="39"/>
      <c r="AP171" s="39"/>
      <c r="AR171" s="39"/>
      <c r="AS171" s="39"/>
    </row>
    <row r="172" spans="11:45" s="37" customFormat="1" x14ac:dyDescent="0.45">
      <c r="K172" s="39"/>
      <c r="L172" s="39"/>
      <c r="N172" s="39"/>
      <c r="O172" s="39"/>
      <c r="Q172" s="39"/>
      <c r="R172" s="39"/>
      <c r="T172" s="39"/>
      <c r="U172" s="39"/>
      <c r="W172" s="39"/>
      <c r="X172" s="39"/>
      <c r="Z172" s="39"/>
      <c r="AA172" s="39"/>
      <c r="AC172" s="39"/>
      <c r="AD172" s="39"/>
      <c r="AF172" s="39"/>
      <c r="AG172" s="39"/>
      <c r="AI172" s="39"/>
      <c r="AJ172" s="39"/>
      <c r="AL172" s="39"/>
      <c r="AM172" s="39"/>
      <c r="AO172" s="39"/>
      <c r="AP172" s="39"/>
      <c r="AR172" s="39"/>
      <c r="AS172" s="39"/>
    </row>
    <row r="173" spans="11:45" s="37" customFormat="1" x14ac:dyDescent="0.45">
      <c r="K173" s="39"/>
      <c r="L173" s="39"/>
      <c r="N173" s="39"/>
      <c r="O173" s="39"/>
      <c r="Q173" s="39"/>
      <c r="R173" s="39"/>
      <c r="T173" s="39"/>
      <c r="U173" s="39"/>
      <c r="W173" s="39"/>
      <c r="X173" s="39"/>
      <c r="Z173" s="39"/>
      <c r="AA173" s="39"/>
      <c r="AC173" s="39"/>
      <c r="AD173" s="39"/>
      <c r="AF173" s="39"/>
      <c r="AG173" s="39"/>
      <c r="AI173" s="39"/>
      <c r="AJ173" s="39"/>
      <c r="AL173" s="39"/>
      <c r="AM173" s="39"/>
      <c r="AO173" s="39"/>
      <c r="AP173" s="39"/>
      <c r="AR173" s="39"/>
      <c r="AS173" s="39"/>
    </row>
    <row r="174" spans="11:45" s="37" customFormat="1" x14ac:dyDescent="0.45">
      <c r="K174" s="39"/>
      <c r="L174" s="39"/>
      <c r="N174" s="39"/>
      <c r="O174" s="39"/>
      <c r="Q174" s="39"/>
      <c r="R174" s="39"/>
      <c r="T174" s="39"/>
      <c r="U174" s="39"/>
      <c r="W174" s="39"/>
      <c r="X174" s="39"/>
      <c r="Z174" s="39"/>
      <c r="AA174" s="39"/>
      <c r="AC174" s="39"/>
      <c r="AD174" s="39"/>
      <c r="AF174" s="39"/>
      <c r="AG174" s="39"/>
      <c r="AI174" s="39"/>
      <c r="AJ174" s="39"/>
      <c r="AL174" s="39"/>
      <c r="AM174" s="39"/>
      <c r="AO174" s="39"/>
      <c r="AP174" s="39"/>
      <c r="AR174" s="39"/>
      <c r="AS174" s="39"/>
    </row>
    <row r="175" spans="11:45" s="37" customFormat="1" x14ac:dyDescent="0.45">
      <c r="K175" s="39"/>
      <c r="L175" s="39"/>
      <c r="N175" s="39"/>
      <c r="O175" s="39"/>
      <c r="Q175" s="39"/>
      <c r="R175" s="39"/>
      <c r="T175" s="39"/>
      <c r="U175" s="39"/>
      <c r="W175" s="39"/>
      <c r="X175" s="39"/>
      <c r="Z175" s="39"/>
      <c r="AA175" s="39"/>
      <c r="AC175" s="39"/>
      <c r="AD175" s="39"/>
      <c r="AF175" s="39"/>
      <c r="AG175" s="39"/>
      <c r="AI175" s="39"/>
      <c r="AJ175" s="39"/>
      <c r="AL175" s="39"/>
      <c r="AM175" s="39"/>
      <c r="AO175" s="39"/>
      <c r="AP175" s="39"/>
      <c r="AR175" s="39"/>
      <c r="AS175" s="39"/>
    </row>
    <row r="176" spans="11:45" s="37" customFormat="1" x14ac:dyDescent="0.45">
      <c r="K176" s="39"/>
      <c r="L176" s="39"/>
      <c r="N176" s="39"/>
      <c r="O176" s="39"/>
      <c r="Q176" s="39"/>
      <c r="R176" s="39"/>
      <c r="T176" s="39"/>
      <c r="U176" s="39"/>
      <c r="W176" s="39"/>
      <c r="X176" s="39"/>
      <c r="Z176" s="39"/>
      <c r="AA176" s="39"/>
      <c r="AC176" s="39"/>
      <c r="AD176" s="39"/>
      <c r="AF176" s="39"/>
      <c r="AG176" s="39"/>
      <c r="AI176" s="39"/>
      <c r="AJ176" s="39"/>
      <c r="AL176" s="39"/>
      <c r="AM176" s="39"/>
      <c r="AO176" s="39"/>
      <c r="AP176" s="39"/>
      <c r="AR176" s="39"/>
      <c r="AS176" s="39"/>
    </row>
    <row r="177" spans="11:45" s="37" customFormat="1" x14ac:dyDescent="0.45">
      <c r="K177" s="39"/>
      <c r="L177" s="39"/>
      <c r="N177" s="39"/>
      <c r="O177" s="39"/>
      <c r="Q177" s="39"/>
      <c r="R177" s="39"/>
      <c r="T177" s="39"/>
      <c r="U177" s="39"/>
      <c r="W177" s="39"/>
      <c r="X177" s="39"/>
      <c r="Z177" s="39"/>
      <c r="AA177" s="39"/>
      <c r="AC177" s="39"/>
      <c r="AD177" s="39"/>
      <c r="AF177" s="39"/>
      <c r="AG177" s="39"/>
      <c r="AI177" s="39"/>
      <c r="AJ177" s="39"/>
      <c r="AL177" s="39"/>
      <c r="AM177" s="39"/>
      <c r="AO177" s="39"/>
      <c r="AP177" s="39"/>
      <c r="AR177" s="39"/>
      <c r="AS177" s="39"/>
    </row>
    <row r="178" spans="11:45" s="37" customFormat="1" x14ac:dyDescent="0.45">
      <c r="K178" s="39"/>
      <c r="L178" s="39"/>
      <c r="N178" s="39"/>
      <c r="O178" s="39"/>
      <c r="Q178" s="39"/>
      <c r="R178" s="39"/>
      <c r="T178" s="39"/>
      <c r="U178" s="39"/>
      <c r="W178" s="39"/>
      <c r="X178" s="39"/>
      <c r="Z178" s="39"/>
      <c r="AA178" s="39"/>
      <c r="AC178" s="39"/>
      <c r="AD178" s="39"/>
      <c r="AF178" s="39"/>
      <c r="AG178" s="39"/>
      <c r="AI178" s="39"/>
      <c r="AJ178" s="39"/>
      <c r="AL178" s="39"/>
      <c r="AM178" s="39"/>
      <c r="AO178" s="39"/>
      <c r="AP178" s="39"/>
      <c r="AR178" s="39"/>
      <c r="AS178" s="39"/>
    </row>
    <row r="179" spans="11:45" s="37" customFormat="1" x14ac:dyDescent="0.45">
      <c r="K179" s="39"/>
      <c r="L179" s="39"/>
      <c r="N179" s="39"/>
      <c r="O179" s="39"/>
      <c r="Q179" s="39"/>
      <c r="R179" s="39"/>
      <c r="T179" s="39"/>
      <c r="U179" s="39"/>
      <c r="W179" s="39"/>
      <c r="X179" s="39"/>
      <c r="Z179" s="39"/>
      <c r="AA179" s="39"/>
      <c r="AC179" s="39"/>
      <c r="AD179" s="39"/>
      <c r="AF179" s="39"/>
      <c r="AG179" s="39"/>
      <c r="AI179" s="39"/>
      <c r="AJ179" s="39"/>
      <c r="AL179" s="39"/>
      <c r="AM179" s="39"/>
      <c r="AO179" s="39"/>
      <c r="AP179" s="39"/>
      <c r="AR179" s="39"/>
      <c r="AS179" s="39"/>
    </row>
    <row r="180" spans="11:45" s="37" customFormat="1" x14ac:dyDescent="0.45">
      <c r="K180" s="39"/>
      <c r="L180" s="39"/>
      <c r="N180" s="39"/>
      <c r="O180" s="39"/>
      <c r="Q180" s="39"/>
      <c r="R180" s="39"/>
      <c r="T180" s="39"/>
      <c r="U180" s="39"/>
      <c r="W180" s="39"/>
      <c r="X180" s="39"/>
      <c r="Z180" s="39"/>
      <c r="AA180" s="39"/>
      <c r="AC180" s="39"/>
      <c r="AD180" s="39"/>
      <c r="AF180" s="39"/>
      <c r="AG180" s="39"/>
      <c r="AI180" s="39"/>
      <c r="AJ180" s="39"/>
      <c r="AL180" s="39"/>
      <c r="AM180" s="39"/>
      <c r="AO180" s="39"/>
      <c r="AP180" s="39"/>
      <c r="AR180" s="39"/>
      <c r="AS180" s="39"/>
    </row>
    <row r="181" spans="11:45" s="37" customFormat="1" x14ac:dyDescent="0.45">
      <c r="K181" s="39"/>
      <c r="L181" s="39"/>
      <c r="N181" s="39"/>
      <c r="O181" s="39"/>
      <c r="Q181" s="39"/>
      <c r="R181" s="39"/>
      <c r="T181" s="39"/>
      <c r="U181" s="39"/>
      <c r="W181" s="39"/>
      <c r="X181" s="39"/>
      <c r="Z181" s="39"/>
      <c r="AA181" s="39"/>
      <c r="AC181" s="39"/>
      <c r="AD181" s="39"/>
      <c r="AF181" s="39"/>
      <c r="AG181" s="39"/>
      <c r="AI181" s="39"/>
      <c r="AJ181" s="39"/>
      <c r="AL181" s="39"/>
      <c r="AM181" s="39"/>
      <c r="AO181" s="39"/>
      <c r="AP181" s="39"/>
      <c r="AR181" s="39"/>
      <c r="AS181" s="39"/>
    </row>
    <row r="182" spans="11:45" s="37" customFormat="1" x14ac:dyDescent="0.45">
      <c r="K182" s="39"/>
      <c r="L182" s="39"/>
      <c r="N182" s="39"/>
      <c r="O182" s="39"/>
      <c r="Q182" s="39"/>
      <c r="R182" s="39"/>
      <c r="T182" s="39"/>
      <c r="U182" s="39"/>
      <c r="W182" s="39"/>
      <c r="X182" s="39"/>
      <c r="Z182" s="39"/>
      <c r="AA182" s="39"/>
      <c r="AC182" s="39"/>
      <c r="AD182" s="39"/>
      <c r="AF182" s="39"/>
      <c r="AG182" s="39"/>
      <c r="AI182" s="39"/>
      <c r="AJ182" s="39"/>
      <c r="AL182" s="39"/>
      <c r="AM182" s="39"/>
      <c r="AO182" s="39"/>
      <c r="AP182" s="39"/>
      <c r="AR182" s="39"/>
      <c r="AS182" s="39"/>
    </row>
    <row r="183" spans="11:45" s="37" customFormat="1" x14ac:dyDescent="0.45">
      <c r="K183" s="39"/>
      <c r="L183" s="39"/>
      <c r="N183" s="39"/>
      <c r="O183" s="39"/>
      <c r="Q183" s="39"/>
      <c r="R183" s="39"/>
      <c r="T183" s="39"/>
      <c r="U183" s="39"/>
      <c r="W183" s="39"/>
      <c r="X183" s="39"/>
      <c r="Z183" s="39"/>
      <c r="AA183" s="39"/>
      <c r="AC183" s="39"/>
      <c r="AD183" s="39"/>
      <c r="AF183" s="39"/>
      <c r="AG183" s="39"/>
      <c r="AI183" s="39"/>
      <c r="AJ183" s="39"/>
      <c r="AL183" s="39"/>
      <c r="AM183" s="39"/>
      <c r="AO183" s="39"/>
      <c r="AP183" s="39"/>
      <c r="AR183" s="39"/>
      <c r="AS183" s="39"/>
    </row>
    <row r="184" spans="11:45" s="37" customFormat="1" x14ac:dyDescent="0.45">
      <c r="K184" s="39"/>
      <c r="L184" s="39"/>
      <c r="N184" s="39"/>
      <c r="O184" s="39"/>
      <c r="Q184" s="39"/>
      <c r="R184" s="39"/>
      <c r="T184" s="39"/>
      <c r="U184" s="39"/>
      <c r="W184" s="39"/>
      <c r="X184" s="39"/>
      <c r="Z184" s="39"/>
      <c r="AA184" s="39"/>
      <c r="AC184" s="39"/>
      <c r="AD184" s="39"/>
      <c r="AF184" s="39"/>
      <c r="AG184" s="39"/>
      <c r="AI184" s="39"/>
      <c r="AJ184" s="39"/>
      <c r="AL184" s="39"/>
      <c r="AM184" s="39"/>
      <c r="AO184" s="39"/>
      <c r="AP184" s="39"/>
      <c r="AR184" s="39"/>
      <c r="AS184" s="39"/>
    </row>
    <row r="185" spans="11:45" s="37" customFormat="1" x14ac:dyDescent="0.45">
      <c r="K185" s="39"/>
      <c r="L185" s="39"/>
      <c r="N185" s="39"/>
      <c r="O185" s="39"/>
      <c r="Q185" s="39"/>
      <c r="R185" s="39"/>
      <c r="T185" s="39"/>
      <c r="U185" s="39"/>
      <c r="W185" s="39"/>
      <c r="X185" s="39"/>
      <c r="Z185" s="39"/>
      <c r="AA185" s="39"/>
      <c r="AC185" s="39"/>
      <c r="AD185" s="39"/>
      <c r="AF185" s="39"/>
      <c r="AG185" s="39"/>
      <c r="AI185" s="39"/>
      <c r="AJ185" s="39"/>
      <c r="AL185" s="39"/>
      <c r="AM185" s="39"/>
      <c r="AO185" s="39"/>
      <c r="AP185" s="39"/>
      <c r="AR185" s="39"/>
      <c r="AS185" s="39"/>
    </row>
    <row r="186" spans="11:45" s="37" customFormat="1" x14ac:dyDescent="0.45">
      <c r="K186" s="39"/>
      <c r="L186" s="39"/>
      <c r="N186" s="39"/>
      <c r="O186" s="39"/>
      <c r="Q186" s="39"/>
      <c r="R186" s="39"/>
      <c r="T186" s="39"/>
      <c r="U186" s="39"/>
      <c r="W186" s="39"/>
      <c r="X186" s="39"/>
      <c r="Z186" s="39"/>
      <c r="AA186" s="39"/>
      <c r="AC186" s="39"/>
      <c r="AD186" s="39"/>
      <c r="AF186" s="39"/>
      <c r="AG186" s="39"/>
      <c r="AI186" s="39"/>
      <c r="AJ186" s="39"/>
      <c r="AL186" s="39"/>
      <c r="AM186" s="39"/>
      <c r="AO186" s="39"/>
      <c r="AP186" s="39"/>
      <c r="AR186" s="39"/>
      <c r="AS186" s="39"/>
    </row>
    <row r="187" spans="11:45" s="37" customFormat="1" x14ac:dyDescent="0.45">
      <c r="K187" s="39"/>
      <c r="L187" s="39"/>
      <c r="N187" s="39"/>
      <c r="O187" s="39"/>
      <c r="Q187" s="39"/>
      <c r="R187" s="39"/>
      <c r="T187" s="39"/>
      <c r="U187" s="39"/>
      <c r="W187" s="39"/>
      <c r="X187" s="39"/>
      <c r="Z187" s="39"/>
      <c r="AA187" s="39"/>
      <c r="AC187" s="39"/>
      <c r="AD187" s="39"/>
      <c r="AF187" s="39"/>
      <c r="AG187" s="39"/>
      <c r="AI187" s="39"/>
      <c r="AJ187" s="39"/>
      <c r="AL187" s="39"/>
      <c r="AM187" s="39"/>
      <c r="AO187" s="39"/>
      <c r="AP187" s="39"/>
      <c r="AR187" s="39"/>
      <c r="AS187" s="39"/>
    </row>
    <row r="188" spans="11:45" s="37" customFormat="1" x14ac:dyDescent="0.45">
      <c r="K188" s="39"/>
      <c r="L188" s="39"/>
      <c r="N188" s="39"/>
      <c r="O188" s="39"/>
      <c r="Q188" s="39"/>
      <c r="R188" s="39"/>
      <c r="T188" s="39"/>
      <c r="U188" s="39"/>
      <c r="W188" s="39"/>
      <c r="X188" s="39"/>
      <c r="Z188" s="39"/>
      <c r="AA188" s="39"/>
      <c r="AC188" s="39"/>
      <c r="AD188" s="39"/>
      <c r="AF188" s="39"/>
      <c r="AG188" s="39"/>
      <c r="AI188" s="39"/>
      <c r="AJ188" s="39"/>
      <c r="AL188" s="39"/>
      <c r="AM188" s="39"/>
      <c r="AO188" s="39"/>
      <c r="AP188" s="39"/>
      <c r="AR188" s="39"/>
      <c r="AS188" s="39"/>
    </row>
    <row r="189" spans="11:45" s="37" customFormat="1" x14ac:dyDescent="0.45">
      <c r="K189" s="39"/>
      <c r="L189" s="39"/>
      <c r="N189" s="39"/>
      <c r="O189" s="39"/>
      <c r="Q189" s="39"/>
      <c r="R189" s="39"/>
      <c r="T189" s="39"/>
      <c r="U189" s="39"/>
      <c r="W189" s="39"/>
      <c r="X189" s="39"/>
      <c r="Z189" s="39"/>
      <c r="AA189" s="39"/>
      <c r="AC189" s="39"/>
      <c r="AD189" s="39"/>
      <c r="AF189" s="39"/>
      <c r="AG189" s="39"/>
      <c r="AI189" s="39"/>
      <c r="AJ189" s="39"/>
      <c r="AL189" s="39"/>
      <c r="AM189" s="39"/>
      <c r="AO189" s="39"/>
      <c r="AP189" s="39"/>
      <c r="AR189" s="39"/>
      <c r="AS189" s="39"/>
    </row>
    <row r="190" spans="11:45" s="37" customFormat="1" x14ac:dyDescent="0.45">
      <c r="K190" s="39"/>
      <c r="L190" s="39"/>
      <c r="N190" s="39"/>
      <c r="O190" s="39"/>
      <c r="Q190" s="39"/>
      <c r="R190" s="39"/>
      <c r="T190" s="39"/>
      <c r="U190" s="39"/>
      <c r="W190" s="39"/>
      <c r="X190" s="39"/>
      <c r="Z190" s="39"/>
      <c r="AA190" s="39"/>
      <c r="AC190" s="39"/>
      <c r="AD190" s="39"/>
      <c r="AF190" s="39"/>
      <c r="AG190" s="39"/>
      <c r="AI190" s="39"/>
      <c r="AJ190" s="39"/>
      <c r="AL190" s="39"/>
      <c r="AM190" s="39"/>
      <c r="AO190" s="39"/>
      <c r="AP190" s="39"/>
      <c r="AR190" s="39"/>
      <c r="AS190" s="39"/>
    </row>
    <row r="191" spans="11:45" s="37" customFormat="1" x14ac:dyDescent="0.45">
      <c r="K191" s="39"/>
      <c r="L191" s="39"/>
      <c r="N191" s="39"/>
      <c r="O191" s="39"/>
      <c r="Q191" s="39"/>
      <c r="R191" s="39"/>
      <c r="T191" s="39"/>
      <c r="U191" s="39"/>
      <c r="W191" s="39"/>
      <c r="X191" s="39"/>
      <c r="Z191" s="39"/>
      <c r="AA191" s="39"/>
      <c r="AC191" s="39"/>
      <c r="AD191" s="39"/>
      <c r="AF191" s="39"/>
      <c r="AG191" s="39"/>
      <c r="AI191" s="39"/>
      <c r="AJ191" s="39"/>
      <c r="AL191" s="39"/>
      <c r="AM191" s="39"/>
      <c r="AO191" s="39"/>
      <c r="AP191" s="39"/>
      <c r="AR191" s="39"/>
      <c r="AS191" s="39"/>
    </row>
    <row r="192" spans="11:45" s="37" customFormat="1" x14ac:dyDescent="0.45">
      <c r="K192" s="39"/>
      <c r="L192" s="39"/>
      <c r="N192" s="39"/>
      <c r="O192" s="39"/>
      <c r="Q192" s="39"/>
      <c r="R192" s="39"/>
      <c r="T192" s="39"/>
      <c r="U192" s="39"/>
      <c r="W192" s="39"/>
      <c r="X192" s="39"/>
      <c r="Z192" s="39"/>
      <c r="AA192" s="39"/>
      <c r="AC192" s="39"/>
      <c r="AD192" s="39"/>
      <c r="AF192" s="39"/>
      <c r="AG192" s="39"/>
      <c r="AI192" s="39"/>
      <c r="AJ192" s="39"/>
      <c r="AL192" s="39"/>
      <c r="AM192" s="39"/>
      <c r="AO192" s="39"/>
      <c r="AP192" s="39"/>
      <c r="AR192" s="39"/>
      <c r="AS192" s="39"/>
    </row>
  </sheetData>
  <mergeCells count="15">
    <mergeCell ref="A1:A2"/>
    <mergeCell ref="B1:B2"/>
    <mergeCell ref="C1:C2"/>
    <mergeCell ref="D1:D2"/>
    <mergeCell ref="E1:F2"/>
    <mergeCell ref="A34:C34"/>
    <mergeCell ref="D9:I10"/>
    <mergeCell ref="D15:I16"/>
    <mergeCell ref="D27:I28"/>
    <mergeCell ref="D34:I35"/>
    <mergeCell ref="D4:I4"/>
    <mergeCell ref="A9:C9"/>
    <mergeCell ref="A15:C15"/>
    <mergeCell ref="A21:C21"/>
    <mergeCell ref="A27:C27"/>
  </mergeCells>
  <phoneticPr fontId="1" type="noConversion"/>
  <pageMargins left="0.7" right="0.7" top="0.75" bottom="0.75" header="0.3" footer="0.3"/>
  <pageSetup paperSize="9" orientation="portrait" horizontalDpi="300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B8861-70BC-426F-9B6B-ECD06FE80936}">
  <sheetPr>
    <tabColor theme="5" tint="0.79998168889431442"/>
  </sheetPr>
  <dimension ref="A1:AR184"/>
  <sheetViews>
    <sheetView topLeftCell="A7" workbookViewId="0">
      <selection activeCell="E36" sqref="E36"/>
    </sheetView>
  </sheetViews>
  <sheetFormatPr defaultRowHeight="17" x14ac:dyDescent="0.45"/>
  <cols>
    <col min="1" max="1" width="11.33203125" style="1" customWidth="1"/>
    <col min="2" max="2" width="15.08203125" style="1" customWidth="1"/>
    <col min="3" max="3" width="4" style="1" customWidth="1"/>
    <col min="4" max="4" width="11.58203125" style="1" customWidth="1"/>
    <col min="5" max="5" width="12.5" style="1" customWidth="1"/>
    <col min="6" max="7" width="7.75" style="1" customWidth="1"/>
    <col min="8" max="8" width="15.25" style="1" customWidth="1"/>
    <col min="9" max="9" width="7.58203125" style="1" customWidth="1"/>
    <col min="10" max="11" width="6.5" style="29" customWidth="1"/>
    <col min="12" max="12" width="7.58203125" style="1" customWidth="1"/>
    <col min="13" max="14" width="6.5" style="29" customWidth="1"/>
    <col min="15" max="15" width="7.58203125" style="1" customWidth="1"/>
    <col min="16" max="17" width="6.5" style="29" customWidth="1"/>
    <col min="18" max="18" width="7.58203125" style="1" customWidth="1"/>
    <col min="19" max="20" width="6.5" style="29" customWidth="1"/>
    <col min="21" max="21" width="7.58203125" style="1" customWidth="1"/>
    <col min="22" max="23" width="6.5" style="29" customWidth="1"/>
    <col min="24" max="24" width="7.58203125" style="1" customWidth="1"/>
    <col min="25" max="26" width="6.5" style="29" customWidth="1"/>
    <col min="27" max="27" width="7.58203125" style="1" customWidth="1"/>
    <col min="28" max="29" width="6.5" style="29" customWidth="1"/>
    <col min="30" max="30" width="7.58203125" style="1" customWidth="1"/>
    <col min="31" max="32" width="6.5" style="29" customWidth="1"/>
    <col min="33" max="33" width="7.58203125" style="1" customWidth="1"/>
    <col min="34" max="35" width="6.5" style="29" customWidth="1"/>
    <col min="36" max="36" width="7.58203125" style="1" customWidth="1"/>
    <col min="37" max="38" width="6.5" style="29" customWidth="1"/>
    <col min="39" max="39" width="7.58203125" style="1" customWidth="1"/>
    <col min="40" max="41" width="6.5" style="29" customWidth="1"/>
    <col min="42" max="42" width="7.58203125" style="1" customWidth="1"/>
    <col min="43" max="44" width="6.5" style="29" customWidth="1"/>
  </cols>
  <sheetData>
    <row r="1" spans="1:44" ht="17.5" thickBot="1" x14ac:dyDescent="0.5">
      <c r="A1" s="720" t="s">
        <v>294</v>
      </c>
      <c r="B1" s="722">
        <f>SUM(J3,M3,P3,S3,V3,Y3,AB3,AE3,AH3,AK3,AN3,AQ3)</f>
        <v>1770.7000000000003</v>
      </c>
      <c r="C1" s="724" t="s">
        <v>379</v>
      </c>
      <c r="D1" s="726">
        <f>SUM(K3,N3,Q3,T3,W3,Z3,AC3,AF3,AI3,AL3,AO3,AR3)</f>
        <v>1770.7000000000003</v>
      </c>
      <c r="E1" s="728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  <c r="AC1" s="41"/>
      <c r="AD1" s="41"/>
      <c r="AE1" s="41"/>
      <c r="AF1" s="41"/>
      <c r="AG1" s="41"/>
      <c r="AH1" s="41"/>
      <c r="AI1" s="41"/>
      <c r="AJ1" s="41"/>
      <c r="AK1" s="41"/>
      <c r="AL1" s="41"/>
      <c r="AM1" s="41"/>
      <c r="AN1" s="41"/>
      <c r="AO1" s="41"/>
      <c r="AP1" s="41"/>
      <c r="AQ1" s="41"/>
      <c r="AR1" s="41"/>
    </row>
    <row r="2" spans="1:44" ht="17.5" thickBot="1" x14ac:dyDescent="0.5">
      <c r="A2" s="721"/>
      <c r="B2" s="723"/>
      <c r="C2" s="725"/>
      <c r="D2" s="727"/>
      <c r="E2" s="729"/>
      <c r="F2" s="61" t="s">
        <v>140</v>
      </c>
      <c r="G2" s="61" t="s">
        <v>145</v>
      </c>
      <c r="H2" s="47" t="s">
        <v>162</v>
      </c>
      <c r="I2" s="106" t="s">
        <v>113</v>
      </c>
      <c r="J2" s="53" t="s">
        <v>85</v>
      </c>
      <c r="K2" s="53" t="s">
        <v>145</v>
      </c>
      <c r="L2" s="106" t="s">
        <v>114</v>
      </c>
      <c r="M2" s="53" t="s">
        <v>85</v>
      </c>
      <c r="N2" s="53" t="s">
        <v>144</v>
      </c>
      <c r="O2" s="106" t="s">
        <v>115</v>
      </c>
      <c r="P2" s="53" t="s">
        <v>85</v>
      </c>
      <c r="Q2" s="53" t="s">
        <v>144</v>
      </c>
      <c r="R2" s="106" t="s">
        <v>116</v>
      </c>
      <c r="S2" s="53" t="s">
        <v>85</v>
      </c>
      <c r="T2" s="53" t="s">
        <v>144</v>
      </c>
      <c r="U2" s="106" t="s">
        <v>117</v>
      </c>
      <c r="V2" s="53" t="s">
        <v>85</v>
      </c>
      <c r="W2" s="53" t="s">
        <v>144</v>
      </c>
      <c r="X2" s="106" t="s">
        <v>118</v>
      </c>
      <c r="Y2" s="53" t="s">
        <v>85</v>
      </c>
      <c r="Z2" s="53" t="s">
        <v>144</v>
      </c>
      <c r="AA2" s="106" t="s">
        <v>119</v>
      </c>
      <c r="AB2" s="53" t="s">
        <v>85</v>
      </c>
      <c r="AC2" s="53" t="s">
        <v>144</v>
      </c>
      <c r="AD2" s="106" t="s">
        <v>120</v>
      </c>
      <c r="AE2" s="53" t="s">
        <v>85</v>
      </c>
      <c r="AF2" s="53" t="s">
        <v>144</v>
      </c>
      <c r="AG2" s="105" t="s">
        <v>121</v>
      </c>
      <c r="AH2" s="53" t="s">
        <v>85</v>
      </c>
      <c r="AI2" s="53" t="s">
        <v>144</v>
      </c>
      <c r="AJ2" s="106" t="s">
        <v>122</v>
      </c>
      <c r="AK2" s="53" t="s">
        <v>85</v>
      </c>
      <c r="AL2" s="53" t="s">
        <v>144</v>
      </c>
      <c r="AM2" s="106" t="s">
        <v>123</v>
      </c>
      <c r="AN2" s="53" t="s">
        <v>85</v>
      </c>
      <c r="AO2" s="53" t="s">
        <v>144</v>
      </c>
      <c r="AP2" s="106" t="s">
        <v>124</v>
      </c>
      <c r="AQ2" s="53" t="s">
        <v>85</v>
      </c>
      <c r="AR2" s="53" t="s">
        <v>145</v>
      </c>
    </row>
    <row r="3" spans="1:44" ht="17.5" thickBot="1" x14ac:dyDescent="0.5">
      <c r="A3" s="32" t="s">
        <v>750</v>
      </c>
      <c r="B3" s="32" t="s">
        <v>0</v>
      </c>
      <c r="C3" s="32"/>
      <c r="D3" s="3" t="s">
        <v>2</v>
      </c>
      <c r="E3" s="3" t="s">
        <v>6</v>
      </c>
      <c r="F3" s="62">
        <f>SUM(F4:F50)</f>
        <v>0</v>
      </c>
      <c r="G3" s="62">
        <f>SUM(G4:G50)</f>
        <v>0</v>
      </c>
      <c r="H3" s="56"/>
      <c r="I3"/>
      <c r="J3" s="144">
        <f>SUM(J4:J83)</f>
        <v>125.9</v>
      </c>
      <c r="K3" s="57">
        <f>SUM(J4:J83)-SUM(K4:K83)</f>
        <v>125.9</v>
      </c>
      <c r="L3"/>
      <c r="M3" s="144">
        <f>SUM(M4:M83)</f>
        <v>49.5</v>
      </c>
      <c r="N3" s="57">
        <f>SUM(M4:M83)-SUM(N4:N83)</f>
        <v>49.5</v>
      </c>
      <c r="O3"/>
      <c r="P3" s="144">
        <f>SUM(P4:P83)</f>
        <v>35</v>
      </c>
      <c r="Q3" s="57">
        <f>SUM(P4:P83)-SUM(Q4:Q83)</f>
        <v>35</v>
      </c>
      <c r="R3"/>
      <c r="S3" s="144">
        <f>SUM(S4:S83)</f>
        <v>30.5</v>
      </c>
      <c r="T3" s="57">
        <f>SUM(S4:S83)-SUM(T4:T83)</f>
        <v>30.5</v>
      </c>
      <c r="U3"/>
      <c r="V3" s="144">
        <f>SUM(V4:V83)</f>
        <v>246.7</v>
      </c>
      <c r="W3" s="57">
        <f>SUM(V4:V83)-SUM(W4:W83)</f>
        <v>246.7</v>
      </c>
      <c r="X3"/>
      <c r="Y3" s="144">
        <f>SUM(Y4:Y83)</f>
        <v>74</v>
      </c>
      <c r="Z3" s="57">
        <f>SUM(Y4:Y83)-SUM(Z4:Z83)</f>
        <v>74</v>
      </c>
      <c r="AA3"/>
      <c r="AB3" s="144">
        <f>SUM(AB4:AB83)</f>
        <v>117.1</v>
      </c>
      <c r="AC3" s="57">
        <f>SUM(AB4:AB83)-SUM(AC4:AC83)</f>
        <v>117.1</v>
      </c>
      <c r="AD3"/>
      <c r="AE3" s="144">
        <f>SUM(AE4:AE83)</f>
        <v>40.5</v>
      </c>
      <c r="AF3" s="57">
        <f>SUM(AE4:AE83)-SUM(AF4:AF83)</f>
        <v>40.5</v>
      </c>
      <c r="AG3"/>
      <c r="AH3" s="144">
        <f>SUM(AH4:AH83)</f>
        <v>196.7</v>
      </c>
      <c r="AI3" s="57">
        <f>SUM(AH4:AH83)-SUM(AI4:AI83)</f>
        <v>196.7</v>
      </c>
      <c r="AJ3"/>
      <c r="AK3" s="144">
        <f>SUM(AK4:AK83)</f>
        <v>557.80000000000007</v>
      </c>
      <c r="AL3" s="57">
        <f>SUM(AK4:AK83)-SUM(AL4:AL83)</f>
        <v>557.80000000000007</v>
      </c>
      <c r="AM3"/>
      <c r="AN3" s="144">
        <f>SUM(AN4:AN83)</f>
        <v>275</v>
      </c>
      <c r="AO3" s="57">
        <f>SUM(AN4:AN83)-SUM(AO4:AO83)</f>
        <v>275</v>
      </c>
      <c r="AP3"/>
      <c r="AQ3" s="144">
        <f>SUM(AQ4:AQ83)</f>
        <v>22</v>
      </c>
      <c r="AR3" s="57">
        <f>SUM(AQ4:AQ83)-SUM(AR4:AR83)</f>
        <v>22</v>
      </c>
    </row>
    <row r="4" spans="1:44" ht="18" thickTop="1" thickBot="1" x14ac:dyDescent="0.5">
      <c r="A4" s="719"/>
      <c r="B4" s="719"/>
      <c r="C4" s="719"/>
      <c r="D4" s="719"/>
      <c r="E4" s="719"/>
      <c r="F4" s="719"/>
      <c r="G4" s="719"/>
      <c r="H4" s="719"/>
      <c r="I4"/>
      <c r="J4" s="38"/>
      <c r="K4" s="38"/>
      <c r="L4"/>
      <c r="M4" s="38"/>
      <c r="N4" s="38"/>
      <c r="O4"/>
      <c r="P4" s="38"/>
      <c r="Q4" s="38"/>
      <c r="R4" s="244"/>
      <c r="S4" s="38"/>
      <c r="T4" s="38"/>
      <c r="U4"/>
      <c r="V4" s="38"/>
      <c r="W4" s="38"/>
      <c r="X4"/>
      <c r="Y4" s="38"/>
      <c r="Z4" s="38"/>
      <c r="AA4"/>
      <c r="AB4" s="38"/>
      <c r="AC4" s="38"/>
      <c r="AD4" s="104"/>
      <c r="AE4" s="38"/>
      <c r="AF4" s="38"/>
      <c r="AG4"/>
      <c r="AH4" s="38"/>
      <c r="AI4" s="38"/>
      <c r="AJ4"/>
      <c r="AK4" s="38"/>
      <c r="AL4" s="38"/>
      <c r="AM4"/>
      <c r="AN4" s="38"/>
      <c r="AO4" s="38"/>
      <c r="AP4"/>
      <c r="AQ4" s="38"/>
      <c r="AR4" s="38"/>
    </row>
    <row r="5" spans="1:44" ht="26.5" thickTop="1" thickBot="1" x14ac:dyDescent="0.5">
      <c r="A5" s="34" t="s">
        <v>190</v>
      </c>
      <c r="B5" s="58"/>
      <c r="C5" s="55">
        <f>SUM(K6:K50,N6:N50,Q6:Q50,T6:T50,W6:W50,Z6:Z50,AC6:AC50,AF6:AF50,AI6:AI50,AL6:AL50,AO6:AO50,AR6:AR50)</f>
        <v>0</v>
      </c>
      <c r="D5" s="664"/>
      <c r="E5" s="664"/>
      <c r="F5" s="664"/>
      <c r="G5" s="664"/>
      <c r="H5" s="664"/>
      <c r="I5" s="63">
        <f>SUM(K6:K50)</f>
        <v>0</v>
      </c>
      <c r="J5" s="179"/>
      <c r="K5" s="178"/>
      <c r="L5" s="63">
        <f>SUM(N6:N50)</f>
        <v>0</v>
      </c>
      <c r="M5" s="179"/>
      <c r="N5" s="178"/>
      <c r="O5" s="63">
        <f>SUM(Q6:Q50)</f>
        <v>0</v>
      </c>
      <c r="P5" s="179"/>
      <c r="Q5" s="178"/>
      <c r="R5" s="63">
        <f>SUM(T6:T50)</f>
        <v>0</v>
      </c>
      <c r="S5" s="179"/>
      <c r="T5" s="178"/>
      <c r="U5" s="63">
        <f>SUM(W6:W50)</f>
        <v>0</v>
      </c>
      <c r="V5" s="179"/>
      <c r="W5" s="178"/>
      <c r="X5" s="63">
        <f>SUM(Z6:Z50)</f>
        <v>0</v>
      </c>
      <c r="Y5" s="179"/>
      <c r="Z5" s="178"/>
      <c r="AA5" s="63">
        <f>SUM(AC6:AC50)</f>
        <v>0</v>
      </c>
      <c r="AB5" s="179"/>
      <c r="AC5" s="178"/>
      <c r="AD5" s="63">
        <f>SUM(AF6:AF50)</f>
        <v>0</v>
      </c>
      <c r="AE5" s="179"/>
      <c r="AF5" s="178"/>
      <c r="AG5" s="63">
        <f>SUM(AI6:AI50)</f>
        <v>0</v>
      </c>
      <c r="AH5" s="179"/>
      <c r="AI5" s="178"/>
      <c r="AJ5" s="63">
        <f>SUM(AL6:AL50)</f>
        <v>0</v>
      </c>
      <c r="AK5" s="179"/>
      <c r="AL5" s="178"/>
      <c r="AM5" s="63">
        <f>SUM(AO6:AO50)</f>
        <v>0</v>
      </c>
      <c r="AN5" s="179"/>
      <c r="AO5" s="178"/>
      <c r="AP5" s="63">
        <f>SUM(AR6:AR50)</f>
        <v>0</v>
      </c>
      <c r="AQ5" s="179"/>
      <c r="AR5" s="44"/>
    </row>
    <row r="6" spans="1:44" ht="18" thickTop="1" x14ac:dyDescent="0.45">
      <c r="A6" s="275" t="s">
        <v>756</v>
      </c>
      <c r="B6" s="1" t="s">
        <v>461</v>
      </c>
      <c r="E6" s="1" t="s">
        <v>478</v>
      </c>
      <c r="F6" s="75"/>
      <c r="G6" s="75"/>
      <c r="H6" s="31"/>
      <c r="I6" s="90">
        <v>3</v>
      </c>
      <c r="J6" s="85">
        <v>15.4</v>
      </c>
      <c r="K6" s="85"/>
      <c r="L6" s="91"/>
      <c r="M6" s="85"/>
      <c r="N6" s="85"/>
      <c r="O6" s="91"/>
      <c r="P6" s="85"/>
      <c r="Q6" s="85"/>
      <c r="R6" s="92"/>
      <c r="S6" s="85"/>
      <c r="T6" s="85"/>
      <c r="U6" s="92"/>
      <c r="V6" s="85"/>
      <c r="W6" s="85"/>
      <c r="X6" s="92"/>
      <c r="Y6" s="85"/>
      <c r="Z6" s="85"/>
      <c r="AA6" s="92"/>
      <c r="AB6" s="85"/>
      <c r="AC6" s="85"/>
      <c r="AD6" s="92"/>
      <c r="AE6" s="85"/>
      <c r="AF6" s="85"/>
      <c r="AG6" s="92"/>
      <c r="AH6" s="85"/>
      <c r="AI6" s="85"/>
      <c r="AJ6" s="92"/>
      <c r="AK6" s="85"/>
      <c r="AL6" s="85"/>
      <c r="AM6" s="92"/>
      <c r="AN6" s="85"/>
      <c r="AO6" s="85"/>
      <c r="AP6" s="92"/>
      <c r="AQ6" s="85"/>
      <c r="AR6" s="175"/>
    </row>
    <row r="7" spans="1:44" ht="17.5" x14ac:dyDescent="0.45">
      <c r="A7" s="275" t="s">
        <v>756</v>
      </c>
      <c r="B7" s="1" t="s">
        <v>470</v>
      </c>
      <c r="E7" s="1" t="s">
        <v>477</v>
      </c>
      <c r="F7" s="75"/>
      <c r="G7" s="75"/>
      <c r="H7" s="31"/>
      <c r="I7" s="90">
        <v>24</v>
      </c>
      <c r="J7" s="85">
        <v>20</v>
      </c>
      <c r="K7" s="85"/>
      <c r="L7" s="91"/>
      <c r="M7" s="85"/>
      <c r="N7" s="85"/>
      <c r="O7" s="91"/>
      <c r="P7" s="85"/>
      <c r="Q7" s="85"/>
      <c r="R7" s="92"/>
      <c r="S7" s="85"/>
      <c r="T7" s="85"/>
      <c r="U7" s="92"/>
      <c r="V7" s="85"/>
      <c r="W7" s="85"/>
      <c r="X7" s="92"/>
      <c r="Y7" s="85"/>
      <c r="Z7" s="85"/>
      <c r="AA7" s="92"/>
      <c r="AB7" s="85"/>
      <c r="AC7" s="85"/>
      <c r="AD7" s="92"/>
      <c r="AE7" s="85"/>
      <c r="AF7" s="85"/>
      <c r="AG7" s="92"/>
      <c r="AH7" s="85"/>
      <c r="AI7" s="85"/>
      <c r="AJ7" s="92"/>
      <c r="AK7" s="85"/>
      <c r="AL7" s="85"/>
      <c r="AM7" s="92"/>
      <c r="AN7" s="85"/>
      <c r="AO7" s="85"/>
      <c r="AP7" s="92"/>
      <c r="AQ7" s="85"/>
      <c r="AR7" s="175"/>
    </row>
    <row r="8" spans="1:44" ht="17.5" x14ac:dyDescent="0.45">
      <c r="A8" s="275" t="s">
        <v>758</v>
      </c>
      <c r="B8" s="1" t="s">
        <v>761</v>
      </c>
      <c r="F8" s="75"/>
      <c r="G8" s="75"/>
      <c r="H8" s="31"/>
      <c r="I8" s="90">
        <v>31</v>
      </c>
      <c r="J8" s="85">
        <v>60</v>
      </c>
      <c r="K8" s="85"/>
      <c r="L8" s="91"/>
      <c r="M8" s="85"/>
      <c r="N8" s="85"/>
      <c r="O8" s="91"/>
      <c r="P8" s="85"/>
      <c r="Q8" s="85"/>
      <c r="R8" s="92"/>
      <c r="S8" s="85"/>
      <c r="T8" s="85"/>
      <c r="U8" s="92"/>
      <c r="V8" s="85"/>
      <c r="W8" s="85"/>
      <c r="X8" s="92"/>
      <c r="Y8" s="85"/>
      <c r="Z8" s="85"/>
      <c r="AA8" s="92"/>
      <c r="AB8" s="85"/>
      <c r="AC8" s="85"/>
      <c r="AD8" s="92"/>
      <c r="AE8" s="85"/>
      <c r="AF8" s="85"/>
      <c r="AG8" s="92"/>
      <c r="AH8" s="85"/>
      <c r="AI8" s="85"/>
      <c r="AJ8" s="92"/>
      <c r="AK8" s="85"/>
      <c r="AL8" s="85"/>
      <c r="AM8" s="92"/>
      <c r="AN8" s="85"/>
      <c r="AO8" s="85"/>
      <c r="AP8" s="92"/>
      <c r="AQ8" s="85"/>
      <c r="AR8" s="175"/>
    </row>
    <row r="9" spans="1:44" ht="17.5" x14ac:dyDescent="0.45">
      <c r="A9" s="275" t="s">
        <v>190</v>
      </c>
      <c r="B9" s="1" t="s">
        <v>523</v>
      </c>
      <c r="F9" s="75"/>
      <c r="G9" s="75"/>
      <c r="H9" s="31"/>
      <c r="I9" s="90">
        <v>25</v>
      </c>
      <c r="J9" s="85">
        <v>30.5</v>
      </c>
      <c r="K9" s="85"/>
      <c r="L9" s="91"/>
      <c r="M9" s="85"/>
      <c r="N9" s="85"/>
      <c r="O9" s="91"/>
      <c r="P9" s="85"/>
      <c r="Q9" s="85"/>
      <c r="R9" s="92"/>
      <c r="S9" s="85"/>
      <c r="T9" s="85"/>
      <c r="U9" s="92"/>
      <c r="V9" s="85"/>
      <c r="W9" s="85"/>
      <c r="X9" s="92"/>
      <c r="Y9" s="85"/>
      <c r="Z9" s="85"/>
      <c r="AA9" s="92"/>
      <c r="AB9" s="85"/>
      <c r="AC9" s="85"/>
      <c r="AD9" s="92"/>
      <c r="AE9" s="85"/>
      <c r="AF9" s="85"/>
      <c r="AG9" s="92"/>
      <c r="AH9" s="85"/>
      <c r="AI9" s="85"/>
      <c r="AJ9" s="92"/>
      <c r="AK9" s="85"/>
      <c r="AL9" s="85"/>
      <c r="AM9" s="92"/>
      <c r="AN9" s="85"/>
      <c r="AO9" s="85"/>
      <c r="AP9" s="92"/>
      <c r="AQ9" s="85"/>
      <c r="AR9" s="175"/>
    </row>
    <row r="10" spans="1:44" ht="17.5" x14ac:dyDescent="0.45">
      <c r="A10" s="275" t="s">
        <v>756</v>
      </c>
      <c r="B10" s="1" t="s">
        <v>475</v>
      </c>
      <c r="E10" s="1" t="s">
        <v>478</v>
      </c>
      <c r="F10" s="75"/>
      <c r="G10" s="75"/>
      <c r="H10" s="31"/>
      <c r="I10" s="90"/>
      <c r="J10" s="85"/>
      <c r="K10" s="85"/>
      <c r="L10" s="91">
        <v>15</v>
      </c>
      <c r="M10" s="85">
        <v>13</v>
      </c>
      <c r="N10" s="85"/>
      <c r="O10" s="91"/>
      <c r="P10" s="85"/>
      <c r="Q10" s="85"/>
      <c r="R10" s="92"/>
      <c r="S10" s="85"/>
      <c r="T10" s="85"/>
      <c r="U10" s="92"/>
      <c r="V10" s="85"/>
      <c r="W10" s="85"/>
      <c r="X10" s="92"/>
      <c r="Y10" s="85"/>
      <c r="Z10" s="85"/>
      <c r="AA10" s="92"/>
      <c r="AB10" s="85"/>
      <c r="AC10" s="85"/>
      <c r="AD10" s="92"/>
      <c r="AE10" s="85"/>
      <c r="AF10" s="85"/>
      <c r="AG10" s="92"/>
      <c r="AH10" s="85"/>
      <c r="AI10" s="85"/>
      <c r="AJ10" s="92"/>
      <c r="AK10" s="85"/>
      <c r="AL10" s="85"/>
      <c r="AM10" s="92"/>
      <c r="AN10" s="85"/>
      <c r="AO10" s="85"/>
      <c r="AP10" s="92"/>
      <c r="AQ10" s="85"/>
      <c r="AR10" s="175"/>
    </row>
    <row r="11" spans="1:44" ht="17.5" x14ac:dyDescent="0.45">
      <c r="A11" s="275" t="s">
        <v>756</v>
      </c>
      <c r="B11" s="1" t="s">
        <v>476</v>
      </c>
      <c r="E11" s="1" t="s">
        <v>476</v>
      </c>
      <c r="F11" s="75"/>
      <c r="G11" s="75"/>
      <c r="H11" s="31"/>
      <c r="I11" s="90"/>
      <c r="J11" s="85"/>
      <c r="K11" s="85"/>
      <c r="L11" s="91">
        <v>26</v>
      </c>
      <c r="M11" s="85">
        <v>6</v>
      </c>
      <c r="N11" s="85"/>
      <c r="O11" s="91"/>
      <c r="P11" s="85"/>
      <c r="Q11" s="85"/>
      <c r="R11" s="92"/>
      <c r="S11" s="85"/>
      <c r="T11" s="85"/>
      <c r="U11" s="92"/>
      <c r="V11" s="85"/>
      <c r="W11" s="85"/>
      <c r="X11" s="92"/>
      <c r="Y11" s="85"/>
      <c r="Z11" s="85"/>
      <c r="AA11" s="92"/>
      <c r="AB11" s="85"/>
      <c r="AC11" s="85"/>
      <c r="AD11" s="92"/>
      <c r="AE11" s="85"/>
      <c r="AF11" s="85"/>
      <c r="AG11" s="92"/>
      <c r="AH11" s="85"/>
      <c r="AI11" s="85"/>
      <c r="AJ11" s="92"/>
      <c r="AK11" s="85"/>
      <c r="AL11" s="85"/>
      <c r="AM11" s="92"/>
      <c r="AN11" s="85"/>
      <c r="AO11" s="85"/>
      <c r="AP11" s="92"/>
      <c r="AQ11" s="85"/>
      <c r="AR11" s="175"/>
    </row>
    <row r="12" spans="1:44" ht="17.5" x14ac:dyDescent="0.45">
      <c r="A12" s="275" t="s">
        <v>190</v>
      </c>
      <c r="B12" s="1" t="s">
        <v>523</v>
      </c>
      <c r="F12" s="75"/>
      <c r="G12" s="75"/>
      <c r="H12" s="31"/>
      <c r="I12" s="90"/>
      <c r="J12" s="85"/>
      <c r="K12" s="85"/>
      <c r="L12" s="91">
        <v>25</v>
      </c>
      <c r="M12" s="85">
        <v>30.5</v>
      </c>
      <c r="N12" s="85"/>
      <c r="O12" s="91"/>
      <c r="P12" s="85"/>
      <c r="Q12" s="85"/>
      <c r="R12" s="92"/>
      <c r="S12" s="85"/>
      <c r="T12" s="85"/>
      <c r="U12" s="92"/>
      <c r="V12" s="85"/>
      <c r="W12" s="85"/>
      <c r="X12" s="92"/>
      <c r="Y12" s="85"/>
      <c r="Z12" s="85"/>
      <c r="AA12" s="92"/>
      <c r="AB12" s="85"/>
      <c r="AC12" s="85"/>
      <c r="AD12" s="92"/>
      <c r="AE12" s="85"/>
      <c r="AF12" s="85"/>
      <c r="AG12" s="92"/>
      <c r="AH12" s="85"/>
      <c r="AI12" s="85"/>
      <c r="AJ12" s="92"/>
      <c r="AK12" s="85"/>
      <c r="AL12" s="85"/>
      <c r="AM12" s="92"/>
      <c r="AN12" s="85"/>
      <c r="AO12" s="85"/>
      <c r="AP12" s="92"/>
      <c r="AQ12" s="85"/>
      <c r="AR12" s="175"/>
    </row>
    <row r="13" spans="1:44" ht="17.5" x14ac:dyDescent="0.45">
      <c r="A13" s="275" t="s">
        <v>756</v>
      </c>
      <c r="B13" s="1" t="s">
        <v>487</v>
      </c>
      <c r="F13" s="75"/>
      <c r="G13" s="75"/>
      <c r="H13" s="31"/>
      <c r="I13" s="90"/>
      <c r="J13" s="85"/>
      <c r="K13" s="85"/>
      <c r="L13" s="91"/>
      <c r="M13" s="85"/>
      <c r="N13" s="85"/>
      <c r="O13" s="91">
        <v>30</v>
      </c>
      <c r="P13" s="85">
        <v>4.5</v>
      </c>
      <c r="Q13" s="85"/>
      <c r="R13" s="92"/>
      <c r="S13" s="85"/>
      <c r="T13" s="85"/>
      <c r="U13" s="92"/>
      <c r="V13" s="85"/>
      <c r="W13" s="85"/>
      <c r="X13" s="92"/>
      <c r="Y13" s="85"/>
      <c r="Z13" s="85"/>
      <c r="AA13" s="92"/>
      <c r="AB13" s="85"/>
      <c r="AC13" s="85"/>
      <c r="AD13" s="92"/>
      <c r="AE13" s="85"/>
      <c r="AF13" s="85"/>
      <c r="AG13" s="92"/>
      <c r="AH13" s="85"/>
      <c r="AI13" s="85"/>
      <c r="AJ13" s="92"/>
      <c r="AK13" s="85"/>
      <c r="AL13" s="85"/>
      <c r="AM13" s="92"/>
      <c r="AN13" s="85"/>
      <c r="AO13" s="85"/>
      <c r="AP13" s="92"/>
      <c r="AQ13" s="85"/>
      <c r="AR13" s="175"/>
    </row>
    <row r="14" spans="1:44" ht="17.5" x14ac:dyDescent="0.45">
      <c r="A14" s="275" t="s">
        <v>190</v>
      </c>
      <c r="B14" s="1" t="s">
        <v>523</v>
      </c>
      <c r="F14" s="75"/>
      <c r="G14" s="75"/>
      <c r="H14" s="31"/>
      <c r="I14" s="90"/>
      <c r="J14" s="85"/>
      <c r="K14" s="85"/>
      <c r="L14" s="91"/>
      <c r="M14" s="85"/>
      <c r="N14" s="85"/>
      <c r="O14" s="91">
        <v>25</v>
      </c>
      <c r="P14" s="85">
        <v>30.5</v>
      </c>
      <c r="Q14" s="85"/>
      <c r="R14" s="92"/>
      <c r="S14" s="85"/>
      <c r="T14" s="85"/>
      <c r="U14" s="92"/>
      <c r="V14" s="85"/>
      <c r="W14" s="85"/>
      <c r="X14" s="92"/>
      <c r="Y14" s="85"/>
      <c r="Z14" s="85"/>
      <c r="AA14" s="92"/>
      <c r="AB14" s="85"/>
      <c r="AC14" s="85"/>
      <c r="AD14" s="92"/>
      <c r="AE14" s="85"/>
      <c r="AF14" s="85"/>
      <c r="AG14" s="92"/>
      <c r="AH14" s="85"/>
      <c r="AI14" s="85"/>
      <c r="AJ14" s="92"/>
      <c r="AK14" s="85"/>
      <c r="AL14" s="85"/>
      <c r="AM14" s="92"/>
      <c r="AN14" s="85"/>
      <c r="AO14" s="85"/>
      <c r="AP14" s="92"/>
      <c r="AQ14" s="85"/>
      <c r="AR14" s="175"/>
    </row>
    <row r="15" spans="1:44" ht="17.5" x14ac:dyDescent="0.45">
      <c r="A15" s="275" t="s">
        <v>190</v>
      </c>
      <c r="B15" s="1" t="s">
        <v>523</v>
      </c>
      <c r="F15" s="75"/>
      <c r="G15" s="75"/>
      <c r="H15" s="31"/>
      <c r="I15" s="90"/>
      <c r="J15" s="85"/>
      <c r="K15" s="85"/>
      <c r="L15" s="91"/>
      <c r="M15" s="85"/>
      <c r="N15" s="85"/>
      <c r="O15" s="91"/>
      <c r="P15" s="85"/>
      <c r="Q15" s="85"/>
      <c r="R15" s="92">
        <v>25</v>
      </c>
      <c r="S15" s="85">
        <v>30.5</v>
      </c>
      <c r="T15" s="85"/>
      <c r="U15" s="92"/>
      <c r="V15" s="85"/>
      <c r="W15" s="85"/>
      <c r="X15" s="92"/>
      <c r="Y15" s="85"/>
      <c r="Z15" s="85"/>
      <c r="AA15" s="92"/>
      <c r="AB15" s="85"/>
      <c r="AC15" s="85"/>
      <c r="AD15" s="92"/>
      <c r="AE15" s="85"/>
      <c r="AF15" s="85"/>
      <c r="AG15" s="92"/>
      <c r="AH15" s="85"/>
      <c r="AI15" s="85"/>
      <c r="AJ15" s="92"/>
      <c r="AK15" s="85"/>
      <c r="AL15" s="85"/>
      <c r="AM15" s="92"/>
      <c r="AN15" s="85"/>
      <c r="AO15" s="85"/>
      <c r="AP15" s="92"/>
      <c r="AQ15" s="85"/>
      <c r="AR15" s="175"/>
    </row>
    <row r="16" spans="1:44" ht="17.5" x14ac:dyDescent="0.45">
      <c r="A16" s="275" t="s">
        <v>756</v>
      </c>
      <c r="B16" s="1" t="s">
        <v>493</v>
      </c>
      <c r="F16" s="75"/>
      <c r="G16" s="75"/>
      <c r="H16" s="31"/>
      <c r="I16" s="90"/>
      <c r="J16" s="85"/>
      <c r="K16" s="85"/>
      <c r="L16" s="91"/>
      <c r="M16" s="85"/>
      <c r="N16" s="85"/>
      <c r="O16" s="91"/>
      <c r="P16" s="85"/>
      <c r="Q16" s="85"/>
      <c r="R16" s="92"/>
      <c r="S16" s="85"/>
      <c r="T16" s="85"/>
      <c r="U16" s="92">
        <v>15</v>
      </c>
      <c r="V16" s="85">
        <v>1.2</v>
      </c>
      <c r="W16" s="85"/>
      <c r="X16" s="92"/>
      <c r="Y16" s="85"/>
      <c r="Z16" s="85"/>
      <c r="AA16" s="92"/>
      <c r="AB16" s="85"/>
      <c r="AC16" s="85"/>
      <c r="AD16" s="92"/>
      <c r="AE16" s="85"/>
      <c r="AF16" s="85"/>
      <c r="AG16" s="92"/>
      <c r="AH16" s="85"/>
      <c r="AI16" s="85"/>
      <c r="AJ16" s="92"/>
      <c r="AK16" s="85"/>
      <c r="AL16" s="85"/>
      <c r="AM16" s="92"/>
      <c r="AN16" s="85"/>
      <c r="AO16" s="85"/>
      <c r="AP16" s="92"/>
      <c r="AQ16" s="85"/>
      <c r="AR16" s="175"/>
    </row>
    <row r="17" spans="1:44" ht="17.5" x14ac:dyDescent="0.45">
      <c r="A17" s="275" t="s">
        <v>756</v>
      </c>
      <c r="B17" s="1" t="s">
        <v>492</v>
      </c>
      <c r="F17" s="75"/>
      <c r="G17" s="75"/>
      <c r="H17" s="31"/>
      <c r="I17" s="90"/>
      <c r="J17" s="85"/>
      <c r="K17" s="85"/>
      <c r="L17" s="91"/>
      <c r="M17" s="85"/>
      <c r="N17" s="85"/>
      <c r="O17" s="91"/>
      <c r="P17" s="85"/>
      <c r="Q17" s="85"/>
      <c r="R17" s="92"/>
      <c r="S17" s="85"/>
      <c r="T17" s="85"/>
      <c r="U17" s="92">
        <v>16</v>
      </c>
      <c r="V17" s="85">
        <v>20.5</v>
      </c>
      <c r="W17" s="85"/>
      <c r="X17" s="92"/>
      <c r="Y17" s="85"/>
      <c r="Z17" s="85"/>
      <c r="AA17" s="92"/>
      <c r="AB17" s="85"/>
      <c r="AC17" s="85"/>
      <c r="AD17" s="92"/>
      <c r="AE17" s="85"/>
      <c r="AF17" s="85"/>
      <c r="AG17" s="92"/>
      <c r="AH17" s="85"/>
      <c r="AI17" s="85"/>
      <c r="AJ17" s="92"/>
      <c r="AK17" s="85"/>
      <c r="AL17" s="85"/>
      <c r="AM17" s="92"/>
      <c r="AN17" s="85"/>
      <c r="AO17" s="85"/>
      <c r="AP17" s="92"/>
      <c r="AQ17" s="85"/>
      <c r="AR17" s="175"/>
    </row>
    <row r="18" spans="1:44" ht="17.5" x14ac:dyDescent="0.45">
      <c r="A18" s="275" t="s">
        <v>756</v>
      </c>
      <c r="B18" s="1" t="s">
        <v>491</v>
      </c>
      <c r="F18" s="75"/>
      <c r="G18" s="75"/>
      <c r="H18" s="31"/>
      <c r="I18" s="90"/>
      <c r="J18" s="85"/>
      <c r="K18" s="85"/>
      <c r="L18" s="91"/>
      <c r="M18" s="85"/>
      <c r="N18" s="85"/>
      <c r="O18" s="91"/>
      <c r="P18" s="85"/>
      <c r="Q18" s="85"/>
      <c r="R18" s="92"/>
      <c r="S18" s="85"/>
      <c r="T18" s="85"/>
      <c r="U18" s="92">
        <v>16</v>
      </c>
      <c r="V18" s="85"/>
      <c r="W18" s="85"/>
      <c r="X18" s="92"/>
      <c r="Y18" s="85"/>
      <c r="Z18" s="85"/>
      <c r="AA18" s="92"/>
      <c r="AB18" s="85"/>
      <c r="AC18" s="85"/>
      <c r="AD18" s="92"/>
      <c r="AE18" s="85"/>
      <c r="AF18" s="85"/>
      <c r="AG18" s="92"/>
      <c r="AH18" s="85"/>
      <c r="AI18" s="85"/>
      <c r="AJ18" s="92"/>
      <c r="AK18" s="85"/>
      <c r="AL18" s="85"/>
      <c r="AM18" s="92"/>
      <c r="AN18" s="85"/>
      <c r="AO18" s="85"/>
      <c r="AP18" s="92"/>
      <c r="AQ18" s="85"/>
      <c r="AR18" s="175"/>
    </row>
    <row r="19" spans="1:44" ht="17.5" x14ac:dyDescent="0.45">
      <c r="A19" s="275" t="s">
        <v>756</v>
      </c>
      <c r="B19" s="1" t="s">
        <v>494</v>
      </c>
      <c r="F19" s="75"/>
      <c r="G19" s="75"/>
      <c r="H19" s="31"/>
      <c r="I19" s="90"/>
      <c r="J19" s="85"/>
      <c r="K19" s="85"/>
      <c r="L19" s="91"/>
      <c r="M19" s="85"/>
      <c r="N19" s="85"/>
      <c r="O19" s="91"/>
      <c r="P19" s="85"/>
      <c r="Q19" s="85"/>
      <c r="R19" s="92"/>
      <c r="S19" s="85"/>
      <c r="T19" s="85"/>
      <c r="U19" s="92">
        <v>17</v>
      </c>
      <c r="V19" s="85">
        <v>23</v>
      </c>
      <c r="W19" s="85"/>
      <c r="X19" s="92"/>
      <c r="Y19" s="85"/>
      <c r="Z19" s="85"/>
      <c r="AA19" s="92"/>
      <c r="AB19" s="85"/>
      <c r="AC19" s="85"/>
      <c r="AD19" s="92"/>
      <c r="AE19" s="85"/>
      <c r="AF19" s="85"/>
      <c r="AG19" s="92"/>
      <c r="AH19" s="85"/>
      <c r="AI19" s="85"/>
      <c r="AJ19" s="92"/>
      <c r="AK19" s="85"/>
      <c r="AL19" s="85"/>
      <c r="AM19" s="92"/>
      <c r="AN19" s="85"/>
      <c r="AO19" s="85"/>
      <c r="AP19" s="92"/>
      <c r="AQ19" s="85"/>
      <c r="AR19" s="175"/>
    </row>
    <row r="20" spans="1:44" ht="17.5" x14ac:dyDescent="0.45">
      <c r="A20" s="275" t="s">
        <v>756</v>
      </c>
      <c r="B20" s="1" t="s">
        <v>495</v>
      </c>
      <c r="F20" s="75"/>
      <c r="G20" s="75"/>
      <c r="H20" s="31"/>
      <c r="I20" s="90"/>
      <c r="J20" s="85"/>
      <c r="K20" s="85"/>
      <c r="L20" s="91"/>
      <c r="M20" s="85"/>
      <c r="N20" s="85"/>
      <c r="O20" s="91"/>
      <c r="P20" s="85"/>
      <c r="Q20" s="85"/>
      <c r="R20" s="92"/>
      <c r="S20" s="85"/>
      <c r="T20" s="85"/>
      <c r="U20" s="92">
        <v>20</v>
      </c>
      <c r="V20" s="85"/>
      <c r="W20" s="85"/>
      <c r="X20" s="92"/>
      <c r="Y20" s="85"/>
      <c r="Z20" s="85"/>
      <c r="AA20" s="92"/>
      <c r="AB20" s="85"/>
      <c r="AC20" s="85"/>
      <c r="AD20" s="92"/>
      <c r="AE20" s="85"/>
      <c r="AF20" s="85"/>
      <c r="AG20" s="92"/>
      <c r="AH20" s="85"/>
      <c r="AI20" s="85"/>
      <c r="AJ20" s="92"/>
      <c r="AK20" s="85"/>
      <c r="AL20" s="85"/>
      <c r="AM20" s="92"/>
      <c r="AN20" s="85"/>
      <c r="AO20" s="85"/>
      <c r="AP20" s="92"/>
      <c r="AQ20" s="85"/>
      <c r="AR20" s="175"/>
    </row>
    <row r="21" spans="1:44" ht="17.5" x14ac:dyDescent="0.45">
      <c r="A21" s="275" t="s">
        <v>756</v>
      </c>
      <c r="B21" s="1" t="s">
        <v>496</v>
      </c>
      <c r="E21" s="1" t="s">
        <v>497</v>
      </c>
      <c r="F21" s="75"/>
      <c r="G21" s="75"/>
      <c r="H21" s="31"/>
      <c r="I21" s="90"/>
      <c r="J21" s="85"/>
      <c r="K21" s="85"/>
      <c r="L21" s="91"/>
      <c r="M21" s="85"/>
      <c r="N21" s="85"/>
      <c r="O21" s="91"/>
      <c r="P21" s="85"/>
      <c r="Q21" s="85"/>
      <c r="R21" s="92"/>
      <c r="S21" s="85"/>
      <c r="T21" s="85"/>
      <c r="U21" s="92">
        <v>19</v>
      </c>
      <c r="V21" s="85">
        <v>90</v>
      </c>
      <c r="W21" s="85"/>
      <c r="X21" s="92"/>
      <c r="Y21" s="85"/>
      <c r="Z21" s="85"/>
      <c r="AA21" s="92"/>
      <c r="AB21" s="85"/>
      <c r="AC21" s="85"/>
      <c r="AD21" s="92"/>
      <c r="AE21" s="85"/>
      <c r="AF21" s="85"/>
      <c r="AG21" s="92"/>
      <c r="AH21" s="85"/>
      <c r="AI21" s="85"/>
      <c r="AJ21" s="92"/>
      <c r="AK21" s="85"/>
      <c r="AL21" s="85"/>
      <c r="AM21" s="92"/>
      <c r="AN21" s="85"/>
      <c r="AO21" s="85"/>
      <c r="AP21" s="92"/>
      <c r="AQ21" s="85"/>
      <c r="AR21" s="175"/>
    </row>
    <row r="22" spans="1:44" ht="17.5" x14ac:dyDescent="0.45">
      <c r="A22" s="275" t="s">
        <v>756</v>
      </c>
      <c r="B22" s="1" t="s">
        <v>500</v>
      </c>
      <c r="F22" s="75"/>
      <c r="G22" s="75"/>
      <c r="H22" s="31"/>
      <c r="I22" s="90"/>
      <c r="J22" s="85"/>
      <c r="K22" s="85"/>
      <c r="L22" s="91"/>
      <c r="M22" s="85"/>
      <c r="N22" s="85"/>
      <c r="O22" s="91"/>
      <c r="P22" s="85"/>
      <c r="Q22" s="85"/>
      <c r="R22" s="92"/>
      <c r="S22" s="85"/>
      <c r="T22" s="85"/>
      <c r="U22" s="92">
        <v>28</v>
      </c>
      <c r="V22" s="85">
        <v>34</v>
      </c>
      <c r="W22" s="85"/>
      <c r="X22" s="92">
        <v>1</v>
      </c>
      <c r="Y22" s="85">
        <v>20</v>
      </c>
      <c r="Z22" s="85"/>
      <c r="AA22" s="92"/>
      <c r="AB22" s="85"/>
      <c r="AC22" s="85"/>
      <c r="AD22" s="92"/>
      <c r="AE22" s="85"/>
      <c r="AF22" s="85"/>
      <c r="AG22" s="92"/>
      <c r="AH22" s="85"/>
      <c r="AI22" s="85"/>
      <c r="AJ22" s="92"/>
      <c r="AK22" s="85"/>
      <c r="AL22" s="85"/>
      <c r="AM22" s="92"/>
      <c r="AN22" s="85"/>
      <c r="AO22" s="85"/>
      <c r="AP22" s="92"/>
      <c r="AQ22" s="85"/>
      <c r="AR22" s="175"/>
    </row>
    <row r="23" spans="1:44" ht="17.5" x14ac:dyDescent="0.45">
      <c r="A23" s="275" t="s">
        <v>756</v>
      </c>
      <c r="B23" s="1" t="s">
        <v>501</v>
      </c>
      <c r="F23" s="75"/>
      <c r="G23" s="75"/>
      <c r="H23" s="31"/>
      <c r="I23" s="90"/>
      <c r="J23" s="85"/>
      <c r="K23" s="85"/>
      <c r="L23" s="91"/>
      <c r="M23" s="85"/>
      <c r="N23" s="85"/>
      <c r="O23" s="91"/>
      <c r="P23" s="85"/>
      <c r="Q23" s="85"/>
      <c r="R23" s="92"/>
      <c r="S23" s="85"/>
      <c r="T23" s="85"/>
      <c r="U23" s="92">
        <v>8</v>
      </c>
      <c r="V23" s="85">
        <v>30</v>
      </c>
      <c r="W23" s="85"/>
      <c r="X23" s="92"/>
      <c r="Y23" s="85"/>
      <c r="Z23" s="85"/>
      <c r="AA23" s="92"/>
      <c r="AB23" s="85"/>
      <c r="AC23" s="85"/>
      <c r="AD23" s="92"/>
      <c r="AE23" s="85"/>
      <c r="AF23" s="85"/>
      <c r="AG23" s="92"/>
      <c r="AH23" s="85"/>
      <c r="AI23" s="85"/>
      <c r="AJ23" s="92"/>
      <c r="AK23" s="85"/>
      <c r="AL23" s="85"/>
      <c r="AM23" s="92"/>
      <c r="AN23" s="85"/>
      <c r="AO23" s="85"/>
      <c r="AP23" s="92"/>
      <c r="AQ23" s="85"/>
      <c r="AR23" s="175"/>
    </row>
    <row r="24" spans="1:44" ht="17.5" x14ac:dyDescent="0.45">
      <c r="A24" s="275" t="s">
        <v>756</v>
      </c>
      <c r="B24" s="1" t="s">
        <v>505</v>
      </c>
      <c r="F24" s="75"/>
      <c r="G24" s="75"/>
      <c r="H24" s="31"/>
      <c r="I24" s="90"/>
      <c r="J24" s="85"/>
      <c r="K24" s="85"/>
      <c r="L24" s="91"/>
      <c r="M24" s="85"/>
      <c r="N24" s="85"/>
      <c r="O24" s="91"/>
      <c r="P24" s="85"/>
      <c r="Q24" s="85"/>
      <c r="R24" s="92"/>
      <c r="S24" s="85"/>
      <c r="T24" s="85"/>
      <c r="U24" s="92">
        <v>31</v>
      </c>
      <c r="V24" s="85">
        <v>17.5</v>
      </c>
      <c r="W24" s="85"/>
      <c r="X24" s="92"/>
      <c r="Y24" s="85"/>
      <c r="Z24" s="85"/>
      <c r="AA24" s="92"/>
      <c r="AB24" s="85"/>
      <c r="AC24" s="85"/>
      <c r="AD24" s="92"/>
      <c r="AE24" s="85"/>
      <c r="AF24" s="85"/>
      <c r="AG24" s="92"/>
      <c r="AH24" s="85"/>
      <c r="AI24" s="85"/>
      <c r="AJ24" s="92"/>
      <c r="AK24" s="85"/>
      <c r="AL24" s="85"/>
      <c r="AM24" s="92"/>
      <c r="AN24" s="85"/>
      <c r="AO24" s="85"/>
      <c r="AP24" s="92"/>
      <c r="AQ24" s="85"/>
      <c r="AR24" s="175"/>
    </row>
    <row r="25" spans="1:44" ht="17.5" x14ac:dyDescent="0.45">
      <c r="A25" s="275" t="s">
        <v>190</v>
      </c>
      <c r="B25" s="1" t="s">
        <v>523</v>
      </c>
      <c r="F25" s="75"/>
      <c r="G25" s="75"/>
      <c r="H25" s="31"/>
      <c r="I25" s="90"/>
      <c r="J25" s="85"/>
      <c r="K25" s="85"/>
      <c r="L25" s="91"/>
      <c r="M25" s="85"/>
      <c r="N25" s="85"/>
      <c r="O25" s="91"/>
      <c r="P25" s="85"/>
      <c r="Q25" s="85"/>
      <c r="R25" s="92"/>
      <c r="S25" s="85"/>
      <c r="T25" s="85"/>
      <c r="U25" s="92">
        <v>25</v>
      </c>
      <c r="V25" s="85">
        <v>30.5</v>
      </c>
      <c r="W25" s="85"/>
      <c r="X25" s="92"/>
      <c r="Y25" s="85"/>
      <c r="Z25" s="85"/>
      <c r="AA25" s="92"/>
      <c r="AB25" s="85"/>
      <c r="AC25" s="85"/>
      <c r="AD25" s="92"/>
      <c r="AE25" s="85"/>
      <c r="AF25" s="85"/>
      <c r="AG25" s="92"/>
      <c r="AH25" s="85"/>
      <c r="AI25" s="85"/>
      <c r="AJ25" s="92"/>
      <c r="AK25" s="85"/>
      <c r="AL25" s="85"/>
      <c r="AM25" s="92"/>
      <c r="AN25" s="85"/>
      <c r="AO25" s="85"/>
      <c r="AP25" s="92"/>
      <c r="AQ25" s="85"/>
      <c r="AR25" s="175"/>
    </row>
    <row r="26" spans="1:44" ht="17.5" x14ac:dyDescent="0.45">
      <c r="A26" s="275" t="s">
        <v>756</v>
      </c>
      <c r="B26" s="1" t="s">
        <v>505</v>
      </c>
      <c r="F26" s="75"/>
      <c r="G26" s="75"/>
      <c r="H26" s="31"/>
      <c r="I26" s="90"/>
      <c r="J26" s="85"/>
      <c r="K26" s="85"/>
      <c r="L26" s="91"/>
      <c r="M26" s="85"/>
      <c r="N26" s="85"/>
      <c r="O26" s="91"/>
      <c r="P26" s="85"/>
      <c r="Q26" s="85"/>
      <c r="R26" s="92"/>
      <c r="S26" s="85"/>
      <c r="T26" s="85"/>
      <c r="U26" s="92"/>
      <c r="V26" s="85"/>
      <c r="W26" s="85"/>
      <c r="X26" s="92">
        <v>1</v>
      </c>
      <c r="Y26" s="85">
        <v>16.5</v>
      </c>
      <c r="Z26" s="85"/>
      <c r="AA26" s="92"/>
      <c r="AB26" s="85"/>
      <c r="AC26" s="85"/>
      <c r="AD26" s="92"/>
      <c r="AE26" s="85"/>
      <c r="AF26" s="85"/>
      <c r="AG26" s="92"/>
      <c r="AH26" s="85"/>
      <c r="AI26" s="85"/>
      <c r="AJ26" s="92"/>
      <c r="AK26" s="85"/>
      <c r="AL26" s="85"/>
      <c r="AM26" s="92"/>
      <c r="AN26" s="85"/>
      <c r="AO26" s="85"/>
      <c r="AP26" s="92"/>
      <c r="AQ26" s="85"/>
      <c r="AR26" s="175"/>
    </row>
    <row r="27" spans="1:44" ht="17.5" x14ac:dyDescent="0.45">
      <c r="A27" s="275" t="s">
        <v>756</v>
      </c>
      <c r="B27" s="1" t="s">
        <v>505</v>
      </c>
      <c r="F27" s="75"/>
      <c r="G27" s="75"/>
      <c r="H27" s="31"/>
      <c r="I27" s="90"/>
      <c r="J27" s="85"/>
      <c r="K27" s="85"/>
      <c r="L27" s="91"/>
      <c r="M27" s="85"/>
      <c r="N27" s="85"/>
      <c r="O27" s="91"/>
      <c r="P27" s="85"/>
      <c r="Q27" s="85"/>
      <c r="R27" s="92"/>
      <c r="S27" s="85"/>
      <c r="T27" s="85"/>
      <c r="U27" s="92"/>
      <c r="V27" s="85"/>
      <c r="W27" s="85"/>
      <c r="X27" s="92">
        <v>10</v>
      </c>
      <c r="Y27" s="85">
        <v>4</v>
      </c>
      <c r="Z27" s="85"/>
      <c r="AA27" s="92"/>
      <c r="AB27" s="85"/>
      <c r="AC27" s="85"/>
      <c r="AD27" s="92"/>
      <c r="AE27" s="85"/>
      <c r="AF27" s="85"/>
      <c r="AG27" s="92"/>
      <c r="AH27" s="85"/>
      <c r="AI27" s="85"/>
      <c r="AJ27" s="92"/>
      <c r="AK27" s="85"/>
      <c r="AL27" s="85"/>
      <c r="AM27" s="92"/>
      <c r="AN27" s="85"/>
      <c r="AO27" s="85"/>
      <c r="AP27" s="92"/>
      <c r="AQ27" s="85"/>
      <c r="AR27" s="175"/>
    </row>
    <row r="28" spans="1:44" ht="17.5" x14ac:dyDescent="0.45">
      <c r="A28" s="275" t="s">
        <v>756</v>
      </c>
      <c r="B28" s="1" t="s">
        <v>505</v>
      </c>
      <c r="F28" s="75"/>
      <c r="G28" s="75"/>
      <c r="H28" s="31"/>
      <c r="I28" s="90"/>
      <c r="J28" s="85"/>
      <c r="K28" s="85"/>
      <c r="L28" s="91"/>
      <c r="M28" s="85"/>
      <c r="N28" s="85"/>
      <c r="O28" s="91"/>
      <c r="P28" s="85"/>
      <c r="Q28" s="85"/>
      <c r="R28" s="92"/>
      <c r="S28" s="85"/>
      <c r="T28" s="85"/>
      <c r="U28" s="92"/>
      <c r="V28" s="85"/>
      <c r="W28" s="85"/>
      <c r="X28" s="92">
        <v>6</v>
      </c>
      <c r="Y28" s="85">
        <v>3</v>
      </c>
      <c r="Z28" s="85"/>
      <c r="AA28" s="92"/>
      <c r="AB28" s="85"/>
      <c r="AC28" s="85"/>
      <c r="AD28" s="92"/>
      <c r="AE28" s="85"/>
      <c r="AF28" s="85"/>
      <c r="AG28" s="92"/>
      <c r="AH28" s="85"/>
      <c r="AI28" s="85"/>
      <c r="AJ28" s="92"/>
      <c r="AK28" s="85"/>
      <c r="AL28" s="85"/>
      <c r="AM28" s="92"/>
      <c r="AN28" s="85"/>
      <c r="AO28" s="85"/>
      <c r="AP28" s="92"/>
      <c r="AQ28" s="85"/>
      <c r="AR28" s="175"/>
    </row>
    <row r="29" spans="1:44" ht="17.5" x14ac:dyDescent="0.45">
      <c r="A29" s="275" t="s">
        <v>190</v>
      </c>
      <c r="B29" s="1" t="s">
        <v>523</v>
      </c>
      <c r="F29" s="75"/>
      <c r="G29" s="75"/>
      <c r="H29" s="31"/>
      <c r="I29" s="90"/>
      <c r="J29" s="85"/>
      <c r="K29" s="85"/>
      <c r="L29" s="91"/>
      <c r="M29" s="85"/>
      <c r="N29" s="85"/>
      <c r="O29" s="91"/>
      <c r="P29" s="85"/>
      <c r="Q29" s="85"/>
      <c r="R29" s="92"/>
      <c r="S29" s="85"/>
      <c r="T29" s="85"/>
      <c r="U29" s="92"/>
      <c r="V29" s="85"/>
      <c r="W29" s="85"/>
      <c r="X29" s="92">
        <v>25</v>
      </c>
      <c r="Y29" s="85">
        <v>30.5</v>
      </c>
      <c r="Z29" s="85"/>
      <c r="AA29" s="92"/>
      <c r="AB29" s="85"/>
      <c r="AC29" s="85"/>
      <c r="AD29" s="92"/>
      <c r="AE29" s="85"/>
      <c r="AF29" s="85"/>
      <c r="AG29" s="92"/>
      <c r="AH29" s="85"/>
      <c r="AI29" s="85"/>
      <c r="AJ29" s="92"/>
      <c r="AK29" s="85"/>
      <c r="AL29" s="85"/>
      <c r="AM29" s="92"/>
      <c r="AN29" s="85"/>
      <c r="AO29" s="85"/>
      <c r="AP29" s="92"/>
      <c r="AQ29" s="85"/>
      <c r="AR29" s="175"/>
    </row>
    <row r="30" spans="1:44" ht="17.5" x14ac:dyDescent="0.45">
      <c r="A30" s="275" t="s">
        <v>756</v>
      </c>
      <c r="B30" s="1" t="s">
        <v>521</v>
      </c>
      <c r="F30" s="75"/>
      <c r="G30" s="75"/>
      <c r="H30" s="31"/>
      <c r="I30" s="90"/>
      <c r="J30" s="85"/>
      <c r="K30" s="85"/>
      <c r="L30" s="91"/>
      <c r="M30" s="85"/>
      <c r="N30" s="85"/>
      <c r="O30" s="91"/>
      <c r="P30" s="85"/>
      <c r="Q30" s="85"/>
      <c r="R30" s="92"/>
      <c r="S30" s="85"/>
      <c r="T30" s="85"/>
      <c r="U30" s="92"/>
      <c r="V30" s="85"/>
      <c r="W30" s="85"/>
      <c r="X30" s="92"/>
      <c r="Y30" s="85"/>
      <c r="Z30" s="85"/>
      <c r="AA30" s="92">
        <v>7</v>
      </c>
      <c r="AB30" s="85">
        <v>11.6</v>
      </c>
      <c r="AC30" s="85"/>
      <c r="AD30" s="92"/>
      <c r="AE30" s="85"/>
      <c r="AF30" s="85"/>
      <c r="AG30" s="92"/>
      <c r="AH30" s="85"/>
      <c r="AI30" s="85"/>
      <c r="AJ30" s="92"/>
      <c r="AK30" s="85"/>
      <c r="AL30" s="85"/>
      <c r="AM30" s="92"/>
      <c r="AN30" s="85"/>
      <c r="AO30" s="85"/>
      <c r="AP30" s="92"/>
      <c r="AQ30" s="85"/>
      <c r="AR30" s="175"/>
    </row>
    <row r="31" spans="1:44" ht="17.5" x14ac:dyDescent="0.45">
      <c r="A31" s="275" t="s">
        <v>190</v>
      </c>
      <c r="B31" s="1" t="s">
        <v>522</v>
      </c>
      <c r="F31" s="75"/>
      <c r="G31" s="75"/>
      <c r="H31" s="31"/>
      <c r="I31" s="90"/>
      <c r="J31" s="85"/>
      <c r="K31" s="85"/>
      <c r="L31" s="91"/>
      <c r="M31" s="85"/>
      <c r="N31" s="85"/>
      <c r="O31" s="91"/>
      <c r="P31" s="85"/>
      <c r="Q31" s="85"/>
      <c r="R31" s="92"/>
      <c r="S31" s="85"/>
      <c r="T31" s="85"/>
      <c r="U31" s="92"/>
      <c r="V31" s="85"/>
      <c r="W31" s="85"/>
      <c r="X31" s="92"/>
      <c r="Y31" s="85"/>
      <c r="Z31" s="85"/>
      <c r="AA31" s="92">
        <v>11</v>
      </c>
      <c r="AB31" s="85">
        <v>75</v>
      </c>
      <c r="AC31" s="85"/>
      <c r="AD31" s="92"/>
      <c r="AE31" s="85"/>
      <c r="AF31" s="85"/>
      <c r="AG31" s="92"/>
      <c r="AH31" s="85"/>
      <c r="AI31" s="85"/>
      <c r="AJ31" s="92"/>
      <c r="AK31" s="85"/>
      <c r="AL31" s="85"/>
      <c r="AM31" s="92"/>
      <c r="AN31" s="85"/>
      <c r="AO31" s="85"/>
      <c r="AP31" s="92"/>
      <c r="AQ31" s="85"/>
      <c r="AR31" s="175"/>
    </row>
    <row r="32" spans="1:44" ht="17.5" x14ac:dyDescent="0.45">
      <c r="A32" s="275" t="s">
        <v>190</v>
      </c>
      <c r="B32" s="1" t="s">
        <v>523</v>
      </c>
      <c r="F32" s="75"/>
      <c r="G32" s="75"/>
      <c r="H32" s="31"/>
      <c r="I32" s="90"/>
      <c r="J32" s="85"/>
      <c r="K32" s="85"/>
      <c r="L32" s="91"/>
      <c r="M32" s="85"/>
      <c r="N32" s="85"/>
      <c r="O32" s="91"/>
      <c r="P32" s="85"/>
      <c r="Q32" s="85"/>
      <c r="R32" s="92"/>
      <c r="S32" s="85"/>
      <c r="T32" s="85"/>
      <c r="U32" s="92"/>
      <c r="V32" s="85"/>
      <c r="W32" s="85"/>
      <c r="X32" s="92"/>
      <c r="Y32" s="85"/>
      <c r="Z32" s="85"/>
      <c r="AA32" s="92">
        <v>25</v>
      </c>
      <c r="AB32" s="85">
        <v>30.5</v>
      </c>
      <c r="AC32" s="85"/>
      <c r="AD32" s="92"/>
      <c r="AE32" s="85"/>
      <c r="AF32" s="85"/>
      <c r="AG32" s="92"/>
      <c r="AH32" s="85"/>
      <c r="AI32" s="85"/>
      <c r="AJ32" s="92"/>
      <c r="AK32" s="85"/>
      <c r="AL32" s="85"/>
      <c r="AM32" s="92"/>
      <c r="AN32" s="85"/>
      <c r="AO32" s="85"/>
      <c r="AP32" s="92"/>
      <c r="AQ32" s="85"/>
      <c r="AR32" s="175"/>
    </row>
    <row r="33" spans="1:44" ht="17.5" x14ac:dyDescent="0.45">
      <c r="A33" s="275" t="s">
        <v>756</v>
      </c>
      <c r="B33" s="1" t="s">
        <v>762</v>
      </c>
      <c r="F33" s="75"/>
      <c r="G33" s="75"/>
      <c r="H33" s="31"/>
      <c r="I33" s="90"/>
      <c r="J33" s="85"/>
      <c r="K33" s="85"/>
      <c r="L33" s="91"/>
      <c r="M33" s="85"/>
      <c r="N33" s="85"/>
      <c r="O33" s="91"/>
      <c r="P33" s="85"/>
      <c r="Q33" s="85"/>
      <c r="R33" s="92"/>
      <c r="S33" s="85"/>
      <c r="T33" s="85"/>
      <c r="U33" s="92"/>
      <c r="V33" s="85"/>
      <c r="W33" s="85"/>
      <c r="X33" s="92"/>
      <c r="Y33" s="85"/>
      <c r="Z33" s="85"/>
      <c r="AA33" s="92"/>
      <c r="AB33" s="85"/>
      <c r="AC33" s="85"/>
      <c r="AD33" s="92">
        <v>15</v>
      </c>
      <c r="AE33" s="85">
        <v>10</v>
      </c>
      <c r="AF33" s="85"/>
      <c r="AG33" s="92"/>
      <c r="AH33" s="85"/>
      <c r="AI33" s="85"/>
      <c r="AJ33" s="92"/>
      <c r="AK33" s="85"/>
      <c r="AL33" s="85"/>
      <c r="AM33" s="92"/>
      <c r="AN33" s="85"/>
      <c r="AO33" s="85"/>
      <c r="AP33" s="92"/>
      <c r="AQ33" s="85"/>
      <c r="AR33" s="175"/>
    </row>
    <row r="34" spans="1:44" ht="17.5" x14ac:dyDescent="0.45">
      <c r="A34" s="275" t="s">
        <v>190</v>
      </c>
      <c r="B34" s="1" t="s">
        <v>523</v>
      </c>
      <c r="F34" s="75"/>
      <c r="G34" s="75"/>
      <c r="H34" s="31"/>
      <c r="I34" s="90"/>
      <c r="J34" s="85"/>
      <c r="K34" s="85"/>
      <c r="L34" s="91"/>
      <c r="M34" s="85"/>
      <c r="N34" s="85"/>
      <c r="O34" s="91"/>
      <c r="P34" s="85"/>
      <c r="Q34" s="85"/>
      <c r="R34" s="92"/>
      <c r="S34" s="85"/>
      <c r="T34" s="85"/>
      <c r="U34" s="92"/>
      <c r="V34" s="85"/>
      <c r="W34" s="85"/>
      <c r="X34" s="92"/>
      <c r="Y34" s="85"/>
      <c r="Z34" s="85"/>
      <c r="AA34" s="92"/>
      <c r="AB34" s="85"/>
      <c r="AC34" s="85"/>
      <c r="AD34" s="92">
        <v>25</v>
      </c>
      <c r="AE34" s="85">
        <v>30.5</v>
      </c>
      <c r="AF34" s="85"/>
      <c r="AG34" s="92"/>
      <c r="AH34" s="85"/>
      <c r="AI34" s="85"/>
      <c r="AJ34" s="92"/>
      <c r="AK34" s="85"/>
      <c r="AL34" s="85"/>
      <c r="AM34" s="92"/>
      <c r="AN34" s="85"/>
      <c r="AO34" s="85"/>
      <c r="AP34" s="92"/>
      <c r="AQ34" s="85"/>
      <c r="AR34" s="175"/>
    </row>
    <row r="35" spans="1:44" ht="17.5" x14ac:dyDescent="0.45">
      <c r="A35" s="275" t="s">
        <v>758</v>
      </c>
      <c r="B35" s="1" t="s">
        <v>518</v>
      </c>
      <c r="F35" s="75"/>
      <c r="G35" s="75"/>
      <c r="H35" s="31"/>
      <c r="I35" s="90"/>
      <c r="J35" s="85"/>
      <c r="K35" s="85"/>
      <c r="L35" s="91"/>
      <c r="M35" s="85"/>
      <c r="N35" s="85"/>
      <c r="O35" s="91"/>
      <c r="P35" s="85"/>
      <c r="Q35" s="85"/>
      <c r="R35" s="92"/>
      <c r="S35" s="85"/>
      <c r="T35" s="85"/>
      <c r="U35" s="92"/>
      <c r="V35" s="85"/>
      <c r="W35" s="85"/>
      <c r="X35" s="92"/>
      <c r="Y35" s="85"/>
      <c r="Z35" s="85"/>
      <c r="AA35" s="92"/>
      <c r="AB35" s="85"/>
      <c r="AC35" s="85"/>
      <c r="AD35" s="92"/>
      <c r="AE35" s="85"/>
      <c r="AF35" s="85"/>
      <c r="AG35" s="92">
        <v>5</v>
      </c>
      <c r="AH35" s="85">
        <v>91.2</v>
      </c>
      <c r="AI35" s="85"/>
      <c r="AJ35" s="92"/>
      <c r="AK35" s="85"/>
      <c r="AL35" s="85"/>
      <c r="AM35" s="92"/>
      <c r="AN35" s="85"/>
      <c r="AO35" s="85"/>
      <c r="AP35" s="92"/>
      <c r="AQ35" s="85"/>
      <c r="AR35" s="175"/>
    </row>
    <row r="36" spans="1:44" ht="17.5" x14ac:dyDescent="0.45">
      <c r="A36" s="275" t="s">
        <v>190</v>
      </c>
      <c r="B36" s="1" t="s">
        <v>522</v>
      </c>
      <c r="F36" s="75"/>
      <c r="G36" s="75"/>
      <c r="H36" s="31"/>
      <c r="I36" s="90"/>
      <c r="J36" s="85"/>
      <c r="K36" s="85"/>
      <c r="L36" s="91"/>
      <c r="M36" s="85"/>
      <c r="N36" s="85"/>
      <c r="O36" s="91"/>
      <c r="P36" s="85"/>
      <c r="Q36" s="85"/>
      <c r="R36" s="92"/>
      <c r="S36" s="85"/>
      <c r="T36" s="85"/>
      <c r="U36" s="92"/>
      <c r="V36" s="85"/>
      <c r="W36" s="85"/>
      <c r="X36" s="92"/>
      <c r="Y36" s="85"/>
      <c r="Z36" s="85"/>
      <c r="AA36" s="92"/>
      <c r="AB36" s="85"/>
      <c r="AC36" s="85"/>
      <c r="AD36" s="92"/>
      <c r="AE36" s="85"/>
      <c r="AF36" s="85"/>
      <c r="AG36" s="92">
        <v>19</v>
      </c>
      <c r="AH36" s="85">
        <v>75</v>
      </c>
      <c r="AI36" s="85"/>
      <c r="AJ36" s="92"/>
      <c r="AK36" s="85"/>
      <c r="AL36" s="85"/>
      <c r="AM36" s="92"/>
      <c r="AN36" s="85"/>
      <c r="AO36" s="85"/>
      <c r="AP36" s="92"/>
      <c r="AQ36" s="85"/>
      <c r="AR36" s="175"/>
    </row>
    <row r="37" spans="1:44" ht="17.5" x14ac:dyDescent="0.45">
      <c r="A37" s="275" t="s">
        <v>190</v>
      </c>
      <c r="B37" s="1" t="s">
        <v>523</v>
      </c>
      <c r="F37" s="75"/>
      <c r="G37" s="75"/>
      <c r="H37" s="31"/>
      <c r="I37" s="90"/>
      <c r="J37" s="85"/>
      <c r="K37" s="85"/>
      <c r="L37" s="91"/>
      <c r="M37" s="85"/>
      <c r="N37" s="85"/>
      <c r="O37" s="91"/>
      <c r="P37" s="85"/>
      <c r="Q37" s="85"/>
      <c r="R37" s="92"/>
      <c r="S37" s="85"/>
      <c r="T37" s="85"/>
      <c r="U37" s="92"/>
      <c r="V37" s="85"/>
      <c r="W37" s="85"/>
      <c r="X37" s="92"/>
      <c r="Y37" s="85"/>
      <c r="Z37" s="85"/>
      <c r="AA37" s="92"/>
      <c r="AB37" s="85"/>
      <c r="AC37" s="85"/>
      <c r="AD37" s="92"/>
      <c r="AE37" s="85"/>
      <c r="AF37" s="85"/>
      <c r="AG37" s="92">
        <v>25</v>
      </c>
      <c r="AH37" s="85">
        <v>30.5</v>
      </c>
      <c r="AI37" s="85"/>
      <c r="AJ37" s="92"/>
      <c r="AK37" s="85"/>
      <c r="AL37" s="85"/>
      <c r="AM37" s="92"/>
      <c r="AN37" s="85"/>
      <c r="AO37" s="85"/>
      <c r="AP37" s="92"/>
      <c r="AQ37" s="85"/>
      <c r="AR37" s="175"/>
    </row>
    <row r="38" spans="1:44" ht="17.5" x14ac:dyDescent="0.45">
      <c r="A38" s="275" t="s">
        <v>756</v>
      </c>
      <c r="B38" s="1" t="s">
        <v>519</v>
      </c>
      <c r="F38" s="75"/>
      <c r="G38" s="75"/>
      <c r="H38" s="31"/>
      <c r="I38" s="90"/>
      <c r="J38" s="85"/>
      <c r="K38" s="85"/>
      <c r="L38" s="91"/>
      <c r="M38" s="85"/>
      <c r="N38" s="85"/>
      <c r="O38" s="91"/>
      <c r="P38" s="85"/>
      <c r="Q38" s="85"/>
      <c r="R38" s="92"/>
      <c r="S38" s="85"/>
      <c r="T38" s="85"/>
      <c r="U38" s="92"/>
      <c r="V38" s="85"/>
      <c r="W38" s="85"/>
      <c r="X38" s="92"/>
      <c r="Y38" s="85"/>
      <c r="Z38" s="85"/>
      <c r="AA38" s="92"/>
      <c r="AB38" s="85"/>
      <c r="AC38" s="85"/>
      <c r="AD38" s="92"/>
      <c r="AE38" s="85"/>
      <c r="AF38" s="85"/>
      <c r="AG38" s="92"/>
      <c r="AH38" s="85"/>
      <c r="AI38" s="85"/>
      <c r="AJ38" s="92">
        <v>2</v>
      </c>
      <c r="AK38" s="85">
        <v>350</v>
      </c>
      <c r="AL38" s="85"/>
      <c r="AM38" s="92"/>
      <c r="AN38" s="85"/>
      <c r="AO38" s="85"/>
      <c r="AP38" s="92"/>
      <c r="AQ38" s="85"/>
      <c r="AR38" s="175"/>
    </row>
    <row r="39" spans="1:44" ht="17.5" x14ac:dyDescent="0.45">
      <c r="A39" s="275" t="s">
        <v>756</v>
      </c>
      <c r="B39" s="1" t="s">
        <v>520</v>
      </c>
      <c r="F39" s="75"/>
      <c r="G39" s="75"/>
      <c r="H39" s="31"/>
      <c r="I39" s="90"/>
      <c r="J39" s="85"/>
      <c r="K39" s="85"/>
      <c r="L39" s="91"/>
      <c r="M39" s="85"/>
      <c r="N39" s="85"/>
      <c r="O39" s="91"/>
      <c r="P39" s="85"/>
      <c r="Q39" s="85"/>
      <c r="R39" s="92"/>
      <c r="S39" s="85"/>
      <c r="T39" s="85"/>
      <c r="U39" s="92"/>
      <c r="V39" s="85"/>
      <c r="W39" s="85"/>
      <c r="X39" s="92"/>
      <c r="Y39" s="85"/>
      <c r="Z39" s="85"/>
      <c r="AA39" s="92"/>
      <c r="AB39" s="85"/>
      <c r="AC39" s="85"/>
      <c r="AD39" s="92"/>
      <c r="AE39" s="85"/>
      <c r="AF39" s="85"/>
      <c r="AG39" s="92"/>
      <c r="AH39" s="85"/>
      <c r="AI39" s="85"/>
      <c r="AJ39" s="92">
        <v>2</v>
      </c>
      <c r="AK39" s="85">
        <v>50</v>
      </c>
      <c r="AL39" s="85"/>
      <c r="AM39" s="92"/>
      <c r="AN39" s="85"/>
      <c r="AO39" s="85"/>
      <c r="AP39" s="92"/>
      <c r="AQ39" s="85"/>
      <c r="AR39" s="175"/>
    </row>
    <row r="40" spans="1:44" ht="17.5" x14ac:dyDescent="0.45">
      <c r="A40" s="275" t="s">
        <v>756</v>
      </c>
      <c r="B40" s="1" t="s">
        <v>524</v>
      </c>
      <c r="F40" s="75"/>
      <c r="G40" s="75"/>
      <c r="H40" s="31"/>
      <c r="I40" s="90"/>
      <c r="J40" s="85"/>
      <c r="K40" s="85"/>
      <c r="L40" s="91"/>
      <c r="M40" s="85"/>
      <c r="N40" s="85"/>
      <c r="O40" s="91"/>
      <c r="P40" s="85"/>
      <c r="Q40" s="85"/>
      <c r="R40" s="92"/>
      <c r="S40" s="85"/>
      <c r="T40" s="85"/>
      <c r="U40" s="92"/>
      <c r="V40" s="85"/>
      <c r="W40" s="85"/>
      <c r="X40" s="92"/>
      <c r="Y40" s="85"/>
      <c r="Z40" s="85"/>
      <c r="AA40" s="92"/>
      <c r="AB40" s="85"/>
      <c r="AC40" s="85"/>
      <c r="AD40" s="92"/>
      <c r="AE40" s="85"/>
      <c r="AF40" s="85"/>
      <c r="AG40" s="92"/>
      <c r="AH40" s="85"/>
      <c r="AI40" s="85"/>
      <c r="AJ40" s="92">
        <v>1</v>
      </c>
      <c r="AK40" s="85">
        <v>44</v>
      </c>
      <c r="AL40" s="85"/>
      <c r="AM40" s="92"/>
      <c r="AN40" s="85"/>
      <c r="AO40" s="85"/>
      <c r="AP40" s="92"/>
      <c r="AQ40" s="85"/>
      <c r="AR40" s="175"/>
    </row>
    <row r="41" spans="1:44" ht="17.5" x14ac:dyDescent="0.45">
      <c r="A41" s="275" t="s">
        <v>756</v>
      </c>
      <c r="B41" s="1" t="s">
        <v>754</v>
      </c>
      <c r="F41" s="75"/>
      <c r="G41" s="75"/>
      <c r="H41" s="31"/>
      <c r="I41" s="90"/>
      <c r="J41" s="85"/>
      <c r="K41" s="85"/>
      <c r="L41" s="91"/>
      <c r="M41" s="85"/>
      <c r="N41" s="85"/>
      <c r="O41" s="91"/>
      <c r="P41" s="85"/>
      <c r="Q41" s="85"/>
      <c r="R41" s="92"/>
      <c r="S41" s="85"/>
      <c r="T41" s="85"/>
      <c r="U41" s="92"/>
      <c r="V41" s="85"/>
      <c r="W41" s="85"/>
      <c r="X41" s="92"/>
      <c r="Y41" s="85"/>
      <c r="Z41" s="85"/>
      <c r="AA41" s="92"/>
      <c r="AB41" s="85"/>
      <c r="AC41" s="85"/>
      <c r="AD41" s="92"/>
      <c r="AE41" s="85"/>
      <c r="AF41" s="85"/>
      <c r="AG41" s="92"/>
      <c r="AH41" s="85"/>
      <c r="AI41" s="85"/>
      <c r="AJ41" s="92">
        <v>10</v>
      </c>
      <c r="AK41" s="85">
        <v>65</v>
      </c>
      <c r="AL41" s="85"/>
      <c r="AM41" s="92"/>
      <c r="AN41" s="85"/>
      <c r="AO41" s="85"/>
      <c r="AP41" s="92"/>
      <c r="AQ41" s="85"/>
      <c r="AR41" s="175"/>
    </row>
    <row r="42" spans="1:44" ht="17.5" x14ac:dyDescent="0.45">
      <c r="A42" s="275" t="s">
        <v>756</v>
      </c>
      <c r="B42" s="1" t="s">
        <v>521</v>
      </c>
      <c r="F42" s="75"/>
      <c r="G42" s="75"/>
      <c r="H42" s="31"/>
      <c r="I42" s="90"/>
      <c r="J42" s="85"/>
      <c r="K42" s="85"/>
      <c r="L42" s="91"/>
      <c r="M42" s="85"/>
      <c r="N42" s="85"/>
      <c r="O42" s="91"/>
      <c r="P42" s="85"/>
      <c r="Q42" s="85"/>
      <c r="R42" s="92"/>
      <c r="S42" s="85"/>
      <c r="T42" s="85"/>
      <c r="U42" s="92"/>
      <c r="V42" s="85"/>
      <c r="W42" s="85"/>
      <c r="X42" s="92"/>
      <c r="Y42" s="85"/>
      <c r="Z42" s="85"/>
      <c r="AA42" s="92"/>
      <c r="AB42" s="85"/>
      <c r="AC42" s="85"/>
      <c r="AD42" s="92"/>
      <c r="AE42" s="85"/>
      <c r="AF42" s="85"/>
      <c r="AG42" s="92"/>
      <c r="AH42" s="85"/>
      <c r="AI42" s="85"/>
      <c r="AJ42" s="92">
        <v>21</v>
      </c>
      <c r="AK42" s="85">
        <v>11.6</v>
      </c>
      <c r="AL42" s="85"/>
      <c r="AM42" s="92"/>
      <c r="AN42" s="85"/>
      <c r="AO42" s="85"/>
      <c r="AP42" s="92"/>
      <c r="AQ42" s="85"/>
      <c r="AR42" s="175"/>
    </row>
    <row r="43" spans="1:44" ht="17.5" x14ac:dyDescent="0.45">
      <c r="A43" s="275" t="s">
        <v>190</v>
      </c>
      <c r="B43" s="1" t="s">
        <v>523</v>
      </c>
      <c r="F43" s="75"/>
      <c r="G43" s="75"/>
      <c r="H43" s="31"/>
      <c r="I43" s="90"/>
      <c r="J43" s="85"/>
      <c r="K43" s="85"/>
      <c r="L43" s="91"/>
      <c r="M43" s="85"/>
      <c r="N43" s="85"/>
      <c r="O43" s="91"/>
      <c r="P43" s="85"/>
      <c r="Q43" s="85"/>
      <c r="R43" s="92"/>
      <c r="S43" s="85"/>
      <c r="T43" s="85"/>
      <c r="U43" s="92"/>
      <c r="V43" s="85"/>
      <c r="W43" s="85"/>
      <c r="X43" s="92"/>
      <c r="Y43" s="85"/>
      <c r="Z43" s="85"/>
      <c r="AA43" s="92"/>
      <c r="AB43" s="85"/>
      <c r="AC43" s="85"/>
      <c r="AD43" s="92"/>
      <c r="AE43" s="85"/>
      <c r="AF43" s="85"/>
      <c r="AG43" s="92"/>
      <c r="AH43" s="85"/>
      <c r="AI43" s="85"/>
      <c r="AJ43" s="92">
        <v>24</v>
      </c>
      <c r="AK43" s="85">
        <v>30.5</v>
      </c>
      <c r="AL43" s="85"/>
      <c r="AM43" s="92"/>
      <c r="AN43" s="85"/>
      <c r="AO43" s="85"/>
      <c r="AP43" s="92"/>
      <c r="AQ43" s="85"/>
      <c r="AR43" s="175"/>
    </row>
    <row r="44" spans="1:44" ht="17.5" x14ac:dyDescent="0.45">
      <c r="A44" s="275" t="s">
        <v>190</v>
      </c>
      <c r="B44" s="1" t="s">
        <v>528</v>
      </c>
      <c r="F44" s="75"/>
      <c r="G44" s="75"/>
      <c r="H44" s="31"/>
      <c r="I44" s="90"/>
      <c r="J44" s="85"/>
      <c r="K44" s="85"/>
      <c r="L44" s="91"/>
      <c r="M44" s="85"/>
      <c r="N44" s="85"/>
      <c r="O44" s="91"/>
      <c r="P44" s="85"/>
      <c r="Q44" s="85"/>
      <c r="R44" s="92"/>
      <c r="S44" s="85"/>
      <c r="T44" s="85"/>
      <c r="U44" s="92"/>
      <c r="V44" s="85"/>
      <c r="W44" s="85"/>
      <c r="X44" s="92"/>
      <c r="Y44" s="85"/>
      <c r="Z44" s="85"/>
      <c r="AA44" s="92"/>
      <c r="AB44" s="85"/>
      <c r="AC44" s="85"/>
      <c r="AD44" s="92"/>
      <c r="AE44" s="85"/>
      <c r="AF44" s="85"/>
      <c r="AG44" s="92"/>
      <c r="AH44" s="85"/>
      <c r="AI44" s="85"/>
      <c r="AJ44" s="92">
        <v>24</v>
      </c>
      <c r="AK44" s="85">
        <v>6.7</v>
      </c>
      <c r="AL44" s="85"/>
      <c r="AM44" s="92"/>
      <c r="AN44" s="85"/>
      <c r="AO44" s="85"/>
      <c r="AP44" s="92"/>
      <c r="AQ44" s="85"/>
      <c r="AR44" s="175"/>
    </row>
    <row r="45" spans="1:44" ht="17.5" x14ac:dyDescent="0.45">
      <c r="A45" s="275" t="s">
        <v>756</v>
      </c>
      <c r="B45" s="1" t="s">
        <v>525</v>
      </c>
      <c r="F45" s="75"/>
      <c r="G45" s="75"/>
      <c r="H45" s="31"/>
      <c r="I45" s="90"/>
      <c r="J45" s="85"/>
      <c r="K45" s="85"/>
      <c r="L45" s="91"/>
      <c r="M45" s="85"/>
      <c r="N45" s="85"/>
      <c r="O45" s="91"/>
      <c r="P45" s="85"/>
      <c r="Q45" s="85"/>
      <c r="R45" s="92"/>
      <c r="S45" s="85"/>
      <c r="T45" s="85"/>
      <c r="U45" s="92"/>
      <c r="V45" s="85"/>
      <c r="W45" s="85"/>
      <c r="X45" s="92"/>
      <c r="Y45" s="85"/>
      <c r="Z45" s="85"/>
      <c r="AA45" s="92"/>
      <c r="AB45" s="85"/>
      <c r="AC45" s="85"/>
      <c r="AD45" s="92"/>
      <c r="AE45" s="85"/>
      <c r="AF45" s="85"/>
      <c r="AG45" s="92"/>
      <c r="AH45" s="85"/>
      <c r="AI45" s="85"/>
      <c r="AJ45" s="92"/>
      <c r="AK45" s="85"/>
      <c r="AL45" s="85"/>
      <c r="AM45" s="92">
        <v>3</v>
      </c>
      <c r="AN45" s="85">
        <v>30</v>
      </c>
      <c r="AO45" s="85"/>
      <c r="AP45" s="92"/>
      <c r="AQ45" s="85"/>
      <c r="AR45" s="175"/>
    </row>
    <row r="46" spans="1:44" ht="17.5" x14ac:dyDescent="0.45">
      <c r="A46" s="275" t="s">
        <v>756</v>
      </c>
      <c r="B46" s="1" t="s">
        <v>526</v>
      </c>
      <c r="F46" s="75"/>
      <c r="G46" s="75"/>
      <c r="H46" s="31"/>
      <c r="I46" s="90"/>
      <c r="J46" s="85"/>
      <c r="K46" s="85"/>
      <c r="L46" s="91"/>
      <c r="M46" s="85"/>
      <c r="N46" s="85"/>
      <c r="O46" s="91"/>
      <c r="P46" s="85"/>
      <c r="Q46" s="85"/>
      <c r="R46" s="92"/>
      <c r="S46" s="85"/>
      <c r="T46" s="85"/>
      <c r="U46" s="92"/>
      <c r="V46" s="85"/>
      <c r="W46" s="85"/>
      <c r="X46" s="92"/>
      <c r="Y46" s="85"/>
      <c r="Z46" s="85"/>
      <c r="AA46" s="92"/>
      <c r="AB46" s="85"/>
      <c r="AC46" s="85"/>
      <c r="AD46" s="92"/>
      <c r="AE46" s="85"/>
      <c r="AF46" s="85"/>
      <c r="AG46" s="92"/>
      <c r="AH46" s="85"/>
      <c r="AI46" s="85"/>
      <c r="AJ46" s="92"/>
      <c r="AK46" s="85"/>
      <c r="AL46" s="85"/>
      <c r="AM46" s="92">
        <v>5</v>
      </c>
      <c r="AN46" s="85">
        <v>45</v>
      </c>
      <c r="AO46" s="85"/>
      <c r="AP46" s="92"/>
      <c r="AQ46" s="85"/>
      <c r="AR46" s="175"/>
    </row>
    <row r="47" spans="1:44" ht="17.5" x14ac:dyDescent="0.45">
      <c r="A47" s="275" t="s">
        <v>756</v>
      </c>
      <c r="B47" s="1" t="s">
        <v>527</v>
      </c>
      <c r="F47" s="75"/>
      <c r="G47" s="75"/>
      <c r="H47" s="31"/>
      <c r="I47" s="90"/>
      <c r="J47" s="85"/>
      <c r="K47" s="85"/>
      <c r="L47" s="91"/>
      <c r="M47" s="85"/>
      <c r="N47" s="85"/>
      <c r="O47" s="91"/>
      <c r="P47" s="85"/>
      <c r="Q47" s="85"/>
      <c r="R47" s="92"/>
      <c r="S47" s="85"/>
      <c r="T47" s="85"/>
      <c r="U47" s="92"/>
      <c r="V47" s="85"/>
      <c r="W47" s="85"/>
      <c r="X47" s="92"/>
      <c r="Y47" s="85"/>
      <c r="Z47" s="85"/>
      <c r="AA47" s="92"/>
      <c r="AB47" s="85"/>
      <c r="AC47" s="85"/>
      <c r="AD47" s="92"/>
      <c r="AE47" s="85"/>
      <c r="AF47" s="85"/>
      <c r="AG47" s="92"/>
      <c r="AH47" s="85"/>
      <c r="AI47" s="85"/>
      <c r="AJ47" s="92"/>
      <c r="AK47" s="85"/>
      <c r="AL47" s="85"/>
      <c r="AM47" s="92">
        <v>25</v>
      </c>
      <c r="AN47" s="85">
        <v>200</v>
      </c>
      <c r="AO47" s="85"/>
      <c r="AP47" s="92"/>
      <c r="AQ47" s="85"/>
      <c r="AR47" s="175"/>
    </row>
    <row r="48" spans="1:44" ht="17.5" x14ac:dyDescent="0.45">
      <c r="A48" s="275" t="s">
        <v>756</v>
      </c>
      <c r="B48" s="1" t="s">
        <v>531</v>
      </c>
      <c r="F48" s="75"/>
      <c r="G48" s="75"/>
      <c r="H48" s="31"/>
      <c r="I48" s="90"/>
      <c r="J48" s="85"/>
      <c r="K48" s="85"/>
      <c r="L48" s="91"/>
      <c r="M48" s="85"/>
      <c r="N48" s="85"/>
      <c r="O48" s="91"/>
      <c r="P48" s="85"/>
      <c r="Q48" s="85"/>
      <c r="R48" s="92"/>
      <c r="S48" s="85"/>
      <c r="T48" s="85"/>
      <c r="U48" s="92"/>
      <c r="V48" s="85"/>
      <c r="W48" s="85"/>
      <c r="X48" s="92"/>
      <c r="Y48" s="85"/>
      <c r="Z48" s="85"/>
      <c r="AA48" s="92"/>
      <c r="AB48" s="85"/>
      <c r="AC48" s="85"/>
      <c r="AD48" s="92"/>
      <c r="AE48" s="85"/>
      <c r="AF48" s="85"/>
      <c r="AG48" s="92"/>
      <c r="AH48" s="85"/>
      <c r="AI48" s="85"/>
      <c r="AJ48" s="92"/>
      <c r="AK48" s="85"/>
      <c r="AL48" s="85"/>
      <c r="AM48" s="92"/>
      <c r="AN48" s="85"/>
      <c r="AO48" s="85"/>
      <c r="AP48" s="92">
        <v>12</v>
      </c>
      <c r="AQ48" s="85">
        <v>22</v>
      </c>
      <c r="AR48" s="175"/>
    </row>
    <row r="49" spans="1:44" ht="17.5" x14ac:dyDescent="0.45">
      <c r="A49" s="275"/>
      <c r="F49" s="75"/>
      <c r="G49" s="75"/>
      <c r="H49" s="31"/>
      <c r="I49" s="90"/>
      <c r="J49" s="85"/>
      <c r="K49" s="85"/>
      <c r="L49" s="91"/>
      <c r="M49" s="85"/>
      <c r="N49" s="85"/>
      <c r="O49" s="91"/>
      <c r="P49" s="85"/>
      <c r="Q49" s="85"/>
      <c r="R49" s="92"/>
      <c r="S49" s="85"/>
      <c r="T49" s="85"/>
      <c r="U49" s="92"/>
      <c r="V49" s="85"/>
      <c r="W49" s="85"/>
      <c r="X49" s="92"/>
      <c r="Y49" s="85"/>
      <c r="Z49" s="85"/>
      <c r="AA49" s="92"/>
      <c r="AB49" s="85"/>
      <c r="AC49" s="85"/>
      <c r="AD49" s="92"/>
      <c r="AE49" s="85"/>
      <c r="AF49" s="85"/>
      <c r="AG49" s="92"/>
      <c r="AH49" s="85"/>
      <c r="AI49" s="85"/>
      <c r="AJ49" s="92"/>
      <c r="AK49" s="85"/>
      <c r="AL49" s="85"/>
      <c r="AM49" s="92"/>
      <c r="AN49" s="85"/>
      <c r="AO49" s="85"/>
      <c r="AP49" s="92"/>
      <c r="AQ49" s="85"/>
      <c r="AR49" s="175"/>
    </row>
    <row r="50" spans="1:44" ht="18" thickBot="1" x14ac:dyDescent="0.5">
      <c r="A50" s="270"/>
      <c r="F50" s="76"/>
      <c r="G50" s="76"/>
      <c r="H50" s="31"/>
      <c r="I50" s="91"/>
      <c r="J50" s="85"/>
      <c r="K50" s="85"/>
      <c r="L50" s="91"/>
      <c r="M50" s="85"/>
      <c r="N50" s="85"/>
      <c r="O50" s="91"/>
      <c r="P50" s="85"/>
      <c r="Q50" s="85"/>
      <c r="R50" s="92"/>
      <c r="S50" s="85"/>
      <c r="T50" s="85"/>
      <c r="U50" s="92"/>
      <c r="V50" s="85"/>
      <c r="W50" s="85"/>
      <c r="X50" s="92"/>
      <c r="Y50" s="85"/>
      <c r="Z50" s="85"/>
      <c r="AA50" s="92"/>
      <c r="AB50" s="85"/>
      <c r="AC50" s="85"/>
      <c r="AD50" s="92"/>
      <c r="AE50" s="85"/>
      <c r="AF50" s="85"/>
      <c r="AG50" s="92"/>
      <c r="AH50" s="85"/>
      <c r="AI50" s="85"/>
      <c r="AJ50" s="92"/>
      <c r="AK50" s="85"/>
      <c r="AL50" s="85"/>
      <c r="AM50" s="92"/>
      <c r="AN50" s="85"/>
      <c r="AO50" s="85"/>
      <c r="AP50" s="92"/>
      <c r="AQ50" s="85"/>
      <c r="AR50" s="175"/>
    </row>
    <row r="51" spans="1:44" ht="21.5" thickTop="1" x14ac:dyDescent="0.45">
      <c r="A51" s="49"/>
      <c r="B51" s="49"/>
      <c r="F51" s="28"/>
      <c r="G51" s="28"/>
      <c r="H51" s="7"/>
      <c r="I51" s="91"/>
      <c r="J51" s="86"/>
      <c r="K51" s="87"/>
      <c r="L51" s="91"/>
      <c r="M51" s="86"/>
      <c r="N51" s="87"/>
      <c r="O51" s="91"/>
      <c r="P51" s="86"/>
      <c r="Q51" s="87"/>
      <c r="R51" s="92"/>
      <c r="S51" s="86"/>
      <c r="T51" s="87"/>
      <c r="U51" s="92"/>
      <c r="V51" s="86"/>
      <c r="W51" s="87"/>
      <c r="X51" s="92"/>
      <c r="Y51" s="86"/>
      <c r="Z51" s="87"/>
      <c r="AA51" s="92"/>
      <c r="AB51" s="86"/>
      <c r="AC51" s="87"/>
      <c r="AD51" s="92"/>
      <c r="AE51" s="86"/>
      <c r="AF51" s="87"/>
      <c r="AG51" s="92"/>
      <c r="AH51" s="86"/>
      <c r="AI51" s="87"/>
      <c r="AJ51" s="92"/>
      <c r="AK51" s="86"/>
      <c r="AL51" s="87"/>
      <c r="AM51" s="92"/>
      <c r="AN51" s="86"/>
      <c r="AO51" s="87"/>
      <c r="AP51" s="92"/>
      <c r="AQ51" s="86"/>
      <c r="AR51" s="176"/>
    </row>
    <row r="52" spans="1:44" ht="17.5" thickBot="1" x14ac:dyDescent="0.5">
      <c r="A52" s="41"/>
      <c r="B52" s="41"/>
      <c r="C52" s="41"/>
      <c r="D52" s="41"/>
      <c r="E52" s="41"/>
      <c r="F52" s="41"/>
      <c r="G52" s="41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1"/>
      <c r="AA52" s="41"/>
      <c r="AB52" s="41"/>
      <c r="AC52" s="41"/>
      <c r="AD52" s="41"/>
      <c r="AE52" s="41"/>
      <c r="AF52" s="41"/>
      <c r="AG52" s="41"/>
      <c r="AH52" s="41"/>
      <c r="AI52" s="41"/>
      <c r="AJ52" s="41"/>
      <c r="AK52" s="41"/>
      <c r="AL52" s="41"/>
      <c r="AM52" s="41"/>
      <c r="AN52" s="41"/>
      <c r="AO52" s="41"/>
      <c r="AP52" s="41"/>
      <c r="AQ52" s="41"/>
      <c r="AR52" s="41"/>
    </row>
    <row r="53" spans="1:44" ht="22" thickTop="1" thickBot="1" x14ac:dyDescent="0.5">
      <c r="A53" s="131" t="s">
        <v>167</v>
      </c>
      <c r="B53" s="128"/>
      <c r="C53" s="129"/>
      <c r="D53" s="266"/>
      <c r="E53" s="129"/>
      <c r="F53" s="129"/>
      <c r="G53" s="129"/>
      <c r="H53" s="129"/>
      <c r="I53" s="129"/>
      <c r="J53" s="129"/>
      <c r="K53" s="129"/>
      <c r="L53" s="129"/>
      <c r="M53" s="130"/>
      <c r="N53" s="129"/>
      <c r="O53" s="129"/>
      <c r="P53" s="129"/>
      <c r="Q53" s="129"/>
      <c r="R53" s="129"/>
      <c r="S53" s="129"/>
      <c r="T53" s="129"/>
      <c r="U53" s="129"/>
      <c r="V53" s="129"/>
      <c r="W53" s="129"/>
      <c r="X53" s="129"/>
      <c r="Y53" s="129"/>
      <c r="Z53" s="129"/>
      <c r="AA53" s="129"/>
      <c r="AB53" s="129"/>
      <c r="AC53" s="129"/>
      <c r="AD53" s="129"/>
      <c r="AE53" s="129"/>
      <c r="AF53" s="129"/>
      <c r="AG53" s="129"/>
      <c r="AH53" s="129"/>
      <c r="AI53" s="129"/>
      <c r="AJ53" s="129"/>
      <c r="AK53" s="129"/>
      <c r="AL53" s="129"/>
      <c r="AM53" s="129"/>
      <c r="AN53" s="129"/>
      <c r="AO53" s="129"/>
      <c r="AP53" s="129"/>
      <c r="AQ53" s="118"/>
      <c r="AR53" s="117"/>
    </row>
    <row r="54" spans="1:44" ht="17.5" thickTop="1" x14ac:dyDescent="0.45"/>
    <row r="56" spans="1:44" x14ac:dyDescent="0.45">
      <c r="A56" s="37"/>
      <c r="B56" s="37"/>
      <c r="C56" s="37"/>
      <c r="D56" s="37"/>
      <c r="E56" s="37"/>
      <c r="F56" s="37"/>
      <c r="G56" s="37"/>
      <c r="H56" s="37"/>
      <c r="I56" s="37"/>
      <c r="J56" s="39"/>
      <c r="K56" s="39"/>
      <c r="L56" s="37"/>
      <c r="M56" s="39"/>
      <c r="N56" s="39"/>
      <c r="O56" s="37"/>
      <c r="P56" s="39"/>
      <c r="Q56" s="39"/>
      <c r="R56" s="37"/>
      <c r="S56" s="39"/>
      <c r="T56" s="39"/>
      <c r="U56" s="37"/>
      <c r="V56" s="39"/>
      <c r="W56" s="39"/>
      <c r="X56" s="37"/>
      <c r="Y56" s="39"/>
      <c r="Z56" s="39"/>
      <c r="AA56" s="37"/>
      <c r="AB56" s="39"/>
      <c r="AC56" s="39"/>
      <c r="AD56" s="37"/>
      <c r="AE56" s="39"/>
      <c r="AF56" s="39"/>
      <c r="AG56" s="37"/>
      <c r="AH56" s="39"/>
      <c r="AI56" s="39"/>
      <c r="AJ56" s="37"/>
      <c r="AK56" s="39"/>
      <c r="AL56" s="39"/>
      <c r="AM56" s="37"/>
      <c r="AN56" s="39"/>
      <c r="AO56" s="39"/>
      <c r="AP56" s="37"/>
      <c r="AQ56" s="39"/>
      <c r="AR56" s="39"/>
    </row>
    <row r="57" spans="1:44" x14ac:dyDescent="0.45">
      <c r="A57" s="37"/>
      <c r="B57" s="37"/>
      <c r="C57" s="37"/>
      <c r="D57" s="37"/>
      <c r="E57" s="37"/>
      <c r="F57" s="37"/>
      <c r="G57" s="37"/>
      <c r="H57" s="37"/>
      <c r="I57" s="37"/>
      <c r="J57" s="39"/>
      <c r="K57" s="39"/>
      <c r="L57" s="37"/>
      <c r="M57" s="39"/>
      <c r="N57" s="39"/>
      <c r="O57" s="37"/>
      <c r="P57" s="39"/>
      <c r="Q57" s="39"/>
      <c r="R57" s="37"/>
      <c r="S57" s="39"/>
      <c r="T57" s="39"/>
      <c r="U57" s="37"/>
      <c r="V57" s="39"/>
      <c r="W57" s="39"/>
      <c r="X57" s="37"/>
      <c r="Y57" s="39"/>
      <c r="Z57" s="39"/>
      <c r="AA57" s="37"/>
      <c r="AB57" s="39"/>
      <c r="AC57" s="39"/>
      <c r="AD57" s="37"/>
      <c r="AE57" s="39"/>
      <c r="AF57" s="39"/>
      <c r="AG57" s="37"/>
      <c r="AH57" s="39"/>
      <c r="AI57" s="39"/>
      <c r="AJ57" s="37"/>
      <c r="AK57" s="39"/>
      <c r="AL57" s="39"/>
      <c r="AM57" s="37"/>
      <c r="AN57" s="39"/>
      <c r="AO57" s="39"/>
      <c r="AP57" s="37"/>
      <c r="AQ57" s="39"/>
      <c r="AR57" s="39"/>
    </row>
    <row r="58" spans="1:44" x14ac:dyDescent="0.45">
      <c r="A58" s="37"/>
      <c r="B58" s="37"/>
      <c r="C58" s="37"/>
      <c r="D58" s="37"/>
      <c r="E58" s="37"/>
      <c r="F58" s="37"/>
      <c r="G58" s="37"/>
      <c r="H58" s="37"/>
      <c r="I58" s="37"/>
      <c r="J58" s="39"/>
      <c r="K58" s="39"/>
      <c r="L58" s="37"/>
      <c r="M58" s="39"/>
      <c r="N58" s="39"/>
      <c r="O58" s="37"/>
      <c r="P58" s="39"/>
      <c r="Q58" s="39"/>
      <c r="R58" s="37"/>
      <c r="S58" s="39"/>
      <c r="T58" s="39"/>
      <c r="U58" s="37"/>
      <c r="V58" s="39"/>
      <c r="W58" s="39"/>
      <c r="X58" s="37"/>
      <c r="Y58" s="39"/>
      <c r="Z58" s="39"/>
      <c r="AA58" s="37"/>
      <c r="AB58" s="39"/>
      <c r="AC58" s="39"/>
      <c r="AD58" s="37"/>
      <c r="AE58" s="39"/>
      <c r="AF58" s="39"/>
      <c r="AG58" s="37"/>
      <c r="AH58" s="39"/>
      <c r="AI58" s="39"/>
      <c r="AJ58" s="37"/>
      <c r="AK58" s="39"/>
      <c r="AL58" s="39"/>
      <c r="AM58" s="37"/>
      <c r="AN58" s="39"/>
      <c r="AO58" s="39"/>
      <c r="AP58" s="37"/>
      <c r="AQ58" s="39"/>
      <c r="AR58" s="39"/>
    </row>
    <row r="59" spans="1:44" x14ac:dyDescent="0.45">
      <c r="A59" s="37"/>
      <c r="B59" s="37"/>
      <c r="C59" s="37"/>
      <c r="D59" s="37"/>
      <c r="E59" s="37"/>
      <c r="F59" s="37"/>
      <c r="G59" s="37"/>
      <c r="H59" s="37"/>
      <c r="I59" s="37"/>
      <c r="J59" s="39"/>
      <c r="K59" s="39"/>
      <c r="L59" s="37"/>
      <c r="M59" s="39"/>
      <c r="N59" s="39"/>
      <c r="O59" s="37"/>
      <c r="P59" s="39"/>
      <c r="Q59" s="39"/>
      <c r="R59" s="37"/>
      <c r="S59" s="39"/>
      <c r="T59" s="39"/>
      <c r="U59" s="37"/>
      <c r="V59" s="39"/>
      <c r="W59" s="39"/>
      <c r="X59" s="37"/>
      <c r="Y59" s="39"/>
      <c r="Z59" s="39"/>
      <c r="AA59" s="37"/>
      <c r="AB59" s="39"/>
      <c r="AC59" s="39"/>
      <c r="AD59" s="37"/>
      <c r="AE59" s="39"/>
      <c r="AF59" s="39"/>
      <c r="AG59" s="37"/>
      <c r="AH59" s="39"/>
      <c r="AI59" s="39"/>
      <c r="AJ59" s="37"/>
      <c r="AK59" s="39"/>
      <c r="AL59" s="39"/>
      <c r="AM59" s="37"/>
      <c r="AN59" s="39"/>
      <c r="AO59" s="39"/>
      <c r="AP59" s="37"/>
      <c r="AQ59" s="39"/>
      <c r="AR59" s="39"/>
    </row>
    <row r="60" spans="1:44" x14ac:dyDescent="0.45">
      <c r="A60" s="37"/>
      <c r="B60" s="37"/>
      <c r="C60" s="37"/>
      <c r="D60" s="37"/>
      <c r="E60" s="37"/>
      <c r="F60" s="37"/>
      <c r="G60" s="37"/>
      <c r="H60" s="37"/>
      <c r="I60" s="37"/>
      <c r="J60" s="39"/>
      <c r="K60" s="39"/>
      <c r="L60" s="37"/>
      <c r="M60" s="39"/>
      <c r="N60" s="39"/>
      <c r="O60" s="37"/>
      <c r="P60" s="39"/>
      <c r="Q60" s="39"/>
      <c r="R60" s="37"/>
      <c r="S60" s="39"/>
      <c r="T60" s="39"/>
      <c r="U60" s="37"/>
      <c r="V60" s="39"/>
      <c r="W60" s="39"/>
      <c r="X60" s="37"/>
      <c r="Y60" s="39"/>
      <c r="Z60" s="39"/>
      <c r="AA60" s="37"/>
      <c r="AB60" s="39"/>
      <c r="AC60" s="39"/>
      <c r="AD60" s="37"/>
      <c r="AE60" s="39"/>
      <c r="AF60" s="39"/>
      <c r="AG60" s="37"/>
      <c r="AH60" s="39"/>
      <c r="AI60" s="39"/>
      <c r="AJ60" s="37"/>
      <c r="AK60" s="39"/>
      <c r="AL60" s="39"/>
      <c r="AM60" s="37"/>
      <c r="AN60" s="39"/>
      <c r="AO60" s="39"/>
      <c r="AP60" s="37"/>
      <c r="AQ60" s="39"/>
      <c r="AR60" s="39"/>
    </row>
    <row r="61" spans="1:44" x14ac:dyDescent="0.45">
      <c r="A61" s="37"/>
      <c r="B61" s="37"/>
      <c r="C61" s="37"/>
      <c r="D61" s="37"/>
      <c r="E61" s="37"/>
      <c r="F61" s="37"/>
      <c r="G61" s="37"/>
      <c r="H61" s="37"/>
      <c r="I61" s="37"/>
      <c r="J61" s="39"/>
      <c r="K61" s="39"/>
      <c r="L61" s="37"/>
      <c r="M61" s="39"/>
      <c r="N61" s="39"/>
      <c r="O61" s="37"/>
      <c r="P61" s="39"/>
      <c r="Q61" s="39"/>
      <c r="R61" s="37"/>
      <c r="S61" s="39"/>
      <c r="T61" s="39"/>
      <c r="U61" s="37"/>
      <c r="V61" s="39"/>
      <c r="W61" s="39"/>
      <c r="X61" s="37"/>
      <c r="Y61" s="39"/>
      <c r="Z61" s="39"/>
      <c r="AA61" s="37"/>
      <c r="AB61" s="39"/>
      <c r="AC61" s="39"/>
      <c r="AD61" s="37"/>
      <c r="AE61" s="39"/>
      <c r="AF61" s="39"/>
      <c r="AG61" s="37"/>
      <c r="AH61" s="39"/>
      <c r="AI61" s="39"/>
      <c r="AJ61" s="37"/>
      <c r="AK61" s="39"/>
      <c r="AL61" s="39"/>
      <c r="AM61" s="37"/>
      <c r="AN61" s="39"/>
      <c r="AO61" s="39"/>
      <c r="AP61" s="37"/>
      <c r="AQ61" s="39"/>
      <c r="AR61" s="39"/>
    </row>
    <row r="62" spans="1:44" x14ac:dyDescent="0.45">
      <c r="A62" s="37"/>
      <c r="B62" s="37"/>
      <c r="C62" s="37"/>
      <c r="D62" s="37"/>
      <c r="E62" s="37"/>
      <c r="F62" s="37"/>
      <c r="G62" s="37"/>
      <c r="H62" s="37"/>
      <c r="I62" s="37"/>
      <c r="J62" s="39"/>
      <c r="K62" s="39"/>
      <c r="L62" s="37"/>
      <c r="M62" s="39"/>
      <c r="N62" s="39"/>
      <c r="O62" s="37"/>
      <c r="P62" s="39"/>
      <c r="Q62" s="39"/>
      <c r="R62" s="37"/>
      <c r="S62" s="39"/>
      <c r="T62" s="39"/>
      <c r="U62" s="37"/>
      <c r="V62" s="39"/>
      <c r="W62" s="39"/>
      <c r="X62" s="37"/>
      <c r="Y62" s="39"/>
      <c r="Z62" s="39"/>
      <c r="AA62" s="37"/>
      <c r="AB62" s="39"/>
      <c r="AC62" s="39"/>
      <c r="AD62" s="37"/>
      <c r="AE62" s="39"/>
      <c r="AF62" s="39"/>
      <c r="AG62" s="37"/>
      <c r="AH62" s="39"/>
      <c r="AI62" s="39"/>
      <c r="AJ62" s="37"/>
      <c r="AK62" s="39"/>
      <c r="AL62" s="39"/>
      <c r="AM62" s="37"/>
      <c r="AN62" s="39"/>
      <c r="AO62" s="39"/>
      <c r="AP62" s="37"/>
      <c r="AQ62" s="39"/>
      <c r="AR62" s="39"/>
    </row>
    <row r="63" spans="1:44" x14ac:dyDescent="0.45">
      <c r="A63" s="37"/>
      <c r="B63" s="37"/>
      <c r="C63" s="37"/>
      <c r="D63" s="37"/>
      <c r="E63" s="37"/>
      <c r="F63" s="37"/>
      <c r="G63" s="37"/>
      <c r="H63" s="37"/>
      <c r="I63" s="37"/>
      <c r="J63" s="39"/>
      <c r="K63" s="39"/>
      <c r="L63" s="37"/>
      <c r="M63" s="39"/>
      <c r="N63" s="39"/>
      <c r="O63" s="37"/>
      <c r="P63" s="39"/>
      <c r="Q63" s="39"/>
      <c r="R63" s="37"/>
      <c r="S63" s="39"/>
      <c r="T63" s="39"/>
      <c r="U63" s="37"/>
      <c r="V63" s="39"/>
      <c r="W63" s="39"/>
      <c r="X63" s="37"/>
      <c r="Y63" s="39"/>
      <c r="Z63" s="39"/>
      <c r="AA63" s="37"/>
      <c r="AB63" s="39"/>
      <c r="AC63" s="39"/>
      <c r="AD63" s="37"/>
      <c r="AE63" s="39"/>
      <c r="AF63" s="39"/>
      <c r="AG63" s="37"/>
      <c r="AH63" s="39"/>
      <c r="AI63" s="39"/>
      <c r="AJ63" s="37"/>
      <c r="AK63" s="39"/>
      <c r="AL63" s="39"/>
      <c r="AM63" s="37"/>
      <c r="AN63" s="39"/>
      <c r="AO63" s="39"/>
      <c r="AP63" s="37"/>
      <c r="AQ63" s="39"/>
      <c r="AR63" s="39"/>
    </row>
    <row r="64" spans="1:44" x14ac:dyDescent="0.45">
      <c r="A64" s="37"/>
      <c r="B64" s="37"/>
      <c r="C64" s="37"/>
      <c r="D64" s="37"/>
      <c r="E64" s="37"/>
      <c r="F64" s="37"/>
      <c r="G64" s="37"/>
      <c r="H64" s="37"/>
      <c r="I64" s="37"/>
      <c r="J64" s="39"/>
      <c r="K64" s="39"/>
      <c r="L64" s="37"/>
      <c r="M64" s="39"/>
      <c r="N64" s="39"/>
      <c r="O64" s="37"/>
      <c r="P64" s="39"/>
      <c r="Q64" s="39"/>
      <c r="R64" s="37"/>
      <c r="S64" s="39"/>
      <c r="T64" s="39"/>
      <c r="U64" s="37"/>
      <c r="V64" s="39"/>
      <c r="W64" s="39"/>
      <c r="X64" s="37"/>
      <c r="Y64" s="39"/>
      <c r="Z64" s="39"/>
      <c r="AA64" s="37"/>
      <c r="AB64" s="39"/>
      <c r="AC64" s="39"/>
      <c r="AD64" s="37"/>
      <c r="AE64" s="39"/>
      <c r="AF64" s="39"/>
      <c r="AG64" s="37"/>
      <c r="AH64" s="39"/>
      <c r="AI64" s="39"/>
      <c r="AJ64" s="37"/>
      <c r="AK64" s="39"/>
      <c r="AL64" s="39"/>
      <c r="AM64" s="37"/>
      <c r="AN64" s="39"/>
      <c r="AO64" s="39"/>
      <c r="AP64" s="37"/>
      <c r="AQ64" s="39"/>
      <c r="AR64" s="39"/>
    </row>
    <row r="65" spans="1:44" x14ac:dyDescent="0.45">
      <c r="A65" s="37"/>
      <c r="B65" s="37"/>
      <c r="C65" s="37"/>
      <c r="D65" s="37"/>
      <c r="E65" s="37"/>
      <c r="F65" s="37"/>
      <c r="G65" s="37"/>
      <c r="H65" s="37"/>
      <c r="I65" s="37"/>
      <c r="J65" s="39"/>
      <c r="K65" s="39"/>
      <c r="L65" s="37"/>
      <c r="M65" s="39"/>
      <c r="N65" s="39"/>
      <c r="O65" s="37"/>
      <c r="P65" s="39"/>
      <c r="Q65" s="39"/>
      <c r="R65" s="37"/>
      <c r="S65" s="39"/>
      <c r="T65" s="39"/>
      <c r="U65" s="37"/>
      <c r="V65" s="39"/>
      <c r="W65" s="39"/>
      <c r="X65" s="37"/>
      <c r="Y65" s="39"/>
      <c r="Z65" s="39"/>
      <c r="AA65" s="37"/>
      <c r="AB65" s="39"/>
      <c r="AC65" s="39"/>
      <c r="AD65" s="37"/>
      <c r="AE65" s="39"/>
      <c r="AF65" s="39"/>
      <c r="AG65" s="37"/>
      <c r="AH65" s="39"/>
      <c r="AI65" s="39"/>
      <c r="AJ65" s="37"/>
      <c r="AK65" s="39"/>
      <c r="AL65" s="39"/>
      <c r="AM65" s="37"/>
      <c r="AN65" s="39"/>
      <c r="AO65" s="39"/>
      <c r="AP65" s="37"/>
      <c r="AQ65" s="39"/>
      <c r="AR65" s="39"/>
    </row>
    <row r="66" spans="1:44" x14ac:dyDescent="0.45">
      <c r="A66" s="37"/>
      <c r="B66" s="37"/>
      <c r="C66" s="37"/>
      <c r="D66" s="37"/>
      <c r="E66" s="37"/>
      <c r="F66" s="37"/>
      <c r="G66" s="37"/>
      <c r="H66" s="37"/>
      <c r="I66" s="37"/>
      <c r="J66" s="39"/>
      <c r="K66" s="39"/>
      <c r="L66" s="37"/>
      <c r="M66" s="39"/>
      <c r="N66" s="39"/>
      <c r="O66" s="37"/>
      <c r="P66" s="39"/>
      <c r="Q66" s="39"/>
      <c r="R66" s="37"/>
      <c r="S66" s="39"/>
      <c r="T66" s="39"/>
      <c r="U66" s="37"/>
      <c r="V66" s="39"/>
      <c r="W66" s="39"/>
      <c r="X66" s="37"/>
      <c r="Y66" s="39"/>
      <c r="Z66" s="39"/>
      <c r="AA66" s="37"/>
      <c r="AB66" s="39"/>
      <c r="AC66" s="39"/>
      <c r="AD66" s="37"/>
      <c r="AE66" s="39"/>
      <c r="AF66" s="39"/>
      <c r="AG66" s="37"/>
      <c r="AH66" s="39"/>
      <c r="AI66" s="39"/>
      <c r="AJ66" s="37"/>
      <c r="AK66" s="39"/>
      <c r="AL66" s="39"/>
      <c r="AM66" s="37"/>
      <c r="AN66" s="39"/>
      <c r="AO66" s="39"/>
      <c r="AP66" s="37"/>
      <c r="AQ66" s="39"/>
      <c r="AR66" s="39"/>
    </row>
    <row r="67" spans="1:44" x14ac:dyDescent="0.45">
      <c r="A67" s="37"/>
      <c r="B67" s="37"/>
      <c r="C67" s="37"/>
      <c r="D67" s="37"/>
      <c r="E67" s="37"/>
      <c r="F67" s="37"/>
      <c r="G67" s="37"/>
      <c r="H67" s="37"/>
      <c r="I67" s="37"/>
      <c r="J67" s="39"/>
      <c r="K67" s="39"/>
      <c r="L67" s="37"/>
      <c r="M67" s="39"/>
      <c r="N67" s="39"/>
      <c r="O67" s="37"/>
      <c r="P67" s="39"/>
      <c r="Q67" s="39"/>
      <c r="R67" s="37"/>
      <c r="S67" s="39"/>
      <c r="T67" s="39"/>
      <c r="U67" s="37"/>
      <c r="V67" s="39"/>
      <c r="W67" s="39"/>
      <c r="X67" s="37"/>
      <c r="Y67" s="39"/>
      <c r="Z67" s="39"/>
      <c r="AA67" s="37"/>
      <c r="AB67" s="39"/>
      <c r="AC67" s="39"/>
      <c r="AD67" s="37"/>
      <c r="AE67" s="39"/>
      <c r="AF67" s="39"/>
      <c r="AG67" s="37"/>
      <c r="AH67" s="39"/>
      <c r="AI67" s="39"/>
      <c r="AJ67" s="37"/>
      <c r="AK67" s="39"/>
      <c r="AL67" s="39"/>
      <c r="AM67" s="37"/>
      <c r="AN67" s="39"/>
      <c r="AO67" s="39"/>
      <c r="AP67" s="37"/>
      <c r="AQ67" s="39"/>
      <c r="AR67" s="39"/>
    </row>
    <row r="68" spans="1:44" x14ac:dyDescent="0.45">
      <c r="A68" s="37"/>
      <c r="B68" s="37"/>
      <c r="C68" s="37"/>
      <c r="D68" s="37"/>
      <c r="E68" s="37"/>
      <c r="F68" s="37"/>
      <c r="G68" s="37"/>
      <c r="H68" s="37"/>
      <c r="I68" s="37"/>
      <c r="J68" s="39"/>
      <c r="K68" s="39"/>
      <c r="L68" s="37"/>
      <c r="M68" s="39"/>
      <c r="N68" s="39"/>
      <c r="O68" s="37"/>
      <c r="P68" s="39"/>
      <c r="Q68" s="39"/>
      <c r="R68" s="37"/>
      <c r="S68" s="39"/>
      <c r="T68" s="39"/>
      <c r="U68" s="37"/>
      <c r="V68" s="39"/>
      <c r="W68" s="39"/>
      <c r="X68" s="37"/>
      <c r="Y68" s="39"/>
      <c r="Z68" s="39"/>
      <c r="AA68" s="37"/>
      <c r="AB68" s="39"/>
      <c r="AC68" s="39"/>
      <c r="AD68" s="37"/>
      <c r="AE68" s="39"/>
      <c r="AF68" s="39"/>
      <c r="AG68" s="37"/>
      <c r="AH68" s="39"/>
      <c r="AI68" s="39"/>
      <c r="AJ68" s="37"/>
      <c r="AK68" s="39"/>
      <c r="AL68" s="39"/>
      <c r="AM68" s="37"/>
      <c r="AN68" s="39"/>
      <c r="AO68" s="39"/>
      <c r="AP68" s="37"/>
      <c r="AQ68" s="39"/>
      <c r="AR68" s="39"/>
    </row>
    <row r="69" spans="1:44" x14ac:dyDescent="0.45">
      <c r="A69" s="37"/>
      <c r="B69" s="37"/>
      <c r="C69" s="37"/>
      <c r="D69" s="37"/>
      <c r="E69" s="37"/>
      <c r="F69" s="37"/>
      <c r="G69" s="37"/>
      <c r="H69" s="37"/>
      <c r="I69" s="37"/>
      <c r="J69" s="39"/>
      <c r="K69" s="39"/>
      <c r="L69" s="37"/>
      <c r="M69" s="39"/>
      <c r="N69" s="39"/>
      <c r="O69" s="37"/>
      <c r="P69" s="39"/>
      <c r="Q69" s="39"/>
      <c r="R69" s="37"/>
      <c r="S69" s="39"/>
      <c r="T69" s="39"/>
      <c r="U69" s="37"/>
      <c r="V69" s="39"/>
      <c r="W69" s="39"/>
      <c r="X69" s="37"/>
      <c r="Y69" s="39"/>
      <c r="Z69" s="39"/>
      <c r="AA69" s="37"/>
      <c r="AB69" s="39"/>
      <c r="AC69" s="39"/>
      <c r="AD69" s="37"/>
      <c r="AE69" s="39"/>
      <c r="AF69" s="39"/>
      <c r="AG69" s="37"/>
      <c r="AH69" s="39"/>
      <c r="AI69" s="39"/>
      <c r="AJ69" s="37"/>
      <c r="AK69" s="39"/>
      <c r="AL69" s="39"/>
      <c r="AM69" s="37"/>
      <c r="AN69" s="39"/>
      <c r="AO69" s="39"/>
      <c r="AP69" s="37"/>
      <c r="AQ69" s="39"/>
      <c r="AR69" s="39"/>
    </row>
    <row r="70" spans="1:44" x14ac:dyDescent="0.45">
      <c r="A70" s="37"/>
      <c r="B70" s="37"/>
      <c r="C70" s="37"/>
      <c r="D70" s="37"/>
      <c r="E70" s="37"/>
      <c r="F70" s="37"/>
      <c r="G70" s="37"/>
      <c r="H70" s="37"/>
      <c r="I70" s="37"/>
      <c r="J70" s="39"/>
      <c r="K70" s="39"/>
      <c r="L70" s="37"/>
      <c r="M70" s="39"/>
      <c r="N70" s="39"/>
      <c r="O70" s="37"/>
      <c r="P70" s="39"/>
      <c r="Q70" s="39"/>
      <c r="R70" s="37"/>
      <c r="S70" s="39"/>
      <c r="T70" s="39"/>
      <c r="U70" s="37"/>
      <c r="V70" s="39"/>
      <c r="W70" s="39"/>
      <c r="X70" s="37"/>
      <c r="Y70" s="39"/>
      <c r="Z70" s="39"/>
      <c r="AA70" s="37"/>
      <c r="AB70" s="39"/>
      <c r="AC70" s="39"/>
      <c r="AD70" s="37"/>
      <c r="AE70" s="39"/>
      <c r="AF70" s="39"/>
      <c r="AG70" s="37"/>
      <c r="AH70" s="39"/>
      <c r="AI70" s="39"/>
      <c r="AJ70" s="37"/>
      <c r="AK70" s="39"/>
      <c r="AL70" s="39"/>
      <c r="AM70" s="37"/>
      <c r="AN70" s="39"/>
      <c r="AO70" s="39"/>
      <c r="AP70" s="37"/>
      <c r="AQ70" s="39"/>
      <c r="AR70" s="39"/>
    </row>
    <row r="71" spans="1:44" x14ac:dyDescent="0.45">
      <c r="A71" s="37"/>
      <c r="B71" s="37"/>
      <c r="C71" s="37"/>
      <c r="D71" s="37"/>
      <c r="E71" s="37"/>
      <c r="F71" s="37"/>
      <c r="G71" s="37"/>
      <c r="H71" s="37"/>
      <c r="I71" s="37"/>
      <c r="J71" s="39"/>
      <c r="K71" s="39"/>
      <c r="L71" s="37"/>
      <c r="M71" s="39"/>
      <c r="N71" s="39"/>
      <c r="O71" s="37"/>
      <c r="P71" s="39"/>
      <c r="Q71" s="39"/>
      <c r="R71" s="37"/>
      <c r="S71" s="39"/>
      <c r="T71" s="39"/>
      <c r="U71" s="37"/>
      <c r="V71" s="39"/>
      <c r="W71" s="39"/>
      <c r="X71" s="37"/>
      <c r="Y71" s="39"/>
      <c r="Z71" s="39"/>
      <c r="AA71" s="37"/>
      <c r="AB71" s="39"/>
      <c r="AC71" s="39"/>
      <c r="AD71" s="37"/>
      <c r="AE71" s="39"/>
      <c r="AF71" s="39"/>
      <c r="AG71" s="37"/>
      <c r="AH71" s="39"/>
      <c r="AI71" s="39"/>
      <c r="AJ71" s="37"/>
      <c r="AK71" s="39"/>
      <c r="AL71" s="39"/>
      <c r="AM71" s="37"/>
      <c r="AN71" s="39"/>
      <c r="AO71" s="39"/>
      <c r="AP71" s="37"/>
      <c r="AQ71" s="39"/>
      <c r="AR71" s="39"/>
    </row>
    <row r="72" spans="1:44" x14ac:dyDescent="0.45">
      <c r="A72" s="37"/>
      <c r="B72" s="37"/>
      <c r="C72" s="37"/>
      <c r="D72" s="37"/>
      <c r="E72" s="37"/>
      <c r="F72" s="37"/>
      <c r="G72" s="37"/>
      <c r="H72" s="37"/>
      <c r="I72" s="37"/>
      <c r="J72" s="39"/>
      <c r="K72" s="39"/>
      <c r="L72" s="37"/>
      <c r="M72" s="39"/>
      <c r="N72" s="39"/>
      <c r="O72" s="37"/>
      <c r="P72" s="39"/>
      <c r="Q72" s="39"/>
      <c r="R72" s="37"/>
      <c r="S72" s="39"/>
      <c r="T72" s="39"/>
      <c r="U72" s="37"/>
      <c r="V72" s="39"/>
      <c r="W72" s="39"/>
      <c r="X72" s="37"/>
      <c r="Y72" s="39"/>
      <c r="Z72" s="39"/>
      <c r="AA72" s="37"/>
      <c r="AB72" s="39"/>
      <c r="AC72" s="39"/>
      <c r="AD72" s="37"/>
      <c r="AE72" s="39"/>
      <c r="AF72" s="39"/>
      <c r="AG72" s="37"/>
      <c r="AH72" s="39"/>
      <c r="AI72" s="39"/>
      <c r="AJ72" s="37"/>
      <c r="AK72" s="39"/>
      <c r="AL72" s="39"/>
      <c r="AM72" s="37"/>
      <c r="AN72" s="39"/>
      <c r="AO72" s="39"/>
      <c r="AP72" s="37"/>
      <c r="AQ72" s="39"/>
      <c r="AR72" s="39"/>
    </row>
    <row r="73" spans="1:44" x14ac:dyDescent="0.45">
      <c r="A73" s="37"/>
      <c r="B73" s="37"/>
      <c r="C73" s="37"/>
      <c r="D73" s="37"/>
      <c r="E73" s="37"/>
      <c r="F73" s="37"/>
      <c r="G73" s="37"/>
      <c r="H73" s="37"/>
      <c r="I73" s="37"/>
      <c r="J73" s="39"/>
      <c r="K73" s="39"/>
      <c r="L73" s="37"/>
      <c r="M73" s="39"/>
      <c r="N73" s="39"/>
      <c r="O73" s="37"/>
      <c r="P73" s="39"/>
      <c r="Q73" s="39"/>
      <c r="R73" s="37"/>
      <c r="S73" s="39"/>
      <c r="T73" s="39"/>
      <c r="U73" s="37"/>
      <c r="V73" s="39"/>
      <c r="W73" s="39"/>
      <c r="X73" s="37"/>
      <c r="Y73" s="39"/>
      <c r="Z73" s="39"/>
      <c r="AA73" s="37"/>
      <c r="AB73" s="39"/>
      <c r="AC73" s="39"/>
      <c r="AD73" s="37"/>
      <c r="AE73" s="39"/>
      <c r="AF73" s="39"/>
      <c r="AG73" s="37"/>
      <c r="AH73" s="39"/>
      <c r="AI73" s="39"/>
      <c r="AJ73" s="37"/>
      <c r="AK73" s="39"/>
      <c r="AL73" s="39"/>
      <c r="AM73" s="37"/>
      <c r="AN73" s="39"/>
      <c r="AO73" s="39"/>
      <c r="AP73" s="37"/>
      <c r="AQ73" s="39"/>
      <c r="AR73" s="39"/>
    </row>
    <row r="74" spans="1:44" x14ac:dyDescent="0.45">
      <c r="A74" s="37"/>
      <c r="B74" s="37"/>
      <c r="C74" s="37"/>
      <c r="D74" s="37"/>
      <c r="E74" s="37"/>
      <c r="F74" s="37"/>
      <c r="G74" s="37"/>
      <c r="H74" s="37"/>
      <c r="I74" s="37"/>
      <c r="J74" s="39"/>
      <c r="K74" s="39"/>
      <c r="L74" s="37"/>
      <c r="M74" s="39"/>
      <c r="N74" s="39"/>
      <c r="O74" s="37"/>
      <c r="P74" s="39"/>
      <c r="Q74" s="39"/>
      <c r="R74" s="37"/>
      <c r="S74" s="39"/>
      <c r="T74" s="39"/>
      <c r="U74" s="37"/>
      <c r="V74" s="39"/>
      <c r="W74" s="39"/>
      <c r="X74" s="37"/>
      <c r="Y74" s="39"/>
      <c r="Z74" s="39"/>
      <c r="AA74" s="37"/>
      <c r="AB74" s="39"/>
      <c r="AC74" s="39"/>
      <c r="AD74" s="37"/>
      <c r="AE74" s="39"/>
      <c r="AF74" s="39"/>
      <c r="AG74" s="37"/>
      <c r="AH74" s="39"/>
      <c r="AI74" s="39"/>
      <c r="AJ74" s="37"/>
      <c r="AK74" s="39"/>
      <c r="AL74" s="39"/>
      <c r="AM74" s="37"/>
      <c r="AN74" s="39"/>
      <c r="AO74" s="39"/>
      <c r="AP74" s="37"/>
      <c r="AQ74" s="39"/>
      <c r="AR74" s="39"/>
    </row>
    <row r="75" spans="1:44" x14ac:dyDescent="0.45">
      <c r="A75" s="37"/>
      <c r="B75" s="37"/>
      <c r="C75" s="37"/>
      <c r="D75" s="37"/>
      <c r="E75" s="37"/>
      <c r="F75" s="37"/>
      <c r="G75" s="37"/>
      <c r="H75" s="37"/>
      <c r="I75" s="37"/>
      <c r="J75" s="39"/>
      <c r="K75" s="39"/>
      <c r="L75" s="37"/>
      <c r="M75" s="39"/>
      <c r="N75" s="39"/>
      <c r="O75" s="37"/>
      <c r="P75" s="39"/>
      <c r="Q75" s="39"/>
      <c r="R75" s="37"/>
      <c r="S75" s="39"/>
      <c r="T75" s="39"/>
      <c r="U75" s="37"/>
      <c r="V75" s="39"/>
      <c r="W75" s="39"/>
      <c r="X75" s="37"/>
      <c r="Y75" s="39"/>
      <c r="Z75" s="39"/>
      <c r="AA75" s="37"/>
      <c r="AB75" s="39"/>
      <c r="AC75" s="39"/>
      <c r="AD75" s="37"/>
      <c r="AE75" s="39"/>
      <c r="AF75" s="39"/>
      <c r="AG75" s="37"/>
      <c r="AH75" s="39"/>
      <c r="AI75" s="39"/>
      <c r="AJ75" s="37"/>
      <c r="AK75" s="39"/>
      <c r="AL75" s="39"/>
      <c r="AM75" s="37"/>
      <c r="AN75" s="39"/>
      <c r="AO75" s="39"/>
      <c r="AP75" s="37"/>
      <c r="AQ75" s="39"/>
      <c r="AR75" s="39"/>
    </row>
    <row r="76" spans="1:44" x14ac:dyDescent="0.45">
      <c r="A76" s="37"/>
      <c r="B76" s="37"/>
      <c r="C76" s="37"/>
      <c r="D76" s="37"/>
      <c r="E76" s="37"/>
      <c r="F76" s="37"/>
      <c r="G76" s="37"/>
      <c r="H76" s="37"/>
      <c r="I76" s="37"/>
      <c r="J76" s="39"/>
      <c r="K76" s="39"/>
      <c r="L76" s="37"/>
      <c r="M76" s="39"/>
      <c r="N76" s="39"/>
      <c r="O76" s="37"/>
      <c r="P76" s="39"/>
      <c r="Q76" s="39"/>
      <c r="R76" s="37"/>
      <c r="S76" s="39"/>
      <c r="T76" s="39"/>
      <c r="U76" s="37"/>
      <c r="V76" s="39"/>
      <c r="W76" s="39"/>
      <c r="X76" s="37"/>
      <c r="Y76" s="39"/>
      <c r="Z76" s="39"/>
      <c r="AA76" s="37"/>
      <c r="AB76" s="39"/>
      <c r="AC76" s="39"/>
      <c r="AD76" s="37"/>
      <c r="AE76" s="39"/>
      <c r="AF76" s="39"/>
      <c r="AG76" s="37"/>
      <c r="AH76" s="39"/>
      <c r="AI76" s="39"/>
      <c r="AJ76" s="37"/>
      <c r="AK76" s="39"/>
      <c r="AL76" s="39"/>
      <c r="AM76" s="37"/>
      <c r="AN76" s="39"/>
      <c r="AO76" s="39"/>
      <c r="AP76" s="37"/>
      <c r="AQ76" s="39"/>
      <c r="AR76" s="39"/>
    </row>
    <row r="77" spans="1:44" x14ac:dyDescent="0.45">
      <c r="A77" s="37"/>
      <c r="B77" s="37"/>
      <c r="C77" s="37"/>
      <c r="D77" s="37"/>
      <c r="E77" s="37"/>
      <c r="F77" s="37"/>
      <c r="G77" s="37"/>
      <c r="H77" s="37"/>
      <c r="I77" s="37"/>
      <c r="J77" s="39"/>
      <c r="K77" s="39"/>
      <c r="L77" s="37"/>
      <c r="M77" s="39"/>
      <c r="N77" s="39"/>
      <c r="O77" s="37"/>
      <c r="P77" s="39"/>
      <c r="Q77" s="39"/>
      <c r="R77" s="37"/>
      <c r="S77" s="39"/>
      <c r="T77" s="39"/>
      <c r="U77" s="37"/>
      <c r="V77" s="39"/>
      <c r="W77" s="39"/>
      <c r="X77" s="37"/>
      <c r="Y77" s="39"/>
      <c r="Z77" s="39"/>
      <c r="AA77" s="37"/>
      <c r="AB77" s="39"/>
      <c r="AC77" s="39"/>
      <c r="AD77" s="37"/>
      <c r="AE77" s="39"/>
      <c r="AF77" s="39"/>
      <c r="AG77" s="37"/>
      <c r="AH77" s="39"/>
      <c r="AI77" s="39"/>
      <c r="AJ77" s="37"/>
      <c r="AK77" s="39"/>
      <c r="AL77" s="39"/>
      <c r="AM77" s="37"/>
      <c r="AN77" s="39"/>
      <c r="AO77" s="39"/>
      <c r="AP77" s="37"/>
      <c r="AQ77" s="39"/>
      <c r="AR77" s="39"/>
    </row>
    <row r="78" spans="1:44" x14ac:dyDescent="0.45">
      <c r="A78" s="37"/>
      <c r="B78" s="37"/>
      <c r="C78" s="37"/>
      <c r="D78" s="37"/>
      <c r="E78" s="37"/>
      <c r="F78" s="37"/>
      <c r="G78" s="37"/>
      <c r="H78" s="37"/>
      <c r="I78" s="37"/>
      <c r="J78" s="39"/>
      <c r="K78" s="39"/>
      <c r="L78" s="37"/>
      <c r="M78" s="39"/>
      <c r="N78" s="39"/>
      <c r="O78" s="37"/>
      <c r="P78" s="39"/>
      <c r="Q78" s="39"/>
      <c r="R78" s="37"/>
      <c r="S78" s="39"/>
      <c r="T78" s="39"/>
      <c r="U78" s="37"/>
      <c r="V78" s="39"/>
      <c r="W78" s="39"/>
      <c r="X78" s="37"/>
      <c r="Y78" s="39"/>
      <c r="Z78" s="39"/>
      <c r="AA78" s="37"/>
      <c r="AB78" s="39"/>
      <c r="AC78" s="39"/>
      <c r="AD78" s="37"/>
      <c r="AE78" s="39"/>
      <c r="AF78" s="39"/>
      <c r="AG78" s="37"/>
      <c r="AH78" s="39"/>
      <c r="AI78" s="39"/>
      <c r="AJ78" s="37"/>
      <c r="AK78" s="39"/>
      <c r="AL78" s="39"/>
      <c r="AM78" s="37"/>
      <c r="AN78" s="39"/>
      <c r="AO78" s="39"/>
      <c r="AP78" s="37"/>
      <c r="AQ78" s="39"/>
      <c r="AR78" s="39"/>
    </row>
    <row r="79" spans="1:44" x14ac:dyDescent="0.45">
      <c r="A79" s="37"/>
      <c r="B79" s="37"/>
      <c r="C79" s="37"/>
      <c r="D79" s="37"/>
      <c r="E79" s="37"/>
      <c r="F79" s="37"/>
      <c r="G79" s="37"/>
      <c r="H79" s="37"/>
      <c r="I79" s="37"/>
      <c r="J79" s="39"/>
      <c r="K79" s="39"/>
      <c r="L79" s="37"/>
      <c r="M79" s="39"/>
      <c r="N79" s="39"/>
      <c r="O79" s="37"/>
      <c r="P79" s="39"/>
      <c r="Q79" s="39"/>
      <c r="R79" s="37"/>
      <c r="S79" s="39"/>
      <c r="T79" s="39"/>
      <c r="U79" s="37"/>
      <c r="V79" s="39"/>
      <c r="W79" s="39"/>
      <c r="X79" s="37"/>
      <c r="Y79" s="39"/>
      <c r="Z79" s="39"/>
      <c r="AA79" s="37"/>
      <c r="AB79" s="39"/>
      <c r="AC79" s="39"/>
      <c r="AD79" s="37"/>
      <c r="AE79" s="39"/>
      <c r="AF79" s="39"/>
      <c r="AG79" s="37"/>
      <c r="AH79" s="39"/>
      <c r="AI79" s="39"/>
      <c r="AJ79" s="37"/>
      <c r="AK79" s="39"/>
      <c r="AL79" s="39"/>
      <c r="AM79" s="37"/>
      <c r="AN79" s="39"/>
      <c r="AO79" s="39"/>
      <c r="AP79" s="37"/>
      <c r="AQ79" s="39"/>
      <c r="AR79" s="39"/>
    </row>
    <row r="80" spans="1:44" x14ac:dyDescent="0.45">
      <c r="A80" s="37"/>
      <c r="B80" s="37"/>
      <c r="C80" s="37"/>
      <c r="D80" s="37"/>
      <c r="E80" s="37"/>
      <c r="F80" s="37"/>
      <c r="G80" s="37"/>
      <c r="H80" s="37"/>
      <c r="I80" s="37"/>
      <c r="J80" s="39"/>
      <c r="K80" s="39"/>
      <c r="L80" s="37"/>
      <c r="M80" s="39"/>
      <c r="N80" s="39"/>
      <c r="O80" s="37"/>
      <c r="P80" s="39"/>
      <c r="Q80" s="39"/>
      <c r="R80" s="37"/>
      <c r="S80" s="39"/>
      <c r="T80" s="39"/>
      <c r="U80" s="37"/>
      <c r="V80" s="39"/>
      <c r="W80" s="39"/>
      <c r="X80" s="37"/>
      <c r="Y80" s="39"/>
      <c r="Z80" s="39"/>
      <c r="AA80" s="37"/>
      <c r="AB80" s="39"/>
      <c r="AC80" s="39"/>
      <c r="AD80" s="37"/>
      <c r="AE80" s="39"/>
      <c r="AF80" s="39"/>
      <c r="AG80" s="37"/>
      <c r="AH80" s="39"/>
      <c r="AI80" s="39"/>
      <c r="AJ80" s="37"/>
      <c r="AK80" s="39"/>
      <c r="AL80" s="39"/>
      <c r="AM80" s="37"/>
      <c r="AN80" s="39"/>
      <c r="AO80" s="39"/>
      <c r="AP80" s="37"/>
      <c r="AQ80" s="39"/>
      <c r="AR80" s="39"/>
    </row>
    <row r="81" spans="1:44" x14ac:dyDescent="0.45">
      <c r="A81" s="37"/>
      <c r="B81" s="37"/>
      <c r="C81" s="37"/>
      <c r="D81" s="37"/>
      <c r="E81" s="37"/>
      <c r="F81" s="37"/>
      <c r="G81" s="37"/>
      <c r="H81" s="37"/>
      <c r="I81" s="37"/>
      <c r="J81" s="39"/>
      <c r="K81" s="39"/>
      <c r="L81" s="37"/>
      <c r="M81" s="39"/>
      <c r="N81" s="39"/>
      <c r="O81" s="37"/>
      <c r="P81" s="39"/>
      <c r="Q81" s="39"/>
      <c r="R81" s="37"/>
      <c r="S81" s="39"/>
      <c r="T81" s="39"/>
      <c r="U81" s="37"/>
      <c r="V81" s="39"/>
      <c r="W81" s="39"/>
      <c r="X81" s="37"/>
      <c r="Y81" s="39"/>
      <c r="Z81" s="39"/>
      <c r="AA81" s="37"/>
      <c r="AB81" s="39"/>
      <c r="AC81" s="39"/>
      <c r="AD81" s="37"/>
      <c r="AE81" s="39"/>
      <c r="AF81" s="39"/>
      <c r="AG81" s="37"/>
      <c r="AH81" s="39"/>
      <c r="AI81" s="39"/>
      <c r="AJ81" s="37"/>
      <c r="AK81" s="39"/>
      <c r="AL81" s="39"/>
      <c r="AM81" s="37"/>
      <c r="AN81" s="39"/>
      <c r="AO81" s="39"/>
      <c r="AP81" s="37"/>
      <c r="AQ81" s="39"/>
      <c r="AR81" s="39"/>
    </row>
    <row r="82" spans="1:44" x14ac:dyDescent="0.45">
      <c r="A82" s="37"/>
      <c r="B82" s="37"/>
      <c r="C82" s="37"/>
      <c r="D82" s="37"/>
      <c r="E82" s="37"/>
      <c r="F82" s="37"/>
      <c r="G82" s="37"/>
      <c r="H82" s="37"/>
      <c r="I82" s="37"/>
      <c r="J82" s="39"/>
      <c r="K82" s="39"/>
      <c r="L82" s="37"/>
      <c r="M82" s="39"/>
      <c r="N82" s="39"/>
      <c r="O82" s="37"/>
      <c r="P82" s="39"/>
      <c r="Q82" s="39"/>
      <c r="R82" s="37"/>
      <c r="S82" s="39"/>
      <c r="T82" s="39"/>
      <c r="U82" s="37"/>
      <c r="V82" s="39"/>
      <c r="W82" s="39"/>
      <c r="X82" s="37"/>
      <c r="Y82" s="39"/>
      <c r="Z82" s="39"/>
      <c r="AA82" s="37"/>
      <c r="AB82" s="39"/>
      <c r="AC82" s="39"/>
      <c r="AD82" s="37"/>
      <c r="AE82" s="39"/>
      <c r="AF82" s="39"/>
      <c r="AG82" s="37"/>
      <c r="AH82" s="39"/>
      <c r="AI82" s="39"/>
      <c r="AJ82" s="37"/>
      <c r="AK82" s="39"/>
      <c r="AL82" s="39"/>
      <c r="AM82" s="37"/>
      <c r="AN82" s="39"/>
      <c r="AO82" s="39"/>
      <c r="AP82" s="37"/>
      <c r="AQ82" s="39"/>
      <c r="AR82" s="39"/>
    </row>
    <row r="83" spans="1:44" x14ac:dyDescent="0.45">
      <c r="A83" s="37"/>
      <c r="B83" s="37"/>
      <c r="C83" s="37"/>
      <c r="D83" s="37"/>
      <c r="E83" s="37"/>
      <c r="F83" s="37"/>
      <c r="G83" s="37"/>
      <c r="H83" s="37"/>
      <c r="I83" s="37"/>
      <c r="J83" s="39"/>
      <c r="K83" s="39"/>
      <c r="L83" s="37"/>
      <c r="M83" s="39"/>
      <c r="N83" s="39"/>
      <c r="O83" s="37"/>
      <c r="P83" s="39"/>
      <c r="Q83" s="39"/>
      <c r="R83" s="37"/>
      <c r="S83" s="39"/>
      <c r="T83" s="39"/>
      <c r="U83" s="37"/>
      <c r="V83" s="39"/>
      <c r="W83" s="39"/>
      <c r="X83" s="37"/>
      <c r="Y83" s="39"/>
      <c r="Z83" s="39"/>
      <c r="AA83" s="37"/>
      <c r="AB83" s="39"/>
      <c r="AC83" s="39"/>
      <c r="AD83" s="37"/>
      <c r="AE83" s="39"/>
      <c r="AF83" s="39"/>
      <c r="AG83" s="37"/>
      <c r="AH83" s="39"/>
      <c r="AI83" s="39"/>
      <c r="AJ83" s="37"/>
      <c r="AK83" s="39"/>
      <c r="AL83" s="39"/>
      <c r="AM83" s="37"/>
      <c r="AN83" s="39"/>
      <c r="AO83" s="39"/>
      <c r="AP83" s="37"/>
      <c r="AQ83" s="39"/>
      <c r="AR83" s="39"/>
    </row>
    <row r="84" spans="1:44" x14ac:dyDescent="0.45">
      <c r="A84" s="37"/>
      <c r="B84" s="37"/>
      <c r="C84" s="37"/>
      <c r="D84" s="37"/>
      <c r="E84" s="37"/>
      <c r="F84" s="37"/>
      <c r="G84" s="37"/>
      <c r="H84" s="37"/>
      <c r="I84" s="37"/>
      <c r="J84" s="39"/>
      <c r="K84" s="39"/>
      <c r="L84" s="37"/>
      <c r="M84" s="39"/>
      <c r="N84" s="39"/>
      <c r="O84" s="37"/>
      <c r="P84" s="39"/>
      <c r="Q84" s="39"/>
      <c r="R84" s="37"/>
      <c r="S84" s="39"/>
      <c r="T84" s="39"/>
      <c r="U84" s="37"/>
      <c r="V84" s="39"/>
      <c r="W84" s="39"/>
      <c r="X84" s="37"/>
      <c r="Y84" s="39"/>
      <c r="Z84" s="39"/>
      <c r="AA84" s="37"/>
      <c r="AB84" s="39"/>
      <c r="AC84" s="39"/>
      <c r="AD84" s="37"/>
      <c r="AE84" s="39"/>
      <c r="AF84" s="39"/>
      <c r="AG84" s="37"/>
      <c r="AH84" s="39"/>
      <c r="AI84" s="39"/>
      <c r="AJ84" s="37"/>
      <c r="AK84" s="39"/>
      <c r="AL84" s="39"/>
      <c r="AM84" s="37"/>
      <c r="AN84" s="39"/>
      <c r="AO84" s="39"/>
      <c r="AP84" s="37"/>
      <c r="AQ84" s="39"/>
      <c r="AR84" s="39"/>
    </row>
    <row r="85" spans="1:44" x14ac:dyDescent="0.45">
      <c r="A85" s="37"/>
      <c r="B85" s="37"/>
      <c r="C85" s="37"/>
      <c r="D85" s="37"/>
      <c r="E85" s="37"/>
      <c r="F85" s="37"/>
      <c r="G85" s="37"/>
      <c r="H85" s="37"/>
      <c r="I85" s="37"/>
      <c r="J85" s="39"/>
      <c r="K85" s="39"/>
      <c r="L85" s="37"/>
      <c r="M85" s="39"/>
      <c r="N85" s="39"/>
      <c r="O85" s="37"/>
      <c r="P85" s="39"/>
      <c r="Q85" s="39"/>
      <c r="R85" s="37"/>
      <c r="S85" s="39"/>
      <c r="T85" s="39"/>
      <c r="U85" s="37"/>
      <c r="V85" s="39"/>
      <c r="W85" s="39"/>
      <c r="X85" s="37"/>
      <c r="Y85" s="39"/>
      <c r="Z85" s="39"/>
      <c r="AA85" s="37"/>
      <c r="AB85" s="39"/>
      <c r="AC85" s="39"/>
      <c r="AD85" s="37"/>
      <c r="AE85" s="39"/>
      <c r="AF85" s="39"/>
      <c r="AG85" s="37"/>
      <c r="AH85" s="39"/>
      <c r="AI85" s="39"/>
      <c r="AJ85" s="37"/>
      <c r="AK85" s="39"/>
      <c r="AL85" s="39"/>
      <c r="AM85" s="37"/>
      <c r="AN85" s="39"/>
      <c r="AO85" s="39"/>
      <c r="AP85" s="37"/>
      <c r="AQ85" s="39"/>
      <c r="AR85" s="39"/>
    </row>
    <row r="86" spans="1:44" x14ac:dyDescent="0.45">
      <c r="A86" s="37"/>
      <c r="B86" s="37"/>
      <c r="C86" s="37"/>
      <c r="D86" s="37"/>
      <c r="E86" s="37"/>
      <c r="F86" s="37"/>
      <c r="G86" s="37"/>
      <c r="H86" s="37"/>
      <c r="I86" s="37"/>
      <c r="J86" s="39"/>
      <c r="K86" s="39"/>
      <c r="L86" s="37"/>
      <c r="M86" s="39"/>
      <c r="N86" s="39"/>
      <c r="O86" s="37"/>
      <c r="P86" s="39"/>
      <c r="Q86" s="39"/>
      <c r="R86" s="37"/>
      <c r="S86" s="39"/>
      <c r="T86" s="39"/>
      <c r="U86" s="37"/>
      <c r="V86" s="39"/>
      <c r="W86" s="39"/>
      <c r="X86" s="37"/>
      <c r="Y86" s="39"/>
      <c r="Z86" s="39"/>
      <c r="AA86" s="37"/>
      <c r="AB86" s="39"/>
      <c r="AC86" s="39"/>
      <c r="AD86" s="37"/>
      <c r="AE86" s="39"/>
      <c r="AF86" s="39"/>
      <c r="AG86" s="37"/>
      <c r="AH86" s="39"/>
      <c r="AI86" s="39"/>
      <c r="AJ86" s="37"/>
      <c r="AK86" s="39"/>
      <c r="AL86" s="39"/>
      <c r="AM86" s="37"/>
      <c r="AN86" s="39"/>
      <c r="AO86" s="39"/>
      <c r="AP86" s="37"/>
      <c r="AQ86" s="39"/>
      <c r="AR86" s="39"/>
    </row>
    <row r="87" spans="1:44" x14ac:dyDescent="0.45">
      <c r="A87" s="37"/>
      <c r="B87" s="37"/>
      <c r="C87" s="37"/>
      <c r="D87" s="37"/>
      <c r="E87" s="37"/>
      <c r="F87" s="37"/>
      <c r="G87" s="37"/>
      <c r="H87" s="37"/>
      <c r="I87" s="37"/>
      <c r="J87" s="39"/>
      <c r="K87" s="39"/>
      <c r="L87" s="37"/>
      <c r="M87" s="39"/>
      <c r="N87" s="39"/>
      <c r="O87" s="37"/>
      <c r="P87" s="39"/>
      <c r="Q87" s="39"/>
      <c r="R87" s="37"/>
      <c r="S87" s="39"/>
      <c r="T87" s="39"/>
      <c r="U87" s="37"/>
      <c r="V87" s="39"/>
      <c r="W87" s="39"/>
      <c r="X87" s="37"/>
      <c r="Y87" s="39"/>
      <c r="Z87" s="39"/>
      <c r="AA87" s="37"/>
      <c r="AB87" s="39"/>
      <c r="AC87" s="39"/>
      <c r="AD87" s="37"/>
      <c r="AE87" s="39"/>
      <c r="AF87" s="39"/>
      <c r="AG87" s="37"/>
      <c r="AH87" s="39"/>
      <c r="AI87" s="39"/>
      <c r="AJ87" s="37"/>
      <c r="AK87" s="39"/>
      <c r="AL87" s="39"/>
      <c r="AM87" s="37"/>
      <c r="AN87" s="39"/>
      <c r="AO87" s="39"/>
      <c r="AP87" s="37"/>
      <c r="AQ87" s="39"/>
      <c r="AR87" s="39"/>
    </row>
    <row r="88" spans="1:44" x14ac:dyDescent="0.45">
      <c r="A88" s="37"/>
      <c r="B88" s="37"/>
      <c r="C88" s="37"/>
      <c r="D88" s="37"/>
      <c r="E88" s="37"/>
      <c r="F88" s="37"/>
      <c r="G88" s="37"/>
      <c r="H88" s="37"/>
      <c r="I88" s="37"/>
      <c r="J88" s="39"/>
      <c r="K88" s="39"/>
      <c r="L88" s="37"/>
      <c r="M88" s="39"/>
      <c r="N88" s="39"/>
      <c r="O88" s="37"/>
      <c r="P88" s="39"/>
      <c r="Q88" s="39"/>
      <c r="R88" s="37"/>
      <c r="S88" s="39"/>
      <c r="T88" s="39"/>
      <c r="U88" s="37"/>
      <c r="V88" s="39"/>
      <c r="W88" s="39"/>
      <c r="X88" s="37"/>
      <c r="Y88" s="39"/>
      <c r="Z88" s="39"/>
      <c r="AA88" s="37"/>
      <c r="AB88" s="39"/>
      <c r="AC88" s="39"/>
      <c r="AD88" s="37"/>
      <c r="AE88" s="39"/>
      <c r="AF88" s="39"/>
      <c r="AG88" s="37"/>
      <c r="AH88" s="39"/>
      <c r="AI88" s="39"/>
      <c r="AJ88" s="37"/>
      <c r="AK88" s="39"/>
      <c r="AL88" s="39"/>
      <c r="AM88" s="37"/>
      <c r="AN88" s="39"/>
      <c r="AO88" s="39"/>
      <c r="AP88" s="37"/>
      <c r="AQ88" s="39"/>
      <c r="AR88" s="39"/>
    </row>
    <row r="89" spans="1:44" x14ac:dyDescent="0.45">
      <c r="A89" s="37"/>
      <c r="B89" s="37"/>
      <c r="C89" s="37"/>
      <c r="D89" s="37"/>
      <c r="E89" s="37"/>
      <c r="F89" s="37"/>
      <c r="G89" s="37"/>
      <c r="H89" s="37"/>
      <c r="I89" s="37"/>
      <c r="J89" s="39"/>
      <c r="K89" s="39"/>
      <c r="L89" s="37"/>
      <c r="M89" s="39"/>
      <c r="N89" s="39"/>
      <c r="O89" s="37"/>
      <c r="P89" s="39"/>
      <c r="Q89" s="39"/>
      <c r="R89" s="37"/>
      <c r="S89" s="39"/>
      <c r="T89" s="39"/>
      <c r="U89" s="37"/>
      <c r="V89" s="39"/>
      <c r="W89" s="39"/>
      <c r="X89" s="37"/>
      <c r="Y89" s="39"/>
      <c r="Z89" s="39"/>
      <c r="AA89" s="37"/>
      <c r="AB89" s="39"/>
      <c r="AC89" s="39"/>
      <c r="AD89" s="37"/>
      <c r="AE89" s="39"/>
      <c r="AF89" s="39"/>
      <c r="AG89" s="37"/>
      <c r="AH89" s="39"/>
      <c r="AI89" s="39"/>
      <c r="AJ89" s="37"/>
      <c r="AK89" s="39"/>
      <c r="AL89" s="39"/>
      <c r="AM89" s="37"/>
      <c r="AN89" s="39"/>
      <c r="AO89" s="39"/>
      <c r="AP89" s="37"/>
      <c r="AQ89" s="39"/>
      <c r="AR89" s="39"/>
    </row>
    <row r="90" spans="1:44" x14ac:dyDescent="0.45">
      <c r="A90" s="37"/>
      <c r="B90" s="37"/>
      <c r="C90" s="37"/>
      <c r="D90" s="37"/>
      <c r="E90" s="37"/>
      <c r="F90" s="37"/>
      <c r="G90" s="37"/>
      <c r="H90" s="37"/>
      <c r="I90" s="37"/>
      <c r="J90" s="39"/>
      <c r="K90" s="39"/>
      <c r="L90" s="37"/>
      <c r="M90" s="39"/>
      <c r="N90" s="39"/>
      <c r="O90" s="37"/>
      <c r="P90" s="39"/>
      <c r="Q90" s="39"/>
      <c r="R90" s="37"/>
      <c r="S90" s="39"/>
      <c r="T90" s="39"/>
      <c r="U90" s="37"/>
      <c r="V90" s="39"/>
      <c r="W90" s="39"/>
      <c r="X90" s="37"/>
      <c r="Y90" s="39"/>
      <c r="Z90" s="39"/>
      <c r="AA90" s="37"/>
      <c r="AB90" s="39"/>
      <c r="AC90" s="39"/>
      <c r="AD90" s="37"/>
      <c r="AE90" s="39"/>
      <c r="AF90" s="39"/>
      <c r="AG90" s="37"/>
      <c r="AH90" s="39"/>
      <c r="AI90" s="39"/>
      <c r="AJ90" s="37"/>
      <c r="AK90" s="39"/>
      <c r="AL90" s="39"/>
      <c r="AM90" s="37"/>
      <c r="AN90" s="39"/>
      <c r="AO90" s="39"/>
      <c r="AP90" s="37"/>
      <c r="AQ90" s="39"/>
      <c r="AR90" s="39"/>
    </row>
    <row r="91" spans="1:44" x14ac:dyDescent="0.45">
      <c r="A91" s="37"/>
      <c r="B91" s="37"/>
      <c r="C91" s="37"/>
      <c r="D91" s="37"/>
      <c r="E91" s="37"/>
      <c r="F91" s="37"/>
      <c r="G91" s="37"/>
      <c r="H91" s="37"/>
      <c r="I91" s="37"/>
      <c r="J91" s="39"/>
      <c r="K91" s="39"/>
      <c r="L91" s="37"/>
      <c r="M91" s="39"/>
      <c r="N91" s="39"/>
      <c r="O91" s="37"/>
      <c r="P91" s="39"/>
      <c r="Q91" s="39"/>
      <c r="R91" s="37"/>
      <c r="S91" s="39"/>
      <c r="T91" s="39"/>
      <c r="U91" s="37"/>
      <c r="V91" s="39"/>
      <c r="W91" s="39"/>
      <c r="X91" s="37"/>
      <c r="Y91" s="39"/>
      <c r="Z91" s="39"/>
      <c r="AA91" s="37"/>
      <c r="AB91" s="39"/>
      <c r="AC91" s="39"/>
      <c r="AD91" s="37"/>
      <c r="AE91" s="39"/>
      <c r="AF91" s="39"/>
      <c r="AG91" s="37"/>
      <c r="AH91" s="39"/>
      <c r="AI91" s="39"/>
      <c r="AJ91" s="37"/>
      <c r="AK91" s="39"/>
      <c r="AL91" s="39"/>
      <c r="AM91" s="37"/>
      <c r="AN91" s="39"/>
      <c r="AO91" s="39"/>
      <c r="AP91" s="37"/>
      <c r="AQ91" s="39"/>
      <c r="AR91" s="39"/>
    </row>
    <row r="92" spans="1:44" x14ac:dyDescent="0.45">
      <c r="A92" s="37"/>
      <c r="B92" s="37"/>
      <c r="C92" s="37"/>
      <c r="D92" s="37"/>
      <c r="E92" s="37"/>
      <c r="F92" s="37"/>
      <c r="G92" s="37"/>
      <c r="H92" s="37"/>
      <c r="I92" s="37"/>
      <c r="J92" s="39"/>
      <c r="K92" s="39"/>
      <c r="L92" s="37"/>
      <c r="M92" s="39"/>
      <c r="N92" s="39"/>
      <c r="O92" s="37"/>
      <c r="P92" s="39"/>
      <c r="Q92" s="39"/>
      <c r="R92" s="37"/>
      <c r="S92" s="39"/>
      <c r="T92" s="39"/>
      <c r="U92" s="37"/>
      <c r="V92" s="39"/>
      <c r="W92" s="39"/>
      <c r="X92" s="37"/>
      <c r="Y92" s="39"/>
      <c r="Z92" s="39"/>
      <c r="AA92" s="37"/>
      <c r="AB92" s="39"/>
      <c r="AC92" s="39"/>
      <c r="AD92" s="37"/>
      <c r="AE92" s="39"/>
      <c r="AF92" s="39"/>
      <c r="AG92" s="37"/>
      <c r="AH92" s="39"/>
      <c r="AI92" s="39"/>
      <c r="AJ92" s="37"/>
      <c r="AK92" s="39"/>
      <c r="AL92" s="39"/>
      <c r="AM92" s="37"/>
      <c r="AN92" s="39"/>
      <c r="AO92" s="39"/>
      <c r="AP92" s="37"/>
      <c r="AQ92" s="39"/>
      <c r="AR92" s="39"/>
    </row>
    <row r="93" spans="1:44" x14ac:dyDescent="0.45">
      <c r="A93" s="37"/>
      <c r="B93" s="37"/>
      <c r="C93" s="37"/>
      <c r="D93" s="37"/>
      <c r="E93" s="37"/>
      <c r="F93" s="37"/>
      <c r="G93" s="37"/>
      <c r="H93" s="37"/>
      <c r="I93" s="37"/>
      <c r="J93" s="39"/>
      <c r="K93" s="39"/>
      <c r="L93" s="37"/>
      <c r="M93" s="39"/>
      <c r="N93" s="39"/>
      <c r="O93" s="37"/>
      <c r="P93" s="39"/>
      <c r="Q93" s="39"/>
      <c r="R93" s="37"/>
      <c r="S93" s="39"/>
      <c r="T93" s="39"/>
      <c r="U93" s="37"/>
      <c r="V93" s="39"/>
      <c r="W93" s="39"/>
      <c r="X93" s="37"/>
      <c r="Y93" s="39"/>
      <c r="Z93" s="39"/>
      <c r="AA93" s="37"/>
      <c r="AB93" s="39"/>
      <c r="AC93" s="39"/>
      <c r="AD93" s="37"/>
      <c r="AE93" s="39"/>
      <c r="AF93" s="39"/>
      <c r="AG93" s="37"/>
      <c r="AH93" s="39"/>
      <c r="AI93" s="39"/>
      <c r="AJ93" s="37"/>
      <c r="AK93" s="39"/>
      <c r="AL93" s="39"/>
      <c r="AM93" s="37"/>
      <c r="AN93" s="39"/>
      <c r="AO93" s="39"/>
      <c r="AP93" s="37"/>
      <c r="AQ93" s="39"/>
      <c r="AR93" s="39"/>
    </row>
    <row r="94" spans="1:44" x14ac:dyDescent="0.45">
      <c r="A94" s="37"/>
      <c r="B94" s="37"/>
      <c r="C94" s="37"/>
      <c r="D94" s="37"/>
      <c r="E94" s="37"/>
      <c r="F94" s="37"/>
      <c r="G94" s="37"/>
      <c r="H94" s="37"/>
      <c r="I94" s="37"/>
      <c r="J94" s="39"/>
      <c r="K94" s="39"/>
      <c r="L94" s="37"/>
      <c r="M94" s="39"/>
      <c r="N94" s="39"/>
      <c r="O94" s="37"/>
      <c r="P94" s="39"/>
      <c r="Q94" s="39"/>
      <c r="R94" s="37"/>
      <c r="S94" s="39"/>
      <c r="T94" s="39"/>
      <c r="U94" s="37"/>
      <c r="V94" s="39"/>
      <c r="W94" s="39"/>
      <c r="X94" s="37"/>
      <c r="Y94" s="39"/>
      <c r="Z94" s="39"/>
      <c r="AA94" s="37"/>
      <c r="AB94" s="39"/>
      <c r="AC94" s="39"/>
      <c r="AD94" s="37"/>
      <c r="AE94" s="39"/>
      <c r="AF94" s="39"/>
      <c r="AG94" s="37"/>
      <c r="AH94" s="39"/>
      <c r="AI94" s="39"/>
      <c r="AJ94" s="37"/>
      <c r="AK94" s="39"/>
      <c r="AL94" s="39"/>
      <c r="AM94" s="37"/>
      <c r="AN94" s="39"/>
      <c r="AO94" s="39"/>
      <c r="AP94" s="37"/>
      <c r="AQ94" s="39"/>
      <c r="AR94" s="39"/>
    </row>
    <row r="95" spans="1:44" x14ac:dyDescent="0.45">
      <c r="A95" s="37"/>
      <c r="B95" s="37"/>
      <c r="C95" s="37"/>
      <c r="D95" s="37"/>
      <c r="E95" s="37"/>
      <c r="F95" s="37"/>
      <c r="G95" s="37"/>
      <c r="H95" s="37"/>
      <c r="I95" s="37"/>
      <c r="J95" s="39"/>
      <c r="K95" s="39"/>
      <c r="L95" s="37"/>
      <c r="M95" s="39"/>
      <c r="N95" s="39"/>
      <c r="O95" s="37"/>
      <c r="P95" s="39"/>
      <c r="Q95" s="39"/>
      <c r="R95" s="37"/>
      <c r="S95" s="39"/>
      <c r="T95" s="39"/>
      <c r="U95" s="37"/>
      <c r="V95" s="39"/>
      <c r="W95" s="39"/>
      <c r="X95" s="37"/>
      <c r="Y95" s="39"/>
      <c r="Z95" s="39"/>
      <c r="AA95" s="37"/>
      <c r="AB95" s="39"/>
      <c r="AC95" s="39"/>
      <c r="AD95" s="37"/>
      <c r="AE95" s="39"/>
      <c r="AF95" s="39"/>
      <c r="AG95" s="37"/>
      <c r="AH95" s="39"/>
      <c r="AI95" s="39"/>
      <c r="AJ95" s="37"/>
      <c r="AK95" s="39"/>
      <c r="AL95" s="39"/>
      <c r="AM95" s="37"/>
      <c r="AN95" s="39"/>
      <c r="AO95" s="39"/>
      <c r="AP95" s="37"/>
      <c r="AQ95" s="39"/>
      <c r="AR95" s="39"/>
    </row>
    <row r="96" spans="1:44" x14ac:dyDescent="0.45">
      <c r="A96" s="37"/>
      <c r="B96" s="37"/>
      <c r="C96" s="37"/>
      <c r="D96" s="37"/>
      <c r="E96" s="37"/>
      <c r="F96" s="37"/>
      <c r="G96" s="37"/>
      <c r="H96" s="37"/>
      <c r="I96" s="37"/>
      <c r="J96" s="39"/>
      <c r="K96" s="39"/>
      <c r="L96" s="37"/>
      <c r="M96" s="39"/>
      <c r="N96" s="39"/>
      <c r="O96" s="37"/>
      <c r="P96" s="39"/>
      <c r="Q96" s="39"/>
      <c r="R96" s="37"/>
      <c r="S96" s="39"/>
      <c r="T96" s="39"/>
      <c r="U96" s="37"/>
      <c r="V96" s="39"/>
      <c r="W96" s="39"/>
      <c r="X96" s="37"/>
      <c r="Y96" s="39"/>
      <c r="Z96" s="39"/>
      <c r="AA96" s="37"/>
      <c r="AB96" s="39"/>
      <c r="AC96" s="39"/>
      <c r="AD96" s="37"/>
      <c r="AE96" s="39"/>
      <c r="AF96" s="39"/>
      <c r="AG96" s="37"/>
      <c r="AH96" s="39"/>
      <c r="AI96" s="39"/>
      <c r="AJ96" s="37"/>
      <c r="AK96" s="39"/>
      <c r="AL96" s="39"/>
      <c r="AM96" s="37"/>
      <c r="AN96" s="39"/>
      <c r="AO96" s="39"/>
      <c r="AP96" s="37"/>
      <c r="AQ96" s="39"/>
      <c r="AR96" s="39"/>
    </row>
    <row r="97" spans="1:44" x14ac:dyDescent="0.45">
      <c r="A97" s="37"/>
      <c r="B97" s="37"/>
      <c r="C97" s="37"/>
      <c r="D97" s="37"/>
      <c r="E97" s="37"/>
      <c r="F97" s="37"/>
      <c r="G97" s="37"/>
      <c r="H97" s="37"/>
      <c r="I97" s="37"/>
      <c r="J97" s="39"/>
      <c r="K97" s="39"/>
      <c r="L97" s="37"/>
      <c r="M97" s="39"/>
      <c r="N97" s="39"/>
      <c r="O97" s="37"/>
      <c r="P97" s="39"/>
      <c r="Q97" s="39"/>
      <c r="R97" s="37"/>
      <c r="S97" s="39"/>
      <c r="T97" s="39"/>
      <c r="U97" s="37"/>
      <c r="V97" s="39"/>
      <c r="W97" s="39"/>
      <c r="X97" s="37"/>
      <c r="Y97" s="39"/>
      <c r="Z97" s="39"/>
      <c r="AA97" s="37"/>
      <c r="AB97" s="39"/>
      <c r="AC97" s="39"/>
      <c r="AD97" s="37"/>
      <c r="AE97" s="39"/>
      <c r="AF97" s="39"/>
      <c r="AG97" s="37"/>
      <c r="AH97" s="39"/>
      <c r="AI97" s="39"/>
      <c r="AJ97" s="37"/>
      <c r="AK97" s="39"/>
      <c r="AL97" s="39"/>
      <c r="AM97" s="37"/>
      <c r="AN97" s="39"/>
      <c r="AO97" s="39"/>
      <c r="AP97" s="37"/>
      <c r="AQ97" s="39"/>
      <c r="AR97" s="39"/>
    </row>
    <row r="98" spans="1:44" x14ac:dyDescent="0.45">
      <c r="A98" s="37"/>
      <c r="B98" s="37"/>
      <c r="C98" s="37"/>
      <c r="D98" s="37"/>
      <c r="E98" s="37"/>
      <c r="F98" s="37"/>
      <c r="G98" s="37"/>
      <c r="H98" s="37"/>
      <c r="I98" s="37"/>
      <c r="J98" s="39"/>
      <c r="K98" s="39"/>
      <c r="L98" s="37"/>
      <c r="M98" s="39"/>
      <c r="N98" s="39"/>
      <c r="O98" s="37"/>
      <c r="P98" s="39"/>
      <c r="Q98" s="39"/>
      <c r="R98" s="37"/>
      <c r="S98" s="39"/>
      <c r="T98" s="39"/>
      <c r="U98" s="37"/>
      <c r="V98" s="39"/>
      <c r="W98" s="39"/>
      <c r="X98" s="37"/>
      <c r="Y98" s="39"/>
      <c r="Z98" s="39"/>
      <c r="AA98" s="37"/>
      <c r="AB98" s="39"/>
      <c r="AC98" s="39"/>
      <c r="AD98" s="37"/>
      <c r="AE98" s="39"/>
      <c r="AF98" s="39"/>
      <c r="AG98" s="37"/>
      <c r="AH98" s="39"/>
      <c r="AI98" s="39"/>
      <c r="AJ98" s="37"/>
      <c r="AK98" s="39"/>
      <c r="AL98" s="39"/>
      <c r="AM98" s="37"/>
      <c r="AN98" s="39"/>
      <c r="AO98" s="39"/>
      <c r="AP98" s="37"/>
      <c r="AQ98" s="39"/>
      <c r="AR98" s="39"/>
    </row>
    <row r="99" spans="1:44" x14ac:dyDescent="0.45">
      <c r="A99" s="37"/>
      <c r="B99" s="37"/>
      <c r="C99" s="37"/>
      <c r="D99" s="37"/>
      <c r="E99" s="37"/>
      <c r="F99" s="37"/>
      <c r="G99" s="37"/>
      <c r="H99" s="37"/>
      <c r="I99" s="37"/>
      <c r="J99" s="39"/>
      <c r="K99" s="39"/>
      <c r="L99" s="37"/>
      <c r="M99" s="39"/>
      <c r="N99" s="39"/>
      <c r="O99" s="37"/>
      <c r="P99" s="39"/>
      <c r="Q99" s="39"/>
      <c r="R99" s="37"/>
      <c r="S99" s="39"/>
      <c r="T99" s="39"/>
      <c r="U99" s="37"/>
      <c r="V99" s="39"/>
      <c r="W99" s="39"/>
      <c r="X99" s="37"/>
      <c r="Y99" s="39"/>
      <c r="Z99" s="39"/>
      <c r="AA99" s="37"/>
      <c r="AB99" s="39"/>
      <c r="AC99" s="39"/>
      <c r="AD99" s="37"/>
      <c r="AE99" s="39"/>
      <c r="AF99" s="39"/>
      <c r="AG99" s="37"/>
      <c r="AH99" s="39"/>
      <c r="AI99" s="39"/>
      <c r="AJ99" s="37"/>
      <c r="AK99" s="39"/>
      <c r="AL99" s="39"/>
      <c r="AM99" s="37"/>
      <c r="AN99" s="39"/>
      <c r="AO99" s="39"/>
      <c r="AP99" s="37"/>
      <c r="AQ99" s="39"/>
      <c r="AR99" s="39"/>
    </row>
    <row r="100" spans="1:44" x14ac:dyDescent="0.45">
      <c r="A100" s="37"/>
      <c r="B100" s="37"/>
      <c r="C100" s="37"/>
      <c r="D100" s="37"/>
      <c r="E100" s="37"/>
      <c r="F100" s="37"/>
      <c r="G100" s="37"/>
      <c r="H100" s="37"/>
      <c r="I100" s="37"/>
      <c r="J100" s="39"/>
      <c r="K100" s="39"/>
      <c r="L100" s="37"/>
      <c r="M100" s="39"/>
      <c r="N100" s="39"/>
      <c r="O100" s="37"/>
      <c r="P100" s="39"/>
      <c r="Q100" s="39"/>
      <c r="R100" s="37"/>
      <c r="S100" s="39"/>
      <c r="T100" s="39"/>
      <c r="U100" s="37"/>
      <c r="V100" s="39"/>
      <c r="W100" s="39"/>
      <c r="X100" s="37"/>
      <c r="Y100" s="39"/>
      <c r="Z100" s="39"/>
      <c r="AA100" s="37"/>
      <c r="AB100" s="39"/>
      <c r="AC100" s="39"/>
      <c r="AD100" s="37"/>
      <c r="AE100" s="39"/>
      <c r="AF100" s="39"/>
      <c r="AG100" s="37"/>
      <c r="AH100" s="39"/>
      <c r="AI100" s="39"/>
      <c r="AJ100" s="37"/>
      <c r="AK100" s="39"/>
      <c r="AL100" s="39"/>
      <c r="AM100" s="37"/>
      <c r="AN100" s="39"/>
      <c r="AO100" s="39"/>
      <c r="AP100" s="37"/>
      <c r="AQ100" s="39"/>
      <c r="AR100" s="39"/>
    </row>
    <row r="101" spans="1:44" x14ac:dyDescent="0.45">
      <c r="A101" s="37"/>
      <c r="B101" s="37"/>
      <c r="C101" s="37"/>
      <c r="D101" s="37"/>
      <c r="E101" s="37"/>
      <c r="F101" s="37"/>
      <c r="G101" s="37"/>
      <c r="H101" s="37"/>
      <c r="I101" s="37"/>
      <c r="J101" s="39"/>
      <c r="K101" s="39"/>
      <c r="L101" s="37"/>
      <c r="M101" s="39"/>
      <c r="N101" s="39"/>
      <c r="O101" s="37"/>
      <c r="P101" s="39"/>
      <c r="Q101" s="39"/>
      <c r="R101" s="37"/>
      <c r="S101" s="39"/>
      <c r="T101" s="39"/>
      <c r="U101" s="37"/>
      <c r="V101" s="39"/>
      <c r="W101" s="39"/>
      <c r="X101" s="37"/>
      <c r="Y101" s="39"/>
      <c r="Z101" s="39"/>
      <c r="AA101" s="37"/>
      <c r="AB101" s="39"/>
      <c r="AC101" s="39"/>
      <c r="AD101" s="37"/>
      <c r="AE101" s="39"/>
      <c r="AF101" s="39"/>
      <c r="AG101" s="37"/>
      <c r="AH101" s="39"/>
      <c r="AI101" s="39"/>
      <c r="AJ101" s="37"/>
      <c r="AK101" s="39"/>
      <c r="AL101" s="39"/>
      <c r="AM101" s="37"/>
      <c r="AN101" s="39"/>
      <c r="AO101" s="39"/>
      <c r="AP101" s="37"/>
      <c r="AQ101" s="39"/>
      <c r="AR101" s="39"/>
    </row>
    <row r="102" spans="1:44" x14ac:dyDescent="0.45">
      <c r="A102" s="37"/>
      <c r="B102" s="37"/>
      <c r="C102" s="37"/>
      <c r="D102" s="37"/>
      <c r="E102" s="37"/>
      <c r="F102" s="37"/>
      <c r="G102" s="37"/>
      <c r="H102" s="37"/>
      <c r="I102" s="37"/>
      <c r="J102" s="39"/>
      <c r="K102" s="39"/>
      <c r="L102" s="37"/>
      <c r="M102" s="39"/>
      <c r="N102" s="39"/>
      <c r="O102" s="37"/>
      <c r="P102" s="39"/>
      <c r="Q102" s="39"/>
      <c r="R102" s="37"/>
      <c r="S102" s="39"/>
      <c r="T102" s="39"/>
      <c r="U102" s="37"/>
      <c r="V102" s="39"/>
      <c r="W102" s="39"/>
      <c r="X102" s="37"/>
      <c r="Y102" s="39"/>
      <c r="Z102" s="39"/>
      <c r="AA102" s="37"/>
      <c r="AB102" s="39"/>
      <c r="AC102" s="39"/>
      <c r="AD102" s="37"/>
      <c r="AE102" s="39"/>
      <c r="AF102" s="39"/>
      <c r="AG102" s="37"/>
      <c r="AH102" s="39"/>
      <c r="AI102" s="39"/>
      <c r="AJ102" s="37"/>
      <c r="AK102" s="39"/>
      <c r="AL102" s="39"/>
      <c r="AM102" s="37"/>
      <c r="AN102" s="39"/>
      <c r="AO102" s="39"/>
      <c r="AP102" s="37"/>
      <c r="AQ102" s="39"/>
      <c r="AR102" s="39"/>
    </row>
    <row r="103" spans="1:44" x14ac:dyDescent="0.45">
      <c r="A103" s="37"/>
      <c r="B103" s="37"/>
      <c r="C103" s="37"/>
      <c r="D103" s="37"/>
      <c r="E103" s="37"/>
      <c r="F103" s="37"/>
      <c r="G103" s="37"/>
      <c r="H103" s="37"/>
      <c r="I103" s="37"/>
      <c r="J103" s="39"/>
      <c r="K103" s="39"/>
      <c r="L103" s="37"/>
      <c r="M103" s="39"/>
      <c r="N103" s="39"/>
      <c r="O103" s="37"/>
      <c r="P103" s="39"/>
      <c r="Q103" s="39"/>
      <c r="R103" s="37"/>
      <c r="S103" s="39"/>
      <c r="T103" s="39"/>
      <c r="U103" s="37"/>
      <c r="V103" s="39"/>
      <c r="W103" s="39"/>
      <c r="X103" s="37"/>
      <c r="Y103" s="39"/>
      <c r="Z103" s="39"/>
      <c r="AA103" s="37"/>
      <c r="AB103" s="39"/>
      <c r="AC103" s="39"/>
      <c r="AD103" s="37"/>
      <c r="AE103" s="39"/>
      <c r="AF103" s="39"/>
      <c r="AG103" s="37"/>
      <c r="AH103" s="39"/>
      <c r="AI103" s="39"/>
      <c r="AJ103" s="37"/>
      <c r="AK103" s="39"/>
      <c r="AL103" s="39"/>
      <c r="AM103" s="37"/>
      <c r="AN103" s="39"/>
      <c r="AO103" s="39"/>
      <c r="AP103" s="37"/>
      <c r="AQ103" s="39"/>
      <c r="AR103" s="39"/>
    </row>
    <row r="104" spans="1:44" x14ac:dyDescent="0.45">
      <c r="A104" s="37"/>
      <c r="B104" s="37"/>
      <c r="C104" s="37"/>
      <c r="D104" s="37"/>
      <c r="E104" s="37"/>
      <c r="F104" s="37"/>
      <c r="G104" s="37"/>
      <c r="H104" s="37"/>
      <c r="I104" s="37"/>
      <c r="J104" s="39"/>
      <c r="K104" s="39"/>
      <c r="L104" s="37"/>
      <c r="M104" s="39"/>
      <c r="N104" s="39"/>
      <c r="O104" s="37"/>
      <c r="P104" s="39"/>
      <c r="Q104" s="39"/>
      <c r="R104" s="37"/>
      <c r="S104" s="39"/>
      <c r="T104" s="39"/>
      <c r="U104" s="37"/>
      <c r="V104" s="39"/>
      <c r="W104" s="39"/>
      <c r="X104" s="37"/>
      <c r="Y104" s="39"/>
      <c r="Z104" s="39"/>
      <c r="AA104" s="37"/>
      <c r="AB104" s="39"/>
      <c r="AC104" s="39"/>
      <c r="AD104" s="37"/>
      <c r="AE104" s="39"/>
      <c r="AF104" s="39"/>
      <c r="AG104" s="37"/>
      <c r="AH104" s="39"/>
      <c r="AI104" s="39"/>
      <c r="AJ104" s="37"/>
      <c r="AK104" s="39"/>
      <c r="AL104" s="39"/>
      <c r="AM104" s="37"/>
      <c r="AN104" s="39"/>
      <c r="AO104" s="39"/>
      <c r="AP104" s="37"/>
      <c r="AQ104" s="39"/>
      <c r="AR104" s="39"/>
    </row>
    <row r="105" spans="1:44" x14ac:dyDescent="0.45">
      <c r="A105" s="37"/>
      <c r="B105" s="37"/>
      <c r="C105" s="37"/>
      <c r="D105" s="37"/>
      <c r="E105" s="37"/>
      <c r="F105" s="37"/>
      <c r="G105" s="37"/>
      <c r="H105" s="37"/>
      <c r="I105" s="37"/>
      <c r="J105" s="39"/>
      <c r="K105" s="39"/>
      <c r="L105" s="37"/>
      <c r="M105" s="39"/>
      <c r="N105" s="39"/>
      <c r="O105" s="37"/>
      <c r="P105" s="39"/>
      <c r="Q105" s="39"/>
      <c r="R105" s="37"/>
      <c r="S105" s="39"/>
      <c r="T105" s="39"/>
      <c r="U105" s="37"/>
      <c r="V105" s="39"/>
      <c r="W105" s="39"/>
      <c r="X105" s="37"/>
      <c r="Y105" s="39"/>
      <c r="Z105" s="39"/>
      <c r="AA105" s="37"/>
      <c r="AB105" s="39"/>
      <c r="AC105" s="39"/>
      <c r="AD105" s="37"/>
      <c r="AE105" s="39"/>
      <c r="AF105" s="39"/>
      <c r="AG105" s="37"/>
      <c r="AH105" s="39"/>
      <c r="AI105" s="39"/>
      <c r="AJ105" s="37"/>
      <c r="AK105" s="39"/>
      <c r="AL105" s="39"/>
      <c r="AM105" s="37"/>
      <c r="AN105" s="39"/>
      <c r="AO105" s="39"/>
      <c r="AP105" s="37"/>
      <c r="AQ105" s="39"/>
      <c r="AR105" s="39"/>
    </row>
    <row r="106" spans="1:44" x14ac:dyDescent="0.45">
      <c r="A106" s="37"/>
      <c r="B106" s="37"/>
      <c r="C106" s="37"/>
      <c r="D106" s="37"/>
      <c r="E106" s="37"/>
      <c r="F106" s="37"/>
      <c r="G106" s="37"/>
      <c r="H106" s="37"/>
      <c r="I106" s="37"/>
      <c r="J106" s="39"/>
      <c r="K106" s="39"/>
      <c r="L106" s="37"/>
      <c r="M106" s="39"/>
      <c r="N106" s="39"/>
      <c r="O106" s="37"/>
      <c r="P106" s="39"/>
      <c r="Q106" s="39"/>
      <c r="R106" s="37"/>
      <c r="S106" s="39"/>
      <c r="T106" s="39"/>
      <c r="U106" s="37"/>
      <c r="V106" s="39"/>
      <c r="W106" s="39"/>
      <c r="X106" s="37"/>
      <c r="Y106" s="39"/>
      <c r="Z106" s="39"/>
      <c r="AA106" s="37"/>
      <c r="AB106" s="39"/>
      <c r="AC106" s="39"/>
      <c r="AD106" s="37"/>
      <c r="AE106" s="39"/>
      <c r="AF106" s="39"/>
      <c r="AG106" s="37"/>
      <c r="AH106" s="39"/>
      <c r="AI106" s="39"/>
      <c r="AJ106" s="37"/>
      <c r="AK106" s="39"/>
      <c r="AL106" s="39"/>
      <c r="AM106" s="37"/>
      <c r="AN106" s="39"/>
      <c r="AO106" s="39"/>
      <c r="AP106" s="37"/>
      <c r="AQ106" s="39"/>
      <c r="AR106" s="39"/>
    </row>
    <row r="107" spans="1:44" x14ac:dyDescent="0.45">
      <c r="A107" s="37"/>
      <c r="B107" s="37"/>
      <c r="C107" s="37"/>
      <c r="D107" s="37"/>
      <c r="E107" s="37"/>
      <c r="F107" s="37"/>
      <c r="G107" s="37"/>
      <c r="H107" s="37"/>
      <c r="I107" s="37"/>
      <c r="J107" s="39"/>
      <c r="K107" s="39"/>
      <c r="L107" s="37"/>
      <c r="M107" s="39"/>
      <c r="N107" s="39"/>
      <c r="O107" s="37"/>
      <c r="P107" s="39"/>
      <c r="Q107" s="39"/>
      <c r="R107" s="37"/>
      <c r="S107" s="39"/>
      <c r="T107" s="39"/>
      <c r="U107" s="37"/>
      <c r="V107" s="39"/>
      <c r="W107" s="39"/>
      <c r="X107" s="37"/>
      <c r="Y107" s="39"/>
      <c r="Z107" s="39"/>
      <c r="AA107" s="37"/>
      <c r="AB107" s="39"/>
      <c r="AC107" s="39"/>
      <c r="AD107" s="37"/>
      <c r="AE107" s="39"/>
      <c r="AF107" s="39"/>
      <c r="AG107" s="37"/>
      <c r="AH107" s="39"/>
      <c r="AI107" s="39"/>
      <c r="AJ107" s="37"/>
      <c r="AK107" s="39"/>
      <c r="AL107" s="39"/>
      <c r="AM107" s="37"/>
      <c r="AN107" s="39"/>
      <c r="AO107" s="39"/>
      <c r="AP107" s="37"/>
      <c r="AQ107" s="39"/>
      <c r="AR107" s="39"/>
    </row>
    <row r="108" spans="1:44" x14ac:dyDescent="0.45">
      <c r="A108" s="37"/>
      <c r="B108" s="37"/>
      <c r="C108" s="37"/>
      <c r="D108" s="37"/>
      <c r="E108" s="37"/>
      <c r="F108" s="37"/>
      <c r="G108" s="37"/>
      <c r="H108" s="37"/>
      <c r="I108" s="37"/>
      <c r="J108" s="39"/>
      <c r="K108" s="39"/>
      <c r="L108" s="37"/>
      <c r="M108" s="39"/>
      <c r="N108" s="39"/>
      <c r="O108" s="37"/>
      <c r="P108" s="39"/>
      <c r="Q108" s="39"/>
      <c r="R108" s="37"/>
      <c r="S108" s="39"/>
      <c r="T108" s="39"/>
      <c r="U108" s="37"/>
      <c r="V108" s="39"/>
      <c r="W108" s="39"/>
      <c r="X108" s="37"/>
      <c r="Y108" s="39"/>
      <c r="Z108" s="39"/>
      <c r="AA108" s="37"/>
      <c r="AB108" s="39"/>
      <c r="AC108" s="39"/>
      <c r="AD108" s="37"/>
      <c r="AE108" s="39"/>
      <c r="AF108" s="39"/>
      <c r="AG108" s="37"/>
      <c r="AH108" s="39"/>
      <c r="AI108" s="39"/>
      <c r="AJ108" s="37"/>
      <c r="AK108" s="39"/>
      <c r="AL108" s="39"/>
      <c r="AM108" s="37"/>
      <c r="AN108" s="39"/>
      <c r="AO108" s="39"/>
      <c r="AP108" s="37"/>
      <c r="AQ108" s="39"/>
      <c r="AR108" s="39"/>
    </row>
    <row r="109" spans="1:44" x14ac:dyDescent="0.45">
      <c r="A109" s="37"/>
      <c r="B109" s="37"/>
      <c r="C109" s="37"/>
      <c r="D109" s="37"/>
      <c r="E109" s="37"/>
      <c r="F109" s="37"/>
      <c r="G109" s="37"/>
      <c r="H109" s="37"/>
      <c r="I109" s="37"/>
      <c r="J109" s="39"/>
      <c r="K109" s="39"/>
      <c r="L109" s="37"/>
      <c r="M109" s="39"/>
      <c r="N109" s="39"/>
      <c r="O109" s="37"/>
      <c r="P109" s="39"/>
      <c r="Q109" s="39"/>
      <c r="R109" s="37"/>
      <c r="S109" s="39"/>
      <c r="T109" s="39"/>
      <c r="U109" s="37"/>
      <c r="V109" s="39"/>
      <c r="W109" s="39"/>
      <c r="X109" s="37"/>
      <c r="Y109" s="39"/>
      <c r="Z109" s="39"/>
      <c r="AA109" s="37"/>
      <c r="AB109" s="39"/>
      <c r="AC109" s="39"/>
      <c r="AD109" s="37"/>
      <c r="AE109" s="39"/>
      <c r="AF109" s="39"/>
      <c r="AG109" s="37"/>
      <c r="AH109" s="39"/>
      <c r="AI109" s="39"/>
      <c r="AJ109" s="37"/>
      <c r="AK109" s="39"/>
      <c r="AL109" s="39"/>
      <c r="AM109" s="37"/>
      <c r="AN109" s="39"/>
      <c r="AO109" s="39"/>
      <c r="AP109" s="37"/>
      <c r="AQ109" s="39"/>
      <c r="AR109" s="39"/>
    </row>
    <row r="110" spans="1:44" x14ac:dyDescent="0.45">
      <c r="A110" s="37"/>
      <c r="B110" s="37"/>
      <c r="C110" s="37"/>
      <c r="D110" s="37"/>
      <c r="E110" s="37"/>
      <c r="F110" s="37"/>
      <c r="G110" s="37"/>
      <c r="H110" s="37"/>
      <c r="I110" s="37"/>
      <c r="J110" s="39"/>
      <c r="K110" s="39"/>
      <c r="L110" s="37"/>
      <c r="M110" s="39"/>
      <c r="N110" s="39"/>
      <c r="O110" s="37"/>
      <c r="P110" s="39"/>
      <c r="Q110" s="39"/>
      <c r="R110" s="37"/>
      <c r="S110" s="39"/>
      <c r="T110" s="39"/>
      <c r="U110" s="37"/>
      <c r="V110" s="39"/>
      <c r="W110" s="39"/>
      <c r="X110" s="37"/>
      <c r="Y110" s="39"/>
      <c r="Z110" s="39"/>
      <c r="AA110" s="37"/>
      <c r="AB110" s="39"/>
      <c r="AC110" s="39"/>
      <c r="AD110" s="37"/>
      <c r="AE110" s="39"/>
      <c r="AF110" s="39"/>
      <c r="AG110" s="37"/>
      <c r="AH110" s="39"/>
      <c r="AI110" s="39"/>
      <c r="AJ110" s="37"/>
      <c r="AK110" s="39"/>
      <c r="AL110" s="39"/>
      <c r="AM110" s="37"/>
      <c r="AN110" s="39"/>
      <c r="AO110" s="39"/>
      <c r="AP110" s="37"/>
      <c r="AQ110" s="39"/>
      <c r="AR110" s="39"/>
    </row>
    <row r="111" spans="1:44" x14ac:dyDescent="0.45">
      <c r="A111" s="37"/>
      <c r="B111" s="37"/>
      <c r="C111" s="37"/>
      <c r="D111" s="37"/>
      <c r="E111" s="37"/>
      <c r="F111" s="37"/>
      <c r="G111" s="37"/>
      <c r="H111" s="37"/>
      <c r="I111" s="37"/>
      <c r="J111" s="39"/>
      <c r="K111" s="39"/>
      <c r="L111" s="37"/>
      <c r="M111" s="39"/>
      <c r="N111" s="39"/>
      <c r="O111" s="37"/>
      <c r="P111" s="39"/>
      <c r="Q111" s="39"/>
      <c r="R111" s="37"/>
      <c r="S111" s="39"/>
      <c r="T111" s="39"/>
      <c r="U111" s="37"/>
      <c r="V111" s="39"/>
      <c r="W111" s="39"/>
      <c r="X111" s="37"/>
      <c r="Y111" s="39"/>
      <c r="Z111" s="39"/>
      <c r="AA111" s="37"/>
      <c r="AB111" s="39"/>
      <c r="AC111" s="39"/>
      <c r="AD111" s="37"/>
      <c r="AE111" s="39"/>
      <c r="AF111" s="39"/>
      <c r="AG111" s="37"/>
      <c r="AH111" s="39"/>
      <c r="AI111" s="39"/>
      <c r="AJ111" s="37"/>
      <c r="AK111" s="39"/>
      <c r="AL111" s="39"/>
      <c r="AM111" s="37"/>
      <c r="AN111" s="39"/>
      <c r="AO111" s="39"/>
      <c r="AP111" s="37"/>
      <c r="AQ111" s="39"/>
      <c r="AR111" s="39"/>
    </row>
    <row r="112" spans="1:44" x14ac:dyDescent="0.45">
      <c r="A112" s="37"/>
      <c r="B112" s="37"/>
      <c r="C112" s="37"/>
      <c r="D112" s="37"/>
      <c r="E112" s="37"/>
      <c r="F112" s="37"/>
      <c r="G112" s="37"/>
      <c r="H112" s="37"/>
      <c r="I112" s="37"/>
      <c r="J112" s="39"/>
      <c r="K112" s="39"/>
      <c r="L112" s="37"/>
      <c r="M112" s="39"/>
      <c r="N112" s="39"/>
      <c r="O112" s="37"/>
      <c r="P112" s="39"/>
      <c r="Q112" s="39"/>
      <c r="R112" s="37"/>
      <c r="S112" s="39"/>
      <c r="T112" s="39"/>
      <c r="U112" s="37"/>
      <c r="V112" s="39"/>
      <c r="W112" s="39"/>
      <c r="X112" s="37"/>
      <c r="Y112" s="39"/>
      <c r="Z112" s="39"/>
      <c r="AA112" s="37"/>
      <c r="AB112" s="39"/>
      <c r="AC112" s="39"/>
      <c r="AD112" s="37"/>
      <c r="AE112" s="39"/>
      <c r="AF112" s="39"/>
      <c r="AG112" s="37"/>
      <c r="AH112" s="39"/>
      <c r="AI112" s="39"/>
      <c r="AJ112" s="37"/>
      <c r="AK112" s="39"/>
      <c r="AL112" s="39"/>
      <c r="AM112" s="37"/>
      <c r="AN112" s="39"/>
      <c r="AO112" s="39"/>
      <c r="AP112" s="37"/>
      <c r="AQ112" s="39"/>
      <c r="AR112" s="39"/>
    </row>
    <row r="113" spans="1:44" x14ac:dyDescent="0.45">
      <c r="A113" s="37"/>
      <c r="B113" s="37"/>
      <c r="C113" s="37"/>
      <c r="D113" s="37"/>
      <c r="E113" s="37"/>
      <c r="F113" s="37"/>
      <c r="G113" s="37"/>
      <c r="H113" s="37"/>
      <c r="I113" s="37"/>
      <c r="J113" s="39"/>
      <c r="K113" s="39"/>
      <c r="L113" s="37"/>
      <c r="M113" s="39"/>
      <c r="N113" s="39"/>
      <c r="O113" s="37"/>
      <c r="P113" s="39"/>
      <c r="Q113" s="39"/>
      <c r="R113" s="37"/>
      <c r="S113" s="39"/>
      <c r="T113" s="39"/>
      <c r="U113" s="37"/>
      <c r="V113" s="39"/>
      <c r="W113" s="39"/>
      <c r="X113" s="37"/>
      <c r="Y113" s="39"/>
      <c r="Z113" s="39"/>
      <c r="AA113" s="37"/>
      <c r="AB113" s="39"/>
      <c r="AC113" s="39"/>
      <c r="AD113" s="37"/>
      <c r="AE113" s="39"/>
      <c r="AF113" s="39"/>
      <c r="AG113" s="37"/>
      <c r="AH113" s="39"/>
      <c r="AI113" s="39"/>
      <c r="AJ113" s="37"/>
      <c r="AK113" s="39"/>
      <c r="AL113" s="39"/>
      <c r="AM113" s="37"/>
      <c r="AN113" s="39"/>
      <c r="AO113" s="39"/>
      <c r="AP113" s="37"/>
      <c r="AQ113" s="39"/>
      <c r="AR113" s="39"/>
    </row>
    <row r="114" spans="1:44" x14ac:dyDescent="0.45">
      <c r="A114" s="37"/>
      <c r="B114" s="37"/>
      <c r="C114" s="37"/>
      <c r="D114" s="37"/>
      <c r="E114" s="37"/>
      <c r="F114" s="37"/>
      <c r="G114" s="37"/>
      <c r="H114" s="37"/>
      <c r="I114" s="37"/>
      <c r="J114" s="39"/>
      <c r="K114" s="39"/>
      <c r="L114" s="37"/>
      <c r="M114" s="39"/>
      <c r="N114" s="39"/>
      <c r="O114" s="37"/>
      <c r="P114" s="39"/>
      <c r="Q114" s="39"/>
      <c r="R114" s="37"/>
      <c r="S114" s="39"/>
      <c r="T114" s="39"/>
      <c r="U114" s="37"/>
      <c r="V114" s="39"/>
      <c r="W114" s="39"/>
      <c r="X114" s="37"/>
      <c r="Y114" s="39"/>
      <c r="Z114" s="39"/>
      <c r="AA114" s="37"/>
      <c r="AB114" s="39"/>
      <c r="AC114" s="39"/>
      <c r="AD114" s="37"/>
      <c r="AE114" s="39"/>
      <c r="AF114" s="39"/>
      <c r="AG114" s="37"/>
      <c r="AH114" s="39"/>
      <c r="AI114" s="39"/>
      <c r="AJ114" s="37"/>
      <c r="AK114" s="39"/>
      <c r="AL114" s="39"/>
      <c r="AM114" s="37"/>
      <c r="AN114" s="39"/>
      <c r="AO114" s="39"/>
      <c r="AP114" s="37"/>
      <c r="AQ114" s="39"/>
      <c r="AR114" s="39"/>
    </row>
    <row r="115" spans="1:44" x14ac:dyDescent="0.45">
      <c r="A115" s="37"/>
      <c r="B115" s="37"/>
      <c r="C115" s="37"/>
      <c r="D115" s="37"/>
      <c r="E115" s="37"/>
      <c r="F115" s="37"/>
      <c r="G115" s="37"/>
      <c r="H115" s="37"/>
      <c r="I115" s="37"/>
      <c r="J115" s="39"/>
      <c r="K115" s="39"/>
      <c r="L115" s="37"/>
      <c r="M115" s="39"/>
      <c r="N115" s="39"/>
      <c r="O115" s="37"/>
      <c r="P115" s="39"/>
      <c r="Q115" s="39"/>
      <c r="R115" s="37"/>
      <c r="S115" s="39"/>
      <c r="T115" s="39"/>
      <c r="U115" s="37"/>
      <c r="V115" s="39"/>
      <c r="W115" s="39"/>
      <c r="X115" s="37"/>
      <c r="Y115" s="39"/>
      <c r="Z115" s="39"/>
      <c r="AA115" s="37"/>
      <c r="AB115" s="39"/>
      <c r="AC115" s="39"/>
      <c r="AD115" s="37"/>
      <c r="AE115" s="39"/>
      <c r="AF115" s="39"/>
      <c r="AG115" s="37"/>
      <c r="AH115" s="39"/>
      <c r="AI115" s="39"/>
      <c r="AJ115" s="37"/>
      <c r="AK115" s="39"/>
      <c r="AL115" s="39"/>
      <c r="AM115" s="37"/>
      <c r="AN115" s="39"/>
      <c r="AO115" s="39"/>
      <c r="AP115" s="37"/>
      <c r="AQ115" s="39"/>
      <c r="AR115" s="39"/>
    </row>
    <row r="116" spans="1:44" x14ac:dyDescent="0.45">
      <c r="A116" s="37"/>
      <c r="B116" s="37"/>
      <c r="C116" s="37"/>
      <c r="D116" s="37"/>
      <c r="E116" s="37"/>
      <c r="F116" s="37"/>
      <c r="G116" s="37"/>
      <c r="H116" s="37"/>
      <c r="I116" s="37"/>
      <c r="J116" s="39"/>
      <c r="K116" s="39"/>
      <c r="L116" s="37"/>
      <c r="M116" s="39"/>
      <c r="N116" s="39"/>
      <c r="O116" s="37"/>
      <c r="P116" s="39"/>
      <c r="Q116" s="39"/>
      <c r="R116" s="37"/>
      <c r="S116" s="39"/>
      <c r="T116" s="39"/>
      <c r="U116" s="37"/>
      <c r="V116" s="39"/>
      <c r="W116" s="39"/>
      <c r="X116" s="37"/>
      <c r="Y116" s="39"/>
      <c r="Z116" s="39"/>
      <c r="AA116" s="37"/>
      <c r="AB116" s="39"/>
      <c r="AC116" s="39"/>
      <c r="AD116" s="37"/>
      <c r="AE116" s="39"/>
      <c r="AF116" s="39"/>
      <c r="AG116" s="37"/>
      <c r="AH116" s="39"/>
      <c r="AI116" s="39"/>
      <c r="AJ116" s="37"/>
      <c r="AK116" s="39"/>
      <c r="AL116" s="39"/>
      <c r="AM116" s="37"/>
      <c r="AN116" s="39"/>
      <c r="AO116" s="39"/>
      <c r="AP116" s="37"/>
      <c r="AQ116" s="39"/>
      <c r="AR116" s="39"/>
    </row>
    <row r="117" spans="1:44" x14ac:dyDescent="0.45">
      <c r="A117" s="37"/>
      <c r="B117" s="37"/>
      <c r="C117" s="37"/>
      <c r="D117" s="37"/>
      <c r="E117" s="37"/>
      <c r="F117" s="37"/>
      <c r="G117" s="37"/>
      <c r="H117" s="37"/>
      <c r="I117" s="37"/>
      <c r="J117" s="39"/>
      <c r="K117" s="39"/>
      <c r="L117" s="37"/>
      <c r="M117" s="39"/>
      <c r="N117" s="39"/>
      <c r="O117" s="37"/>
      <c r="P117" s="39"/>
      <c r="Q117" s="39"/>
      <c r="R117" s="37"/>
      <c r="S117" s="39"/>
      <c r="T117" s="39"/>
      <c r="U117" s="37"/>
      <c r="V117" s="39"/>
      <c r="W117" s="39"/>
      <c r="X117" s="37"/>
      <c r="Y117" s="39"/>
      <c r="Z117" s="39"/>
      <c r="AA117" s="37"/>
      <c r="AB117" s="39"/>
      <c r="AC117" s="39"/>
      <c r="AD117" s="37"/>
      <c r="AE117" s="39"/>
      <c r="AF117" s="39"/>
      <c r="AG117" s="37"/>
      <c r="AH117" s="39"/>
      <c r="AI117" s="39"/>
      <c r="AJ117" s="37"/>
      <c r="AK117" s="39"/>
      <c r="AL117" s="39"/>
      <c r="AM117" s="37"/>
      <c r="AN117" s="39"/>
      <c r="AO117" s="39"/>
      <c r="AP117" s="37"/>
      <c r="AQ117" s="39"/>
      <c r="AR117" s="39"/>
    </row>
    <row r="118" spans="1:44" x14ac:dyDescent="0.45">
      <c r="A118" s="37"/>
      <c r="B118" s="37"/>
      <c r="C118" s="37"/>
      <c r="D118" s="37"/>
      <c r="E118" s="37"/>
      <c r="F118" s="37"/>
      <c r="G118" s="37"/>
      <c r="H118" s="37"/>
      <c r="I118" s="37"/>
      <c r="J118" s="39"/>
      <c r="K118" s="39"/>
      <c r="L118" s="37"/>
      <c r="M118" s="39"/>
      <c r="N118" s="39"/>
      <c r="O118" s="37"/>
      <c r="P118" s="39"/>
      <c r="Q118" s="39"/>
      <c r="R118" s="37"/>
      <c r="S118" s="39"/>
      <c r="T118" s="39"/>
      <c r="U118" s="37"/>
      <c r="V118" s="39"/>
      <c r="W118" s="39"/>
      <c r="X118" s="37"/>
      <c r="Y118" s="39"/>
      <c r="Z118" s="39"/>
      <c r="AA118" s="37"/>
      <c r="AB118" s="39"/>
      <c r="AC118" s="39"/>
      <c r="AD118" s="37"/>
      <c r="AE118" s="39"/>
      <c r="AF118" s="39"/>
      <c r="AG118" s="37"/>
      <c r="AH118" s="39"/>
      <c r="AI118" s="39"/>
      <c r="AJ118" s="37"/>
      <c r="AK118" s="39"/>
      <c r="AL118" s="39"/>
      <c r="AM118" s="37"/>
      <c r="AN118" s="39"/>
      <c r="AO118" s="39"/>
      <c r="AP118" s="37"/>
      <c r="AQ118" s="39"/>
      <c r="AR118" s="39"/>
    </row>
    <row r="119" spans="1:44" x14ac:dyDescent="0.45">
      <c r="A119" s="37"/>
      <c r="B119" s="37"/>
      <c r="C119" s="37"/>
      <c r="D119" s="37"/>
      <c r="E119" s="37"/>
      <c r="F119" s="37"/>
      <c r="G119" s="37"/>
      <c r="H119" s="37"/>
      <c r="I119" s="37"/>
      <c r="J119" s="39"/>
      <c r="K119" s="39"/>
      <c r="L119" s="37"/>
      <c r="M119" s="39"/>
      <c r="N119" s="39"/>
      <c r="O119" s="37"/>
      <c r="P119" s="39"/>
      <c r="Q119" s="39"/>
      <c r="R119" s="37"/>
      <c r="S119" s="39"/>
      <c r="T119" s="39"/>
      <c r="U119" s="37"/>
      <c r="V119" s="39"/>
      <c r="W119" s="39"/>
      <c r="X119" s="37"/>
      <c r="Y119" s="39"/>
      <c r="Z119" s="39"/>
      <c r="AA119" s="37"/>
      <c r="AB119" s="39"/>
      <c r="AC119" s="39"/>
      <c r="AD119" s="37"/>
      <c r="AE119" s="39"/>
      <c r="AF119" s="39"/>
      <c r="AG119" s="37"/>
      <c r="AH119" s="39"/>
      <c r="AI119" s="39"/>
      <c r="AJ119" s="37"/>
      <c r="AK119" s="39"/>
      <c r="AL119" s="39"/>
      <c r="AM119" s="37"/>
      <c r="AN119" s="39"/>
      <c r="AO119" s="39"/>
      <c r="AP119" s="37"/>
      <c r="AQ119" s="39"/>
      <c r="AR119" s="39"/>
    </row>
    <row r="120" spans="1:44" x14ac:dyDescent="0.45">
      <c r="A120" s="37"/>
      <c r="B120" s="37"/>
      <c r="C120" s="37"/>
      <c r="D120" s="37"/>
      <c r="E120" s="37"/>
      <c r="F120" s="37"/>
      <c r="G120" s="37"/>
      <c r="H120" s="37"/>
      <c r="I120" s="37"/>
      <c r="J120" s="39"/>
      <c r="K120" s="39"/>
      <c r="L120" s="37"/>
      <c r="M120" s="39"/>
      <c r="N120" s="39"/>
      <c r="O120" s="37"/>
      <c r="P120" s="39"/>
      <c r="Q120" s="39"/>
      <c r="R120" s="37"/>
      <c r="S120" s="39"/>
      <c r="T120" s="39"/>
      <c r="U120" s="37"/>
      <c r="V120" s="39"/>
      <c r="W120" s="39"/>
      <c r="X120" s="37"/>
      <c r="Y120" s="39"/>
      <c r="Z120" s="39"/>
      <c r="AA120" s="37"/>
      <c r="AB120" s="39"/>
      <c r="AC120" s="39"/>
      <c r="AD120" s="37"/>
      <c r="AE120" s="39"/>
      <c r="AF120" s="39"/>
      <c r="AG120" s="37"/>
      <c r="AH120" s="39"/>
      <c r="AI120" s="39"/>
      <c r="AJ120" s="37"/>
      <c r="AK120" s="39"/>
      <c r="AL120" s="39"/>
      <c r="AM120" s="37"/>
      <c r="AN120" s="39"/>
      <c r="AO120" s="39"/>
      <c r="AP120" s="37"/>
      <c r="AQ120" s="39"/>
      <c r="AR120" s="39"/>
    </row>
    <row r="121" spans="1:44" x14ac:dyDescent="0.45">
      <c r="A121" s="37"/>
      <c r="B121" s="37"/>
      <c r="C121" s="37"/>
      <c r="D121" s="37"/>
      <c r="E121" s="37"/>
      <c r="F121" s="37"/>
      <c r="G121" s="37"/>
      <c r="H121" s="37"/>
      <c r="I121" s="37"/>
      <c r="J121" s="39"/>
      <c r="K121" s="39"/>
      <c r="L121" s="37"/>
      <c r="M121" s="39"/>
      <c r="N121" s="39"/>
      <c r="O121" s="37"/>
      <c r="P121" s="39"/>
      <c r="Q121" s="39"/>
      <c r="R121" s="37"/>
      <c r="S121" s="39"/>
      <c r="T121" s="39"/>
      <c r="U121" s="37"/>
      <c r="V121" s="39"/>
      <c r="W121" s="39"/>
      <c r="X121" s="37"/>
      <c r="Y121" s="39"/>
      <c r="Z121" s="39"/>
      <c r="AA121" s="37"/>
      <c r="AB121" s="39"/>
      <c r="AC121" s="39"/>
      <c r="AD121" s="37"/>
      <c r="AE121" s="39"/>
      <c r="AF121" s="39"/>
      <c r="AG121" s="37"/>
      <c r="AH121" s="39"/>
      <c r="AI121" s="39"/>
      <c r="AJ121" s="37"/>
      <c r="AK121" s="39"/>
      <c r="AL121" s="39"/>
      <c r="AM121" s="37"/>
      <c r="AN121" s="39"/>
      <c r="AO121" s="39"/>
      <c r="AP121" s="37"/>
      <c r="AQ121" s="39"/>
      <c r="AR121" s="39"/>
    </row>
    <row r="122" spans="1:44" x14ac:dyDescent="0.45">
      <c r="A122" s="37"/>
      <c r="B122" s="37"/>
      <c r="C122" s="37"/>
      <c r="D122" s="37"/>
      <c r="E122" s="37"/>
      <c r="F122" s="37"/>
      <c r="G122" s="37"/>
      <c r="H122" s="37"/>
      <c r="I122" s="37"/>
      <c r="J122" s="39"/>
      <c r="K122" s="39"/>
      <c r="L122" s="37"/>
      <c r="M122" s="39"/>
      <c r="N122" s="39"/>
      <c r="O122" s="37"/>
      <c r="P122" s="39"/>
      <c r="Q122" s="39"/>
      <c r="R122" s="37"/>
      <c r="S122" s="39"/>
      <c r="T122" s="39"/>
      <c r="U122" s="37"/>
      <c r="V122" s="39"/>
      <c r="W122" s="39"/>
      <c r="X122" s="37"/>
      <c r="Y122" s="39"/>
      <c r="Z122" s="39"/>
      <c r="AA122" s="37"/>
      <c r="AB122" s="39"/>
      <c r="AC122" s="39"/>
      <c r="AD122" s="37"/>
      <c r="AE122" s="39"/>
      <c r="AF122" s="39"/>
      <c r="AG122" s="37"/>
      <c r="AH122" s="39"/>
      <c r="AI122" s="39"/>
      <c r="AJ122" s="37"/>
      <c r="AK122" s="39"/>
      <c r="AL122" s="39"/>
      <c r="AM122" s="37"/>
      <c r="AN122" s="39"/>
      <c r="AO122" s="39"/>
      <c r="AP122" s="37"/>
      <c r="AQ122" s="39"/>
      <c r="AR122" s="39"/>
    </row>
    <row r="123" spans="1:44" x14ac:dyDescent="0.45">
      <c r="A123" s="37"/>
      <c r="B123" s="37"/>
      <c r="C123" s="37"/>
      <c r="D123" s="37"/>
      <c r="E123" s="37"/>
      <c r="F123" s="37"/>
      <c r="G123" s="37"/>
      <c r="H123" s="37"/>
      <c r="I123" s="37"/>
      <c r="J123" s="39"/>
      <c r="K123" s="39"/>
      <c r="L123" s="37"/>
      <c r="M123" s="39"/>
      <c r="N123" s="39"/>
      <c r="O123" s="37"/>
      <c r="P123" s="39"/>
      <c r="Q123" s="39"/>
      <c r="R123" s="37"/>
      <c r="S123" s="39"/>
      <c r="T123" s="39"/>
      <c r="U123" s="37"/>
      <c r="V123" s="39"/>
      <c r="W123" s="39"/>
      <c r="X123" s="37"/>
      <c r="Y123" s="39"/>
      <c r="Z123" s="39"/>
      <c r="AA123" s="37"/>
      <c r="AB123" s="39"/>
      <c r="AC123" s="39"/>
      <c r="AD123" s="37"/>
      <c r="AE123" s="39"/>
      <c r="AF123" s="39"/>
      <c r="AG123" s="37"/>
      <c r="AH123" s="39"/>
      <c r="AI123" s="39"/>
      <c r="AJ123" s="37"/>
      <c r="AK123" s="39"/>
      <c r="AL123" s="39"/>
      <c r="AM123" s="37"/>
      <c r="AN123" s="39"/>
      <c r="AO123" s="39"/>
      <c r="AP123" s="37"/>
      <c r="AQ123" s="39"/>
      <c r="AR123" s="39"/>
    </row>
    <row r="124" spans="1:44" x14ac:dyDescent="0.45">
      <c r="A124" s="37"/>
      <c r="B124" s="37"/>
      <c r="C124" s="37"/>
      <c r="D124" s="37"/>
      <c r="E124" s="37"/>
      <c r="F124" s="37"/>
      <c r="G124" s="37"/>
      <c r="H124" s="37"/>
      <c r="I124" s="37"/>
      <c r="J124" s="39"/>
      <c r="K124" s="39"/>
      <c r="L124" s="37"/>
      <c r="M124" s="39"/>
      <c r="N124" s="39"/>
      <c r="O124" s="37"/>
      <c r="P124" s="39"/>
      <c r="Q124" s="39"/>
      <c r="R124" s="37"/>
      <c r="S124" s="39"/>
      <c r="T124" s="39"/>
      <c r="U124" s="37"/>
      <c r="V124" s="39"/>
      <c r="W124" s="39"/>
      <c r="X124" s="37"/>
      <c r="Y124" s="39"/>
      <c r="Z124" s="39"/>
      <c r="AA124" s="37"/>
      <c r="AB124" s="39"/>
      <c r="AC124" s="39"/>
      <c r="AD124" s="37"/>
      <c r="AE124" s="39"/>
      <c r="AF124" s="39"/>
      <c r="AG124" s="37"/>
      <c r="AH124" s="39"/>
      <c r="AI124" s="39"/>
      <c r="AJ124" s="37"/>
      <c r="AK124" s="39"/>
      <c r="AL124" s="39"/>
      <c r="AM124" s="37"/>
      <c r="AN124" s="39"/>
      <c r="AO124" s="39"/>
      <c r="AP124" s="37"/>
      <c r="AQ124" s="39"/>
      <c r="AR124" s="39"/>
    </row>
    <row r="125" spans="1:44" x14ac:dyDescent="0.45">
      <c r="A125" s="37"/>
      <c r="B125" s="37"/>
      <c r="C125" s="37"/>
      <c r="D125" s="37"/>
      <c r="E125" s="37"/>
      <c r="F125" s="37"/>
      <c r="G125" s="37"/>
      <c r="H125" s="37"/>
      <c r="I125" s="37"/>
      <c r="J125" s="39"/>
      <c r="K125" s="39"/>
      <c r="L125" s="37"/>
      <c r="M125" s="39"/>
      <c r="N125" s="39"/>
      <c r="O125" s="37"/>
      <c r="P125" s="39"/>
      <c r="Q125" s="39"/>
      <c r="R125" s="37"/>
      <c r="S125" s="39"/>
      <c r="T125" s="39"/>
      <c r="U125" s="37"/>
      <c r="V125" s="39"/>
      <c r="W125" s="39"/>
      <c r="X125" s="37"/>
      <c r="Y125" s="39"/>
      <c r="Z125" s="39"/>
      <c r="AA125" s="37"/>
      <c r="AB125" s="39"/>
      <c r="AC125" s="39"/>
      <c r="AD125" s="37"/>
      <c r="AE125" s="39"/>
      <c r="AF125" s="39"/>
      <c r="AG125" s="37"/>
      <c r="AH125" s="39"/>
      <c r="AI125" s="39"/>
      <c r="AJ125" s="37"/>
      <c r="AK125" s="39"/>
      <c r="AL125" s="39"/>
      <c r="AM125" s="37"/>
      <c r="AN125" s="39"/>
      <c r="AO125" s="39"/>
      <c r="AP125" s="37"/>
      <c r="AQ125" s="39"/>
      <c r="AR125" s="39"/>
    </row>
    <row r="126" spans="1:44" x14ac:dyDescent="0.45">
      <c r="A126" s="37"/>
      <c r="B126" s="37"/>
      <c r="C126" s="37"/>
      <c r="D126" s="37"/>
      <c r="E126" s="37"/>
      <c r="F126" s="37"/>
      <c r="G126" s="37"/>
      <c r="H126" s="37"/>
      <c r="I126" s="37"/>
      <c r="J126" s="39"/>
      <c r="K126" s="39"/>
      <c r="L126" s="37"/>
      <c r="M126" s="39"/>
      <c r="N126" s="39"/>
      <c r="O126" s="37"/>
      <c r="P126" s="39"/>
      <c r="Q126" s="39"/>
      <c r="R126" s="37"/>
      <c r="S126" s="39"/>
      <c r="T126" s="39"/>
      <c r="U126" s="37"/>
      <c r="V126" s="39"/>
      <c r="W126" s="39"/>
      <c r="X126" s="37"/>
      <c r="Y126" s="39"/>
      <c r="Z126" s="39"/>
      <c r="AA126" s="37"/>
      <c r="AB126" s="39"/>
      <c r="AC126" s="39"/>
      <c r="AD126" s="37"/>
      <c r="AE126" s="39"/>
      <c r="AF126" s="39"/>
      <c r="AG126" s="37"/>
      <c r="AH126" s="39"/>
      <c r="AI126" s="39"/>
      <c r="AJ126" s="37"/>
      <c r="AK126" s="39"/>
      <c r="AL126" s="39"/>
      <c r="AM126" s="37"/>
      <c r="AN126" s="39"/>
      <c r="AO126" s="39"/>
      <c r="AP126" s="37"/>
      <c r="AQ126" s="39"/>
      <c r="AR126" s="39"/>
    </row>
    <row r="127" spans="1:44" x14ac:dyDescent="0.45">
      <c r="A127" s="37"/>
      <c r="B127" s="37"/>
      <c r="C127" s="37"/>
      <c r="D127" s="37"/>
      <c r="E127" s="37"/>
      <c r="F127" s="37"/>
      <c r="G127" s="37"/>
      <c r="H127" s="37"/>
      <c r="I127" s="37"/>
      <c r="J127" s="39"/>
      <c r="K127" s="39"/>
      <c r="L127" s="37"/>
      <c r="M127" s="39"/>
      <c r="N127" s="39"/>
      <c r="O127" s="37"/>
      <c r="P127" s="39"/>
      <c r="Q127" s="39"/>
      <c r="R127" s="37"/>
      <c r="S127" s="39"/>
      <c r="T127" s="39"/>
      <c r="U127" s="37"/>
      <c r="V127" s="39"/>
      <c r="W127" s="39"/>
      <c r="X127" s="37"/>
      <c r="Y127" s="39"/>
      <c r="Z127" s="39"/>
      <c r="AA127" s="37"/>
      <c r="AB127" s="39"/>
      <c r="AC127" s="39"/>
      <c r="AD127" s="37"/>
      <c r="AE127" s="39"/>
      <c r="AF127" s="39"/>
      <c r="AG127" s="37"/>
      <c r="AH127" s="39"/>
      <c r="AI127" s="39"/>
      <c r="AJ127" s="37"/>
      <c r="AK127" s="39"/>
      <c r="AL127" s="39"/>
      <c r="AM127" s="37"/>
      <c r="AN127" s="39"/>
      <c r="AO127" s="39"/>
      <c r="AP127" s="37"/>
      <c r="AQ127" s="39"/>
      <c r="AR127" s="39"/>
    </row>
    <row r="128" spans="1:44" x14ac:dyDescent="0.45">
      <c r="A128" s="37"/>
      <c r="B128" s="37"/>
      <c r="C128" s="37"/>
      <c r="D128" s="37"/>
      <c r="E128" s="37"/>
      <c r="F128" s="37"/>
      <c r="G128" s="37"/>
      <c r="H128" s="37"/>
      <c r="I128" s="37"/>
      <c r="J128" s="39"/>
      <c r="K128" s="39"/>
      <c r="L128" s="37"/>
      <c r="M128" s="39"/>
      <c r="N128" s="39"/>
      <c r="O128" s="37"/>
      <c r="P128" s="39"/>
      <c r="Q128" s="39"/>
      <c r="R128" s="37"/>
      <c r="S128" s="39"/>
      <c r="T128" s="39"/>
      <c r="U128" s="37"/>
      <c r="V128" s="39"/>
      <c r="W128" s="39"/>
      <c r="X128" s="37"/>
      <c r="Y128" s="39"/>
      <c r="Z128" s="39"/>
      <c r="AA128" s="37"/>
      <c r="AB128" s="39"/>
      <c r="AC128" s="39"/>
      <c r="AD128" s="37"/>
      <c r="AE128" s="39"/>
      <c r="AF128" s="39"/>
      <c r="AG128" s="37"/>
      <c r="AH128" s="39"/>
      <c r="AI128" s="39"/>
      <c r="AJ128" s="37"/>
      <c r="AK128" s="39"/>
      <c r="AL128" s="39"/>
      <c r="AM128" s="37"/>
      <c r="AN128" s="39"/>
      <c r="AO128" s="39"/>
      <c r="AP128" s="37"/>
      <c r="AQ128" s="39"/>
      <c r="AR128" s="39"/>
    </row>
    <row r="129" spans="1:44" x14ac:dyDescent="0.45">
      <c r="A129" s="37"/>
      <c r="B129" s="37"/>
      <c r="C129" s="37"/>
      <c r="D129" s="37"/>
      <c r="E129" s="37"/>
      <c r="F129" s="37"/>
      <c r="G129" s="37"/>
      <c r="H129" s="37"/>
      <c r="I129" s="37"/>
      <c r="J129" s="39"/>
      <c r="K129" s="39"/>
      <c r="L129" s="37"/>
      <c r="M129" s="39"/>
      <c r="N129" s="39"/>
      <c r="O129" s="37"/>
      <c r="P129" s="39"/>
      <c r="Q129" s="39"/>
      <c r="R129" s="37"/>
      <c r="S129" s="39"/>
      <c r="T129" s="39"/>
      <c r="U129" s="37"/>
      <c r="V129" s="39"/>
      <c r="W129" s="39"/>
      <c r="X129" s="37"/>
      <c r="Y129" s="39"/>
      <c r="Z129" s="39"/>
      <c r="AA129" s="37"/>
      <c r="AB129" s="39"/>
      <c r="AC129" s="39"/>
      <c r="AD129" s="37"/>
      <c r="AE129" s="39"/>
      <c r="AF129" s="39"/>
      <c r="AG129" s="37"/>
      <c r="AH129" s="39"/>
      <c r="AI129" s="39"/>
      <c r="AJ129" s="37"/>
      <c r="AK129" s="39"/>
      <c r="AL129" s="39"/>
      <c r="AM129" s="37"/>
      <c r="AN129" s="39"/>
      <c r="AO129" s="39"/>
      <c r="AP129" s="37"/>
      <c r="AQ129" s="39"/>
      <c r="AR129" s="39"/>
    </row>
    <row r="130" spans="1:44" x14ac:dyDescent="0.45">
      <c r="A130" s="37"/>
      <c r="B130" s="37"/>
      <c r="C130" s="37"/>
      <c r="D130" s="37"/>
      <c r="E130" s="37"/>
      <c r="F130" s="37"/>
      <c r="G130" s="37"/>
      <c r="H130" s="37"/>
      <c r="I130" s="37"/>
      <c r="J130" s="39"/>
      <c r="K130" s="39"/>
      <c r="L130" s="37"/>
      <c r="M130" s="39"/>
      <c r="N130" s="39"/>
      <c r="O130" s="37"/>
      <c r="P130" s="39"/>
      <c r="Q130" s="39"/>
      <c r="R130" s="37"/>
      <c r="S130" s="39"/>
      <c r="T130" s="39"/>
      <c r="U130" s="37"/>
      <c r="V130" s="39"/>
      <c r="W130" s="39"/>
      <c r="X130" s="37"/>
      <c r="Y130" s="39"/>
      <c r="Z130" s="39"/>
      <c r="AA130" s="37"/>
      <c r="AB130" s="39"/>
      <c r="AC130" s="39"/>
      <c r="AD130" s="37"/>
      <c r="AE130" s="39"/>
      <c r="AF130" s="39"/>
      <c r="AG130" s="37"/>
      <c r="AH130" s="39"/>
      <c r="AI130" s="39"/>
      <c r="AJ130" s="37"/>
      <c r="AK130" s="39"/>
      <c r="AL130" s="39"/>
      <c r="AM130" s="37"/>
      <c r="AN130" s="39"/>
      <c r="AO130" s="39"/>
      <c r="AP130" s="37"/>
      <c r="AQ130" s="39"/>
      <c r="AR130" s="39"/>
    </row>
    <row r="131" spans="1:44" x14ac:dyDescent="0.45">
      <c r="A131" s="37"/>
      <c r="B131" s="37"/>
      <c r="C131" s="37"/>
      <c r="D131" s="37"/>
      <c r="E131" s="37"/>
      <c r="F131" s="37"/>
      <c r="G131" s="37"/>
      <c r="H131" s="37"/>
      <c r="I131" s="37"/>
      <c r="J131" s="39"/>
      <c r="K131" s="39"/>
      <c r="L131" s="37"/>
      <c r="M131" s="39"/>
      <c r="N131" s="39"/>
      <c r="O131" s="37"/>
      <c r="P131" s="39"/>
      <c r="Q131" s="39"/>
      <c r="R131" s="37"/>
      <c r="S131" s="39"/>
      <c r="T131" s="39"/>
      <c r="U131" s="37"/>
      <c r="V131" s="39"/>
      <c r="W131" s="39"/>
      <c r="X131" s="37"/>
      <c r="Y131" s="39"/>
      <c r="Z131" s="39"/>
      <c r="AA131" s="37"/>
      <c r="AB131" s="39"/>
      <c r="AC131" s="39"/>
      <c r="AD131" s="37"/>
      <c r="AE131" s="39"/>
      <c r="AF131" s="39"/>
      <c r="AG131" s="37"/>
      <c r="AH131" s="39"/>
      <c r="AI131" s="39"/>
      <c r="AJ131" s="37"/>
      <c r="AK131" s="39"/>
      <c r="AL131" s="39"/>
      <c r="AM131" s="37"/>
      <c r="AN131" s="39"/>
      <c r="AO131" s="39"/>
      <c r="AP131" s="37"/>
      <c r="AQ131" s="39"/>
      <c r="AR131" s="39"/>
    </row>
    <row r="132" spans="1:44" x14ac:dyDescent="0.45">
      <c r="A132" s="37"/>
      <c r="B132" s="37"/>
      <c r="C132" s="37"/>
      <c r="D132" s="37"/>
      <c r="E132" s="37"/>
      <c r="F132" s="37"/>
      <c r="G132" s="37"/>
      <c r="H132" s="37"/>
      <c r="I132" s="37"/>
      <c r="J132" s="39"/>
      <c r="K132" s="39"/>
      <c r="L132" s="37"/>
      <c r="M132" s="39"/>
      <c r="N132" s="39"/>
      <c r="O132" s="37"/>
      <c r="P132" s="39"/>
      <c r="Q132" s="39"/>
      <c r="R132" s="37"/>
      <c r="S132" s="39"/>
      <c r="T132" s="39"/>
      <c r="U132" s="37"/>
      <c r="V132" s="39"/>
      <c r="W132" s="39"/>
      <c r="X132" s="37"/>
      <c r="Y132" s="39"/>
      <c r="Z132" s="39"/>
      <c r="AA132" s="37"/>
      <c r="AB132" s="39"/>
      <c r="AC132" s="39"/>
      <c r="AD132" s="37"/>
      <c r="AE132" s="39"/>
      <c r="AF132" s="39"/>
      <c r="AG132" s="37"/>
      <c r="AH132" s="39"/>
      <c r="AI132" s="39"/>
      <c r="AJ132" s="37"/>
      <c r="AK132" s="39"/>
      <c r="AL132" s="39"/>
      <c r="AM132" s="37"/>
      <c r="AN132" s="39"/>
      <c r="AO132" s="39"/>
      <c r="AP132" s="37"/>
      <c r="AQ132" s="39"/>
      <c r="AR132" s="39"/>
    </row>
    <row r="133" spans="1:44" x14ac:dyDescent="0.45">
      <c r="A133" s="37"/>
      <c r="B133" s="37"/>
      <c r="C133" s="37"/>
      <c r="D133" s="37"/>
      <c r="E133" s="37"/>
      <c r="F133" s="37"/>
      <c r="G133" s="37"/>
      <c r="H133" s="37"/>
      <c r="I133" s="37"/>
      <c r="J133" s="39"/>
      <c r="K133" s="39"/>
      <c r="L133" s="37"/>
      <c r="M133" s="39"/>
      <c r="N133" s="39"/>
      <c r="O133" s="37"/>
      <c r="P133" s="39"/>
      <c r="Q133" s="39"/>
      <c r="R133" s="37"/>
      <c r="S133" s="39"/>
      <c r="T133" s="39"/>
      <c r="U133" s="37"/>
      <c r="V133" s="39"/>
      <c r="W133" s="39"/>
      <c r="X133" s="37"/>
      <c r="Y133" s="39"/>
      <c r="Z133" s="39"/>
      <c r="AA133" s="37"/>
      <c r="AB133" s="39"/>
      <c r="AC133" s="39"/>
      <c r="AD133" s="37"/>
      <c r="AE133" s="39"/>
      <c r="AF133" s="39"/>
      <c r="AG133" s="37"/>
      <c r="AH133" s="39"/>
      <c r="AI133" s="39"/>
      <c r="AJ133" s="37"/>
      <c r="AK133" s="39"/>
      <c r="AL133" s="39"/>
      <c r="AM133" s="37"/>
      <c r="AN133" s="39"/>
      <c r="AO133" s="39"/>
      <c r="AP133" s="37"/>
      <c r="AQ133" s="39"/>
      <c r="AR133" s="39"/>
    </row>
    <row r="134" spans="1:44" x14ac:dyDescent="0.45">
      <c r="A134" s="37"/>
      <c r="B134" s="37"/>
      <c r="C134" s="37"/>
      <c r="D134" s="37"/>
      <c r="E134" s="37"/>
      <c r="F134" s="37"/>
      <c r="G134" s="37"/>
      <c r="H134" s="37"/>
      <c r="I134" s="37"/>
      <c r="J134" s="39"/>
      <c r="K134" s="39"/>
      <c r="L134" s="37"/>
      <c r="M134" s="39"/>
      <c r="N134" s="39"/>
      <c r="O134" s="37"/>
      <c r="P134" s="39"/>
      <c r="Q134" s="39"/>
      <c r="R134" s="37"/>
      <c r="S134" s="39"/>
      <c r="T134" s="39"/>
      <c r="U134" s="37"/>
      <c r="V134" s="39"/>
      <c r="W134" s="39"/>
      <c r="X134" s="37"/>
      <c r="Y134" s="39"/>
      <c r="Z134" s="39"/>
      <c r="AA134" s="37"/>
      <c r="AB134" s="39"/>
      <c r="AC134" s="39"/>
      <c r="AD134" s="37"/>
      <c r="AE134" s="39"/>
      <c r="AF134" s="39"/>
      <c r="AG134" s="37"/>
      <c r="AH134" s="39"/>
      <c r="AI134" s="39"/>
      <c r="AJ134" s="37"/>
      <c r="AK134" s="39"/>
      <c r="AL134" s="39"/>
      <c r="AM134" s="37"/>
      <c r="AN134" s="39"/>
      <c r="AO134" s="39"/>
      <c r="AP134" s="37"/>
      <c r="AQ134" s="39"/>
      <c r="AR134" s="39"/>
    </row>
    <row r="135" spans="1:44" x14ac:dyDescent="0.45">
      <c r="A135" s="37"/>
      <c r="B135" s="37"/>
      <c r="C135" s="37"/>
      <c r="D135" s="37"/>
      <c r="E135" s="37"/>
      <c r="F135" s="37"/>
      <c r="G135" s="37"/>
      <c r="H135" s="37"/>
      <c r="I135" s="37"/>
      <c r="J135" s="39"/>
      <c r="K135" s="39"/>
      <c r="L135" s="37"/>
      <c r="M135" s="39"/>
      <c r="N135" s="39"/>
      <c r="O135" s="37"/>
      <c r="P135" s="39"/>
      <c r="Q135" s="39"/>
      <c r="R135" s="37"/>
      <c r="S135" s="39"/>
      <c r="T135" s="39"/>
      <c r="U135" s="37"/>
      <c r="V135" s="39"/>
      <c r="W135" s="39"/>
      <c r="X135" s="37"/>
      <c r="Y135" s="39"/>
      <c r="Z135" s="39"/>
      <c r="AA135" s="37"/>
      <c r="AB135" s="39"/>
      <c r="AC135" s="39"/>
      <c r="AD135" s="37"/>
      <c r="AE135" s="39"/>
      <c r="AF135" s="39"/>
      <c r="AG135" s="37"/>
      <c r="AH135" s="39"/>
      <c r="AI135" s="39"/>
      <c r="AJ135" s="37"/>
      <c r="AK135" s="39"/>
      <c r="AL135" s="39"/>
      <c r="AM135" s="37"/>
      <c r="AN135" s="39"/>
      <c r="AO135" s="39"/>
      <c r="AP135" s="37"/>
      <c r="AQ135" s="39"/>
      <c r="AR135" s="39"/>
    </row>
    <row r="136" spans="1:44" x14ac:dyDescent="0.45">
      <c r="A136" s="37"/>
      <c r="B136" s="37"/>
      <c r="C136" s="37"/>
      <c r="D136" s="37"/>
      <c r="E136" s="37"/>
      <c r="F136" s="37"/>
      <c r="G136" s="37"/>
      <c r="H136" s="37"/>
      <c r="I136" s="37"/>
      <c r="J136" s="39"/>
      <c r="K136" s="39"/>
      <c r="L136" s="37"/>
      <c r="M136" s="39"/>
      <c r="N136" s="39"/>
      <c r="O136" s="37"/>
      <c r="P136" s="39"/>
      <c r="Q136" s="39"/>
      <c r="R136" s="37"/>
      <c r="S136" s="39"/>
      <c r="T136" s="39"/>
      <c r="U136" s="37"/>
      <c r="V136" s="39"/>
      <c r="W136" s="39"/>
      <c r="X136" s="37"/>
      <c r="Y136" s="39"/>
      <c r="Z136" s="39"/>
      <c r="AA136" s="37"/>
      <c r="AB136" s="39"/>
      <c r="AC136" s="39"/>
      <c r="AD136" s="37"/>
      <c r="AE136" s="39"/>
      <c r="AF136" s="39"/>
      <c r="AG136" s="37"/>
      <c r="AH136" s="39"/>
      <c r="AI136" s="39"/>
      <c r="AJ136" s="37"/>
      <c r="AK136" s="39"/>
      <c r="AL136" s="39"/>
      <c r="AM136" s="37"/>
      <c r="AN136" s="39"/>
      <c r="AO136" s="39"/>
      <c r="AP136" s="37"/>
      <c r="AQ136" s="39"/>
      <c r="AR136" s="39"/>
    </row>
    <row r="137" spans="1:44" x14ac:dyDescent="0.45">
      <c r="A137" s="37"/>
      <c r="B137" s="37"/>
      <c r="C137" s="37"/>
      <c r="D137" s="37"/>
      <c r="E137" s="37"/>
      <c r="F137" s="37"/>
      <c r="G137" s="37"/>
      <c r="H137" s="37"/>
      <c r="I137" s="37"/>
      <c r="J137" s="39"/>
      <c r="K137" s="39"/>
      <c r="L137" s="37"/>
      <c r="M137" s="39"/>
      <c r="N137" s="39"/>
      <c r="O137" s="37"/>
      <c r="P137" s="39"/>
      <c r="Q137" s="39"/>
      <c r="R137" s="37"/>
      <c r="S137" s="39"/>
      <c r="T137" s="39"/>
      <c r="U137" s="37"/>
      <c r="V137" s="39"/>
      <c r="W137" s="39"/>
      <c r="X137" s="37"/>
      <c r="Y137" s="39"/>
      <c r="Z137" s="39"/>
      <c r="AA137" s="37"/>
      <c r="AB137" s="39"/>
      <c r="AC137" s="39"/>
      <c r="AD137" s="37"/>
      <c r="AE137" s="39"/>
      <c r="AF137" s="39"/>
      <c r="AG137" s="37"/>
      <c r="AH137" s="39"/>
      <c r="AI137" s="39"/>
      <c r="AJ137" s="37"/>
      <c r="AK137" s="39"/>
      <c r="AL137" s="39"/>
      <c r="AM137" s="37"/>
      <c r="AN137" s="39"/>
      <c r="AO137" s="39"/>
      <c r="AP137" s="37"/>
      <c r="AQ137" s="39"/>
      <c r="AR137" s="39"/>
    </row>
    <row r="138" spans="1:44" x14ac:dyDescent="0.45">
      <c r="A138" s="37"/>
      <c r="B138" s="37"/>
      <c r="C138" s="37"/>
      <c r="D138" s="37"/>
      <c r="E138" s="37"/>
      <c r="F138" s="37"/>
      <c r="G138" s="37"/>
      <c r="H138" s="37"/>
      <c r="I138" s="37"/>
      <c r="J138" s="39"/>
      <c r="K138" s="39"/>
      <c r="L138" s="37"/>
      <c r="M138" s="39"/>
      <c r="N138" s="39"/>
      <c r="O138" s="37"/>
      <c r="P138" s="39"/>
      <c r="Q138" s="39"/>
      <c r="R138" s="37"/>
      <c r="S138" s="39"/>
      <c r="T138" s="39"/>
      <c r="U138" s="37"/>
      <c r="V138" s="39"/>
      <c r="W138" s="39"/>
      <c r="X138" s="37"/>
      <c r="Y138" s="39"/>
      <c r="Z138" s="39"/>
      <c r="AA138" s="37"/>
      <c r="AB138" s="39"/>
      <c r="AC138" s="39"/>
      <c r="AD138" s="37"/>
      <c r="AE138" s="39"/>
      <c r="AF138" s="39"/>
      <c r="AG138" s="37"/>
      <c r="AH138" s="39"/>
      <c r="AI138" s="39"/>
      <c r="AJ138" s="37"/>
      <c r="AK138" s="39"/>
      <c r="AL138" s="39"/>
      <c r="AM138" s="37"/>
      <c r="AN138" s="39"/>
      <c r="AO138" s="39"/>
      <c r="AP138" s="37"/>
      <c r="AQ138" s="39"/>
      <c r="AR138" s="39"/>
    </row>
    <row r="139" spans="1:44" x14ac:dyDescent="0.45">
      <c r="A139" s="37"/>
      <c r="B139" s="37"/>
      <c r="C139" s="37"/>
      <c r="D139" s="37"/>
      <c r="E139" s="37"/>
      <c r="F139" s="37"/>
      <c r="G139" s="37"/>
      <c r="H139" s="37"/>
      <c r="I139" s="37"/>
      <c r="J139" s="39"/>
      <c r="K139" s="39"/>
      <c r="L139" s="37"/>
      <c r="M139" s="39"/>
      <c r="N139" s="39"/>
      <c r="O139" s="37"/>
      <c r="P139" s="39"/>
      <c r="Q139" s="39"/>
      <c r="R139" s="37"/>
      <c r="S139" s="39"/>
      <c r="T139" s="39"/>
      <c r="U139" s="37"/>
      <c r="V139" s="39"/>
      <c r="W139" s="39"/>
      <c r="X139" s="37"/>
      <c r="Y139" s="39"/>
      <c r="Z139" s="39"/>
      <c r="AA139" s="37"/>
      <c r="AB139" s="39"/>
      <c r="AC139" s="39"/>
      <c r="AD139" s="37"/>
      <c r="AE139" s="39"/>
      <c r="AF139" s="39"/>
      <c r="AG139" s="37"/>
      <c r="AH139" s="39"/>
      <c r="AI139" s="39"/>
      <c r="AJ139" s="37"/>
      <c r="AK139" s="39"/>
      <c r="AL139" s="39"/>
      <c r="AM139" s="37"/>
      <c r="AN139" s="39"/>
      <c r="AO139" s="39"/>
      <c r="AP139" s="37"/>
      <c r="AQ139" s="39"/>
      <c r="AR139" s="39"/>
    </row>
    <row r="140" spans="1:44" x14ac:dyDescent="0.45">
      <c r="A140" s="37"/>
      <c r="B140" s="37"/>
      <c r="C140" s="37"/>
      <c r="D140" s="37"/>
      <c r="E140" s="37"/>
      <c r="F140" s="37"/>
      <c r="G140" s="37"/>
      <c r="H140" s="37"/>
      <c r="I140" s="37"/>
      <c r="J140" s="39"/>
      <c r="K140" s="39"/>
      <c r="L140" s="37"/>
      <c r="M140" s="39"/>
      <c r="N140" s="39"/>
      <c r="O140" s="37"/>
      <c r="P140" s="39"/>
      <c r="Q140" s="39"/>
      <c r="R140" s="37"/>
      <c r="S140" s="39"/>
      <c r="T140" s="39"/>
      <c r="U140" s="37"/>
      <c r="V140" s="39"/>
      <c r="W140" s="39"/>
      <c r="X140" s="37"/>
      <c r="Y140" s="39"/>
      <c r="Z140" s="39"/>
      <c r="AA140" s="37"/>
      <c r="AB140" s="39"/>
      <c r="AC140" s="39"/>
      <c r="AD140" s="37"/>
      <c r="AE140" s="39"/>
      <c r="AF140" s="39"/>
      <c r="AG140" s="37"/>
      <c r="AH140" s="39"/>
      <c r="AI140" s="39"/>
      <c r="AJ140" s="37"/>
      <c r="AK140" s="39"/>
      <c r="AL140" s="39"/>
      <c r="AM140" s="37"/>
      <c r="AN140" s="39"/>
      <c r="AO140" s="39"/>
      <c r="AP140" s="37"/>
      <c r="AQ140" s="39"/>
      <c r="AR140" s="39"/>
    </row>
    <row r="141" spans="1:44" x14ac:dyDescent="0.45">
      <c r="A141" s="37"/>
      <c r="B141" s="37"/>
      <c r="C141" s="37"/>
      <c r="D141" s="37"/>
      <c r="E141" s="37"/>
      <c r="F141" s="37"/>
      <c r="G141" s="37"/>
      <c r="H141" s="37"/>
      <c r="I141" s="37"/>
      <c r="J141" s="39"/>
      <c r="K141" s="39"/>
      <c r="L141" s="37"/>
      <c r="M141" s="39"/>
      <c r="N141" s="39"/>
      <c r="O141" s="37"/>
      <c r="P141" s="39"/>
      <c r="Q141" s="39"/>
      <c r="R141" s="37"/>
      <c r="S141" s="39"/>
      <c r="T141" s="39"/>
      <c r="U141" s="37"/>
      <c r="V141" s="39"/>
      <c r="W141" s="39"/>
      <c r="X141" s="37"/>
      <c r="Y141" s="39"/>
      <c r="Z141" s="39"/>
      <c r="AA141" s="37"/>
      <c r="AB141" s="39"/>
      <c r="AC141" s="39"/>
      <c r="AD141" s="37"/>
      <c r="AE141" s="39"/>
      <c r="AF141" s="39"/>
      <c r="AG141" s="37"/>
      <c r="AH141" s="39"/>
      <c r="AI141" s="39"/>
      <c r="AJ141" s="37"/>
      <c r="AK141" s="39"/>
      <c r="AL141" s="39"/>
      <c r="AM141" s="37"/>
      <c r="AN141" s="39"/>
      <c r="AO141" s="39"/>
      <c r="AP141" s="37"/>
      <c r="AQ141" s="39"/>
      <c r="AR141" s="39"/>
    </row>
    <row r="142" spans="1:44" x14ac:dyDescent="0.45">
      <c r="A142" s="37"/>
      <c r="B142" s="37"/>
      <c r="C142" s="37"/>
      <c r="D142" s="37"/>
      <c r="E142" s="37"/>
      <c r="F142" s="37"/>
      <c r="G142" s="37"/>
      <c r="H142" s="37"/>
      <c r="I142" s="37"/>
      <c r="J142" s="39"/>
      <c r="K142" s="39"/>
      <c r="L142" s="37"/>
      <c r="M142" s="39"/>
      <c r="N142" s="39"/>
      <c r="O142" s="37"/>
      <c r="P142" s="39"/>
      <c r="Q142" s="39"/>
      <c r="R142" s="37"/>
      <c r="S142" s="39"/>
      <c r="T142" s="39"/>
      <c r="U142" s="37"/>
      <c r="V142" s="39"/>
      <c r="W142" s="39"/>
      <c r="X142" s="37"/>
      <c r="Y142" s="39"/>
      <c r="Z142" s="39"/>
      <c r="AA142" s="37"/>
      <c r="AB142" s="39"/>
      <c r="AC142" s="39"/>
      <c r="AD142" s="37"/>
      <c r="AE142" s="39"/>
      <c r="AF142" s="39"/>
      <c r="AG142" s="37"/>
      <c r="AH142" s="39"/>
      <c r="AI142" s="39"/>
      <c r="AJ142" s="37"/>
      <c r="AK142" s="39"/>
      <c r="AL142" s="39"/>
      <c r="AM142" s="37"/>
      <c r="AN142" s="39"/>
      <c r="AO142" s="39"/>
      <c r="AP142" s="37"/>
      <c r="AQ142" s="39"/>
      <c r="AR142" s="39"/>
    </row>
    <row r="143" spans="1:44" x14ac:dyDescent="0.45">
      <c r="A143" s="37"/>
      <c r="B143" s="37"/>
      <c r="C143" s="37"/>
      <c r="D143" s="37"/>
      <c r="E143" s="37"/>
      <c r="F143" s="37"/>
      <c r="G143" s="37"/>
      <c r="H143" s="37"/>
      <c r="I143" s="37"/>
      <c r="J143" s="39"/>
      <c r="K143" s="39"/>
      <c r="L143" s="37"/>
      <c r="M143" s="39"/>
      <c r="N143" s="39"/>
      <c r="O143" s="37"/>
      <c r="P143" s="39"/>
      <c r="Q143" s="39"/>
      <c r="R143" s="37"/>
      <c r="S143" s="39"/>
      <c r="T143" s="39"/>
      <c r="U143" s="37"/>
      <c r="V143" s="39"/>
      <c r="W143" s="39"/>
      <c r="X143" s="37"/>
      <c r="Y143" s="39"/>
      <c r="Z143" s="39"/>
      <c r="AA143" s="37"/>
      <c r="AB143" s="39"/>
      <c r="AC143" s="39"/>
      <c r="AD143" s="37"/>
      <c r="AE143" s="39"/>
      <c r="AF143" s="39"/>
      <c r="AG143" s="37"/>
      <c r="AH143" s="39"/>
      <c r="AI143" s="39"/>
      <c r="AJ143" s="37"/>
      <c r="AK143" s="39"/>
      <c r="AL143" s="39"/>
      <c r="AM143" s="37"/>
      <c r="AN143" s="39"/>
      <c r="AO143" s="39"/>
      <c r="AP143" s="37"/>
      <c r="AQ143" s="39"/>
      <c r="AR143" s="39"/>
    </row>
    <row r="144" spans="1:44" x14ac:dyDescent="0.45">
      <c r="A144" s="37"/>
      <c r="B144" s="37"/>
      <c r="C144" s="37"/>
      <c r="D144" s="37"/>
      <c r="E144" s="37"/>
      <c r="F144" s="37"/>
      <c r="G144" s="37"/>
      <c r="H144" s="37"/>
      <c r="I144" s="37"/>
      <c r="J144" s="39"/>
      <c r="K144" s="39"/>
      <c r="L144" s="37"/>
      <c r="M144" s="39"/>
      <c r="N144" s="39"/>
      <c r="O144" s="37"/>
      <c r="P144" s="39"/>
      <c r="Q144" s="39"/>
      <c r="R144" s="37"/>
      <c r="S144" s="39"/>
      <c r="T144" s="39"/>
      <c r="U144" s="37"/>
      <c r="V144" s="39"/>
      <c r="W144" s="39"/>
      <c r="X144" s="37"/>
      <c r="Y144" s="39"/>
      <c r="Z144" s="39"/>
      <c r="AA144" s="37"/>
      <c r="AB144" s="39"/>
      <c r="AC144" s="39"/>
      <c r="AD144" s="37"/>
      <c r="AE144" s="39"/>
      <c r="AF144" s="39"/>
      <c r="AG144" s="37"/>
      <c r="AH144" s="39"/>
      <c r="AI144" s="39"/>
      <c r="AJ144" s="37"/>
      <c r="AK144" s="39"/>
      <c r="AL144" s="39"/>
      <c r="AM144" s="37"/>
      <c r="AN144" s="39"/>
      <c r="AO144" s="39"/>
      <c r="AP144" s="37"/>
      <c r="AQ144" s="39"/>
      <c r="AR144" s="39"/>
    </row>
    <row r="145" spans="1:44" x14ac:dyDescent="0.45">
      <c r="A145" s="37"/>
      <c r="B145" s="37"/>
      <c r="C145" s="37"/>
      <c r="D145" s="37"/>
      <c r="E145" s="37"/>
      <c r="F145" s="37"/>
      <c r="G145" s="37"/>
      <c r="H145" s="37"/>
      <c r="I145" s="37"/>
      <c r="J145" s="39"/>
      <c r="K145" s="39"/>
      <c r="L145" s="37"/>
      <c r="M145" s="39"/>
      <c r="N145" s="39"/>
      <c r="O145" s="37"/>
      <c r="P145" s="39"/>
      <c r="Q145" s="39"/>
      <c r="R145" s="37"/>
      <c r="S145" s="39"/>
      <c r="T145" s="39"/>
      <c r="U145" s="37"/>
      <c r="V145" s="39"/>
      <c r="W145" s="39"/>
      <c r="X145" s="37"/>
      <c r="Y145" s="39"/>
      <c r="Z145" s="39"/>
      <c r="AA145" s="37"/>
      <c r="AB145" s="39"/>
      <c r="AC145" s="39"/>
      <c r="AD145" s="37"/>
      <c r="AE145" s="39"/>
      <c r="AF145" s="39"/>
      <c r="AG145" s="37"/>
      <c r="AH145" s="39"/>
      <c r="AI145" s="39"/>
      <c r="AJ145" s="37"/>
      <c r="AK145" s="39"/>
      <c r="AL145" s="39"/>
      <c r="AM145" s="37"/>
      <c r="AN145" s="39"/>
      <c r="AO145" s="39"/>
      <c r="AP145" s="37"/>
      <c r="AQ145" s="39"/>
      <c r="AR145" s="39"/>
    </row>
    <row r="146" spans="1:44" x14ac:dyDescent="0.45">
      <c r="A146" s="37"/>
      <c r="B146" s="37"/>
      <c r="C146" s="37"/>
      <c r="D146" s="37"/>
      <c r="E146" s="37"/>
      <c r="F146" s="37"/>
      <c r="G146" s="37"/>
      <c r="H146" s="37"/>
      <c r="I146" s="37"/>
      <c r="J146" s="39"/>
      <c r="K146" s="39"/>
      <c r="L146" s="37"/>
      <c r="M146" s="39"/>
      <c r="N146" s="39"/>
      <c r="O146" s="37"/>
      <c r="P146" s="39"/>
      <c r="Q146" s="39"/>
      <c r="R146" s="37"/>
      <c r="S146" s="39"/>
      <c r="T146" s="39"/>
      <c r="U146" s="37"/>
      <c r="V146" s="39"/>
      <c r="W146" s="39"/>
      <c r="X146" s="37"/>
      <c r="Y146" s="39"/>
      <c r="Z146" s="39"/>
      <c r="AA146" s="37"/>
      <c r="AB146" s="39"/>
      <c r="AC146" s="39"/>
      <c r="AD146" s="37"/>
      <c r="AE146" s="39"/>
      <c r="AF146" s="39"/>
      <c r="AG146" s="37"/>
      <c r="AH146" s="39"/>
      <c r="AI146" s="39"/>
      <c r="AJ146" s="37"/>
      <c r="AK146" s="39"/>
      <c r="AL146" s="39"/>
      <c r="AM146" s="37"/>
      <c r="AN146" s="39"/>
      <c r="AO146" s="39"/>
      <c r="AP146" s="37"/>
      <c r="AQ146" s="39"/>
      <c r="AR146" s="39"/>
    </row>
    <row r="147" spans="1:44" x14ac:dyDescent="0.45">
      <c r="A147" s="37"/>
      <c r="B147" s="37"/>
      <c r="C147" s="37"/>
      <c r="D147" s="37"/>
      <c r="E147" s="37"/>
      <c r="F147" s="37"/>
      <c r="G147" s="37"/>
      <c r="H147" s="37"/>
      <c r="I147" s="37"/>
      <c r="J147" s="39"/>
      <c r="K147" s="39"/>
      <c r="L147" s="37"/>
      <c r="M147" s="39"/>
      <c r="N147" s="39"/>
      <c r="O147" s="37"/>
      <c r="P147" s="39"/>
      <c r="Q147" s="39"/>
      <c r="R147" s="37"/>
      <c r="S147" s="39"/>
      <c r="T147" s="39"/>
      <c r="U147" s="37"/>
      <c r="V147" s="39"/>
      <c r="W147" s="39"/>
      <c r="X147" s="37"/>
      <c r="Y147" s="39"/>
      <c r="Z147" s="39"/>
      <c r="AA147" s="37"/>
      <c r="AB147" s="39"/>
      <c r="AC147" s="39"/>
      <c r="AD147" s="37"/>
      <c r="AE147" s="39"/>
      <c r="AF147" s="39"/>
      <c r="AG147" s="37"/>
      <c r="AH147" s="39"/>
      <c r="AI147" s="39"/>
      <c r="AJ147" s="37"/>
      <c r="AK147" s="39"/>
      <c r="AL147" s="39"/>
      <c r="AM147" s="37"/>
      <c r="AN147" s="39"/>
      <c r="AO147" s="39"/>
      <c r="AP147" s="37"/>
      <c r="AQ147" s="39"/>
      <c r="AR147" s="39"/>
    </row>
    <row r="148" spans="1:44" x14ac:dyDescent="0.45">
      <c r="A148" s="37"/>
      <c r="B148" s="37"/>
      <c r="C148" s="37"/>
      <c r="D148" s="37"/>
      <c r="E148" s="37"/>
      <c r="F148" s="37"/>
      <c r="G148" s="37"/>
      <c r="H148" s="37"/>
      <c r="I148" s="37"/>
      <c r="J148" s="39"/>
      <c r="K148" s="39"/>
      <c r="L148" s="37"/>
      <c r="M148" s="39"/>
      <c r="N148" s="39"/>
      <c r="O148" s="37"/>
      <c r="P148" s="39"/>
      <c r="Q148" s="39"/>
      <c r="R148" s="37"/>
      <c r="S148" s="39"/>
      <c r="T148" s="39"/>
      <c r="U148" s="37"/>
      <c r="V148" s="39"/>
      <c r="W148" s="39"/>
      <c r="X148" s="37"/>
      <c r="Y148" s="39"/>
      <c r="Z148" s="39"/>
      <c r="AA148" s="37"/>
      <c r="AB148" s="39"/>
      <c r="AC148" s="39"/>
      <c r="AD148" s="37"/>
      <c r="AE148" s="39"/>
      <c r="AF148" s="39"/>
      <c r="AG148" s="37"/>
      <c r="AH148" s="39"/>
      <c r="AI148" s="39"/>
      <c r="AJ148" s="37"/>
      <c r="AK148" s="39"/>
      <c r="AL148" s="39"/>
      <c r="AM148" s="37"/>
      <c r="AN148" s="39"/>
      <c r="AO148" s="39"/>
      <c r="AP148" s="37"/>
      <c r="AQ148" s="39"/>
      <c r="AR148" s="39"/>
    </row>
    <row r="149" spans="1:44" x14ac:dyDescent="0.45">
      <c r="A149" s="37"/>
      <c r="B149" s="37"/>
      <c r="C149" s="37"/>
      <c r="D149" s="37"/>
      <c r="E149" s="37"/>
      <c r="F149" s="37"/>
      <c r="G149" s="37"/>
      <c r="H149" s="37"/>
      <c r="I149" s="37"/>
      <c r="J149" s="39"/>
      <c r="K149" s="39"/>
      <c r="L149" s="37"/>
      <c r="M149" s="39"/>
      <c r="N149" s="39"/>
      <c r="O149" s="37"/>
      <c r="P149" s="39"/>
      <c r="Q149" s="39"/>
      <c r="R149" s="37"/>
      <c r="S149" s="39"/>
      <c r="T149" s="39"/>
      <c r="U149" s="37"/>
      <c r="V149" s="39"/>
      <c r="W149" s="39"/>
      <c r="X149" s="37"/>
      <c r="Y149" s="39"/>
      <c r="Z149" s="39"/>
      <c r="AA149" s="37"/>
      <c r="AB149" s="39"/>
      <c r="AC149" s="39"/>
      <c r="AD149" s="37"/>
      <c r="AE149" s="39"/>
      <c r="AF149" s="39"/>
      <c r="AG149" s="37"/>
      <c r="AH149" s="39"/>
      <c r="AI149" s="39"/>
      <c r="AJ149" s="37"/>
      <c r="AK149" s="39"/>
      <c r="AL149" s="39"/>
      <c r="AM149" s="37"/>
      <c r="AN149" s="39"/>
      <c r="AO149" s="39"/>
      <c r="AP149" s="37"/>
      <c r="AQ149" s="39"/>
      <c r="AR149" s="39"/>
    </row>
    <row r="150" spans="1:44" x14ac:dyDescent="0.45">
      <c r="A150" s="37"/>
      <c r="B150" s="37"/>
      <c r="C150" s="37"/>
      <c r="D150" s="37"/>
      <c r="E150" s="37"/>
      <c r="F150" s="37"/>
      <c r="G150" s="37"/>
      <c r="H150" s="37"/>
      <c r="I150" s="37"/>
      <c r="J150" s="39"/>
      <c r="K150" s="39"/>
      <c r="L150" s="37"/>
      <c r="M150" s="39"/>
      <c r="N150" s="39"/>
      <c r="O150" s="37"/>
      <c r="P150" s="39"/>
      <c r="Q150" s="39"/>
      <c r="R150" s="37"/>
      <c r="S150" s="39"/>
      <c r="T150" s="39"/>
      <c r="U150" s="37"/>
      <c r="V150" s="39"/>
      <c r="W150" s="39"/>
      <c r="X150" s="37"/>
      <c r="Y150" s="39"/>
      <c r="Z150" s="39"/>
      <c r="AA150" s="37"/>
      <c r="AB150" s="39"/>
      <c r="AC150" s="39"/>
      <c r="AD150" s="37"/>
      <c r="AE150" s="39"/>
      <c r="AF150" s="39"/>
      <c r="AG150" s="37"/>
      <c r="AH150" s="39"/>
      <c r="AI150" s="39"/>
      <c r="AJ150" s="37"/>
      <c r="AK150" s="39"/>
      <c r="AL150" s="39"/>
      <c r="AM150" s="37"/>
      <c r="AN150" s="39"/>
      <c r="AO150" s="39"/>
      <c r="AP150" s="37"/>
      <c r="AQ150" s="39"/>
      <c r="AR150" s="39"/>
    </row>
    <row r="151" spans="1:44" x14ac:dyDescent="0.45">
      <c r="A151" s="37"/>
      <c r="B151" s="37"/>
      <c r="C151" s="37"/>
      <c r="D151" s="37"/>
      <c r="E151" s="37"/>
      <c r="F151" s="37"/>
      <c r="G151" s="37"/>
      <c r="H151" s="37"/>
      <c r="I151" s="37"/>
      <c r="J151" s="39"/>
      <c r="K151" s="39"/>
      <c r="L151" s="37"/>
      <c r="M151" s="39"/>
      <c r="N151" s="39"/>
      <c r="O151" s="37"/>
      <c r="P151" s="39"/>
      <c r="Q151" s="39"/>
      <c r="R151" s="37"/>
      <c r="S151" s="39"/>
      <c r="T151" s="39"/>
      <c r="U151" s="37"/>
      <c r="V151" s="39"/>
      <c r="W151" s="39"/>
      <c r="X151" s="37"/>
      <c r="Y151" s="39"/>
      <c r="Z151" s="39"/>
      <c r="AA151" s="37"/>
      <c r="AB151" s="39"/>
      <c r="AC151" s="39"/>
      <c r="AD151" s="37"/>
      <c r="AE151" s="39"/>
      <c r="AF151" s="39"/>
      <c r="AG151" s="37"/>
      <c r="AH151" s="39"/>
      <c r="AI151" s="39"/>
      <c r="AJ151" s="37"/>
      <c r="AK151" s="39"/>
      <c r="AL151" s="39"/>
      <c r="AM151" s="37"/>
      <c r="AN151" s="39"/>
      <c r="AO151" s="39"/>
      <c r="AP151" s="37"/>
      <c r="AQ151" s="39"/>
      <c r="AR151" s="39"/>
    </row>
    <row r="152" spans="1:44" x14ac:dyDescent="0.45">
      <c r="A152" s="37"/>
      <c r="B152" s="37"/>
      <c r="C152" s="37"/>
      <c r="D152" s="37"/>
      <c r="E152" s="37"/>
      <c r="F152" s="37"/>
      <c r="G152" s="37"/>
      <c r="H152" s="37"/>
      <c r="I152" s="37"/>
      <c r="J152" s="39"/>
      <c r="K152" s="39"/>
      <c r="L152" s="37"/>
      <c r="M152" s="39"/>
      <c r="N152" s="39"/>
      <c r="O152" s="37"/>
      <c r="P152" s="39"/>
      <c r="Q152" s="39"/>
      <c r="R152" s="37"/>
      <c r="S152" s="39"/>
      <c r="T152" s="39"/>
      <c r="U152" s="37"/>
      <c r="V152" s="39"/>
      <c r="W152" s="39"/>
      <c r="X152" s="37"/>
      <c r="Y152" s="39"/>
      <c r="Z152" s="39"/>
      <c r="AA152" s="37"/>
      <c r="AB152" s="39"/>
      <c r="AC152" s="39"/>
      <c r="AD152" s="37"/>
      <c r="AE152" s="39"/>
      <c r="AF152" s="39"/>
      <c r="AG152" s="37"/>
      <c r="AH152" s="39"/>
      <c r="AI152" s="39"/>
      <c r="AJ152" s="37"/>
      <c r="AK152" s="39"/>
      <c r="AL152" s="39"/>
      <c r="AM152" s="37"/>
      <c r="AN152" s="39"/>
      <c r="AO152" s="39"/>
      <c r="AP152" s="37"/>
      <c r="AQ152" s="39"/>
      <c r="AR152" s="39"/>
    </row>
    <row r="153" spans="1:44" x14ac:dyDescent="0.45">
      <c r="A153" s="37"/>
      <c r="B153" s="37"/>
      <c r="C153" s="37"/>
      <c r="D153" s="37"/>
      <c r="E153" s="37"/>
      <c r="F153" s="37"/>
      <c r="G153" s="37"/>
      <c r="H153" s="37"/>
      <c r="I153" s="37"/>
      <c r="J153" s="39"/>
      <c r="K153" s="39"/>
      <c r="L153" s="37"/>
      <c r="M153" s="39"/>
      <c r="N153" s="39"/>
      <c r="O153" s="37"/>
      <c r="P153" s="39"/>
      <c r="Q153" s="39"/>
      <c r="R153" s="37"/>
      <c r="S153" s="39"/>
      <c r="T153" s="39"/>
      <c r="U153" s="37"/>
      <c r="V153" s="39"/>
      <c r="W153" s="39"/>
      <c r="X153" s="37"/>
      <c r="Y153" s="39"/>
      <c r="Z153" s="39"/>
      <c r="AA153" s="37"/>
      <c r="AB153" s="39"/>
      <c r="AC153" s="39"/>
      <c r="AD153" s="37"/>
      <c r="AE153" s="39"/>
      <c r="AF153" s="39"/>
      <c r="AG153" s="37"/>
      <c r="AH153" s="39"/>
      <c r="AI153" s="39"/>
      <c r="AJ153" s="37"/>
      <c r="AK153" s="39"/>
      <c r="AL153" s="39"/>
      <c r="AM153" s="37"/>
      <c r="AN153" s="39"/>
      <c r="AO153" s="39"/>
      <c r="AP153" s="37"/>
      <c r="AQ153" s="39"/>
      <c r="AR153" s="39"/>
    </row>
    <row r="154" spans="1:44" x14ac:dyDescent="0.45">
      <c r="A154" s="37"/>
      <c r="B154" s="37"/>
      <c r="C154" s="37"/>
      <c r="D154" s="37"/>
      <c r="E154" s="37"/>
      <c r="F154" s="37"/>
      <c r="G154" s="37"/>
      <c r="H154" s="37"/>
      <c r="I154" s="37"/>
      <c r="J154" s="39"/>
      <c r="K154" s="39"/>
      <c r="L154" s="37"/>
      <c r="M154" s="39"/>
      <c r="N154" s="39"/>
      <c r="O154" s="37"/>
      <c r="P154" s="39"/>
      <c r="Q154" s="39"/>
      <c r="R154" s="37"/>
      <c r="S154" s="39"/>
      <c r="T154" s="39"/>
      <c r="U154" s="37"/>
      <c r="V154" s="39"/>
      <c r="W154" s="39"/>
      <c r="X154" s="37"/>
      <c r="Y154" s="39"/>
      <c r="Z154" s="39"/>
      <c r="AA154" s="37"/>
      <c r="AB154" s="39"/>
      <c r="AC154" s="39"/>
      <c r="AD154" s="37"/>
      <c r="AE154" s="39"/>
      <c r="AF154" s="39"/>
      <c r="AG154" s="37"/>
      <c r="AH154" s="39"/>
      <c r="AI154" s="39"/>
      <c r="AJ154" s="37"/>
      <c r="AK154" s="39"/>
      <c r="AL154" s="39"/>
      <c r="AM154" s="37"/>
      <c r="AN154" s="39"/>
      <c r="AO154" s="39"/>
      <c r="AP154" s="37"/>
      <c r="AQ154" s="39"/>
      <c r="AR154" s="39"/>
    </row>
    <row r="155" spans="1:44" x14ac:dyDescent="0.45">
      <c r="A155" s="37"/>
      <c r="B155" s="37"/>
      <c r="C155" s="37"/>
      <c r="D155" s="37"/>
      <c r="E155" s="37"/>
      <c r="F155" s="37"/>
      <c r="G155" s="37"/>
      <c r="H155" s="37"/>
      <c r="I155" s="37"/>
      <c r="J155" s="39"/>
      <c r="K155" s="39"/>
      <c r="L155" s="37"/>
      <c r="M155" s="39"/>
      <c r="N155" s="39"/>
      <c r="O155" s="37"/>
      <c r="P155" s="39"/>
      <c r="Q155" s="39"/>
      <c r="R155" s="37"/>
      <c r="S155" s="39"/>
      <c r="T155" s="39"/>
      <c r="U155" s="37"/>
      <c r="V155" s="39"/>
      <c r="W155" s="39"/>
      <c r="X155" s="37"/>
      <c r="Y155" s="39"/>
      <c r="Z155" s="39"/>
      <c r="AA155" s="37"/>
      <c r="AB155" s="39"/>
      <c r="AC155" s="39"/>
      <c r="AD155" s="37"/>
      <c r="AE155" s="39"/>
      <c r="AF155" s="39"/>
      <c r="AG155" s="37"/>
      <c r="AH155" s="39"/>
      <c r="AI155" s="39"/>
      <c r="AJ155" s="37"/>
      <c r="AK155" s="39"/>
      <c r="AL155" s="39"/>
      <c r="AM155" s="37"/>
      <c r="AN155" s="39"/>
      <c r="AO155" s="39"/>
      <c r="AP155" s="37"/>
      <c r="AQ155" s="39"/>
      <c r="AR155" s="39"/>
    </row>
    <row r="156" spans="1:44" x14ac:dyDescent="0.45">
      <c r="A156" s="37"/>
      <c r="B156" s="37"/>
      <c r="C156" s="37"/>
      <c r="D156" s="37"/>
      <c r="E156" s="37"/>
      <c r="F156" s="37"/>
      <c r="G156" s="37"/>
      <c r="H156" s="37"/>
      <c r="I156" s="37"/>
      <c r="J156" s="39"/>
      <c r="K156" s="39"/>
      <c r="L156" s="37"/>
      <c r="M156" s="39"/>
      <c r="N156" s="39"/>
      <c r="O156" s="37"/>
      <c r="P156" s="39"/>
      <c r="Q156" s="39"/>
      <c r="R156" s="37"/>
      <c r="S156" s="39"/>
      <c r="T156" s="39"/>
      <c r="U156" s="37"/>
      <c r="V156" s="39"/>
      <c r="W156" s="39"/>
      <c r="X156" s="37"/>
      <c r="Y156" s="39"/>
      <c r="Z156" s="39"/>
      <c r="AA156" s="37"/>
      <c r="AB156" s="39"/>
      <c r="AC156" s="39"/>
      <c r="AD156" s="37"/>
      <c r="AE156" s="39"/>
      <c r="AF156" s="39"/>
      <c r="AG156" s="37"/>
      <c r="AH156" s="39"/>
      <c r="AI156" s="39"/>
      <c r="AJ156" s="37"/>
      <c r="AK156" s="39"/>
      <c r="AL156" s="39"/>
      <c r="AM156" s="37"/>
      <c r="AN156" s="39"/>
      <c r="AO156" s="39"/>
      <c r="AP156" s="37"/>
      <c r="AQ156" s="39"/>
      <c r="AR156" s="39"/>
    </row>
    <row r="157" spans="1:44" x14ac:dyDescent="0.45">
      <c r="A157" s="37"/>
      <c r="B157" s="37"/>
      <c r="C157" s="37"/>
      <c r="D157" s="37"/>
      <c r="E157" s="37"/>
      <c r="F157" s="37"/>
      <c r="G157" s="37"/>
      <c r="H157" s="37"/>
      <c r="I157" s="37"/>
      <c r="J157" s="39"/>
      <c r="K157" s="39"/>
      <c r="L157" s="37"/>
      <c r="M157" s="39"/>
      <c r="N157" s="39"/>
      <c r="O157" s="37"/>
      <c r="P157" s="39"/>
      <c r="Q157" s="39"/>
      <c r="R157" s="37"/>
      <c r="S157" s="39"/>
      <c r="T157" s="39"/>
      <c r="U157" s="37"/>
      <c r="V157" s="39"/>
      <c r="W157" s="39"/>
      <c r="X157" s="37"/>
      <c r="Y157" s="39"/>
      <c r="Z157" s="39"/>
      <c r="AA157" s="37"/>
      <c r="AB157" s="39"/>
      <c r="AC157" s="39"/>
      <c r="AD157" s="37"/>
      <c r="AE157" s="39"/>
      <c r="AF157" s="39"/>
      <c r="AG157" s="37"/>
      <c r="AH157" s="39"/>
      <c r="AI157" s="39"/>
      <c r="AJ157" s="37"/>
      <c r="AK157" s="39"/>
      <c r="AL157" s="39"/>
      <c r="AM157" s="37"/>
      <c r="AN157" s="39"/>
      <c r="AO157" s="39"/>
      <c r="AP157" s="37"/>
      <c r="AQ157" s="39"/>
      <c r="AR157" s="39"/>
    </row>
    <row r="158" spans="1:44" x14ac:dyDescent="0.45">
      <c r="A158" s="37"/>
      <c r="B158" s="37"/>
      <c r="C158" s="37"/>
      <c r="D158" s="37"/>
      <c r="E158" s="37"/>
      <c r="F158" s="37"/>
      <c r="G158" s="37"/>
      <c r="H158" s="37"/>
      <c r="I158" s="37"/>
      <c r="J158" s="39"/>
      <c r="K158" s="39"/>
      <c r="L158" s="37"/>
      <c r="M158" s="39"/>
      <c r="N158" s="39"/>
      <c r="O158" s="37"/>
      <c r="P158" s="39"/>
      <c r="Q158" s="39"/>
      <c r="R158" s="37"/>
      <c r="S158" s="39"/>
      <c r="T158" s="39"/>
      <c r="U158" s="37"/>
      <c r="V158" s="39"/>
      <c r="W158" s="39"/>
      <c r="X158" s="37"/>
      <c r="Y158" s="39"/>
      <c r="Z158" s="39"/>
      <c r="AA158" s="37"/>
      <c r="AB158" s="39"/>
      <c r="AC158" s="39"/>
      <c r="AD158" s="37"/>
      <c r="AE158" s="39"/>
      <c r="AF158" s="39"/>
      <c r="AG158" s="37"/>
      <c r="AH158" s="39"/>
      <c r="AI158" s="39"/>
      <c r="AJ158" s="37"/>
      <c r="AK158" s="39"/>
      <c r="AL158" s="39"/>
      <c r="AM158" s="37"/>
      <c r="AN158" s="39"/>
      <c r="AO158" s="39"/>
      <c r="AP158" s="37"/>
      <c r="AQ158" s="39"/>
      <c r="AR158" s="39"/>
    </row>
    <row r="159" spans="1:44" x14ac:dyDescent="0.45">
      <c r="A159" s="37"/>
      <c r="B159" s="37"/>
      <c r="C159" s="37"/>
      <c r="D159" s="37"/>
      <c r="E159" s="37"/>
      <c r="F159" s="37"/>
      <c r="G159" s="37"/>
      <c r="H159" s="37"/>
      <c r="I159" s="37"/>
      <c r="J159" s="39"/>
      <c r="K159" s="39"/>
      <c r="L159" s="37"/>
      <c r="M159" s="39"/>
      <c r="N159" s="39"/>
      <c r="O159" s="37"/>
      <c r="P159" s="39"/>
      <c r="Q159" s="39"/>
      <c r="R159" s="37"/>
      <c r="S159" s="39"/>
      <c r="T159" s="39"/>
      <c r="U159" s="37"/>
      <c r="V159" s="39"/>
      <c r="W159" s="39"/>
      <c r="X159" s="37"/>
      <c r="Y159" s="39"/>
      <c r="Z159" s="39"/>
      <c r="AA159" s="37"/>
      <c r="AB159" s="39"/>
      <c r="AC159" s="39"/>
      <c r="AD159" s="37"/>
      <c r="AE159" s="39"/>
      <c r="AF159" s="39"/>
      <c r="AG159" s="37"/>
      <c r="AH159" s="39"/>
      <c r="AI159" s="39"/>
      <c r="AJ159" s="37"/>
      <c r="AK159" s="39"/>
      <c r="AL159" s="39"/>
      <c r="AM159" s="37"/>
      <c r="AN159" s="39"/>
      <c r="AO159" s="39"/>
      <c r="AP159" s="37"/>
      <c r="AQ159" s="39"/>
      <c r="AR159" s="39"/>
    </row>
    <row r="160" spans="1:44" x14ac:dyDescent="0.45">
      <c r="A160" s="37"/>
      <c r="B160" s="37"/>
      <c r="C160" s="37"/>
      <c r="D160" s="37"/>
      <c r="E160" s="37"/>
      <c r="F160" s="37"/>
      <c r="G160" s="37"/>
      <c r="H160" s="37"/>
      <c r="I160" s="37"/>
      <c r="J160" s="39"/>
      <c r="K160" s="39"/>
      <c r="L160" s="37"/>
      <c r="M160" s="39"/>
      <c r="N160" s="39"/>
      <c r="O160" s="37"/>
      <c r="P160" s="39"/>
      <c r="Q160" s="39"/>
      <c r="R160" s="37"/>
      <c r="S160" s="39"/>
      <c r="T160" s="39"/>
      <c r="U160" s="37"/>
      <c r="V160" s="39"/>
      <c r="W160" s="39"/>
      <c r="X160" s="37"/>
      <c r="Y160" s="39"/>
      <c r="Z160" s="39"/>
      <c r="AA160" s="37"/>
      <c r="AB160" s="39"/>
      <c r="AC160" s="39"/>
      <c r="AD160" s="37"/>
      <c r="AE160" s="39"/>
      <c r="AF160" s="39"/>
      <c r="AG160" s="37"/>
      <c r="AH160" s="39"/>
      <c r="AI160" s="39"/>
      <c r="AJ160" s="37"/>
      <c r="AK160" s="39"/>
      <c r="AL160" s="39"/>
      <c r="AM160" s="37"/>
      <c r="AN160" s="39"/>
      <c r="AO160" s="39"/>
      <c r="AP160" s="37"/>
      <c r="AQ160" s="39"/>
      <c r="AR160" s="39"/>
    </row>
    <row r="161" spans="1:44" x14ac:dyDescent="0.45">
      <c r="A161" s="37"/>
      <c r="B161" s="37"/>
      <c r="C161" s="37"/>
      <c r="D161" s="37"/>
      <c r="E161" s="37"/>
      <c r="F161" s="37"/>
      <c r="G161" s="37"/>
      <c r="H161" s="37"/>
      <c r="I161" s="37"/>
      <c r="J161" s="39"/>
      <c r="K161" s="39"/>
      <c r="L161" s="37"/>
      <c r="M161" s="39"/>
      <c r="N161" s="39"/>
      <c r="O161" s="37"/>
      <c r="P161" s="39"/>
      <c r="Q161" s="39"/>
      <c r="R161" s="37"/>
      <c r="S161" s="39"/>
      <c r="T161" s="39"/>
      <c r="U161" s="37"/>
      <c r="V161" s="39"/>
      <c r="W161" s="39"/>
      <c r="X161" s="37"/>
      <c r="Y161" s="39"/>
      <c r="Z161" s="39"/>
      <c r="AA161" s="37"/>
      <c r="AB161" s="39"/>
      <c r="AC161" s="39"/>
      <c r="AD161" s="37"/>
      <c r="AE161" s="39"/>
      <c r="AF161" s="39"/>
      <c r="AG161" s="37"/>
      <c r="AH161" s="39"/>
      <c r="AI161" s="39"/>
      <c r="AJ161" s="37"/>
      <c r="AK161" s="39"/>
      <c r="AL161" s="39"/>
      <c r="AM161" s="37"/>
      <c r="AN161" s="39"/>
      <c r="AO161" s="39"/>
      <c r="AP161" s="37"/>
      <c r="AQ161" s="39"/>
      <c r="AR161" s="39"/>
    </row>
    <row r="162" spans="1:44" x14ac:dyDescent="0.45">
      <c r="A162" s="37"/>
      <c r="B162" s="37"/>
      <c r="C162" s="37"/>
      <c r="D162" s="37"/>
      <c r="E162" s="37"/>
      <c r="F162" s="37"/>
      <c r="G162" s="37"/>
      <c r="H162" s="37"/>
      <c r="I162" s="37"/>
      <c r="J162" s="39"/>
      <c r="K162" s="39"/>
      <c r="L162" s="37"/>
      <c r="M162" s="39"/>
      <c r="N162" s="39"/>
      <c r="O162" s="37"/>
      <c r="P162" s="39"/>
      <c r="Q162" s="39"/>
      <c r="R162" s="37"/>
      <c r="S162" s="39"/>
      <c r="T162" s="39"/>
      <c r="U162" s="37"/>
      <c r="V162" s="39"/>
      <c r="W162" s="39"/>
      <c r="X162" s="37"/>
      <c r="Y162" s="39"/>
      <c r="Z162" s="39"/>
      <c r="AA162" s="37"/>
      <c r="AB162" s="39"/>
      <c r="AC162" s="39"/>
      <c r="AD162" s="37"/>
      <c r="AE162" s="39"/>
      <c r="AF162" s="39"/>
      <c r="AG162" s="37"/>
      <c r="AH162" s="39"/>
      <c r="AI162" s="39"/>
      <c r="AJ162" s="37"/>
      <c r="AK162" s="39"/>
      <c r="AL162" s="39"/>
      <c r="AM162" s="37"/>
      <c r="AN162" s="39"/>
      <c r="AO162" s="39"/>
      <c r="AP162" s="37"/>
      <c r="AQ162" s="39"/>
      <c r="AR162" s="39"/>
    </row>
    <row r="163" spans="1:44" x14ac:dyDescent="0.45">
      <c r="A163" s="37"/>
      <c r="B163" s="37"/>
      <c r="C163" s="37"/>
      <c r="D163" s="37"/>
      <c r="E163" s="37"/>
      <c r="F163" s="37"/>
      <c r="G163" s="37"/>
      <c r="H163" s="37"/>
      <c r="I163" s="37"/>
      <c r="J163" s="39"/>
      <c r="K163" s="39"/>
      <c r="L163" s="37"/>
      <c r="M163" s="39"/>
      <c r="N163" s="39"/>
      <c r="O163" s="37"/>
      <c r="P163" s="39"/>
      <c r="Q163" s="39"/>
      <c r="R163" s="37"/>
      <c r="S163" s="39"/>
      <c r="T163" s="39"/>
      <c r="U163" s="37"/>
      <c r="V163" s="39"/>
      <c r="W163" s="39"/>
      <c r="X163" s="37"/>
      <c r="Y163" s="39"/>
      <c r="Z163" s="39"/>
      <c r="AA163" s="37"/>
      <c r="AB163" s="39"/>
      <c r="AC163" s="39"/>
      <c r="AD163" s="37"/>
      <c r="AE163" s="39"/>
      <c r="AF163" s="39"/>
      <c r="AG163" s="37"/>
      <c r="AH163" s="39"/>
      <c r="AI163" s="39"/>
      <c r="AJ163" s="37"/>
      <c r="AK163" s="39"/>
      <c r="AL163" s="39"/>
      <c r="AM163" s="37"/>
      <c r="AN163" s="39"/>
      <c r="AO163" s="39"/>
      <c r="AP163" s="37"/>
      <c r="AQ163" s="39"/>
      <c r="AR163" s="39"/>
    </row>
    <row r="164" spans="1:44" x14ac:dyDescent="0.45">
      <c r="A164" s="37"/>
      <c r="B164" s="37"/>
      <c r="C164" s="37"/>
      <c r="D164" s="37"/>
      <c r="E164" s="37"/>
      <c r="F164" s="37"/>
      <c r="G164" s="37"/>
      <c r="H164" s="37"/>
      <c r="I164" s="37"/>
      <c r="J164" s="39"/>
      <c r="K164" s="39"/>
      <c r="L164" s="37"/>
      <c r="M164" s="39"/>
      <c r="N164" s="39"/>
      <c r="O164" s="37"/>
      <c r="P164" s="39"/>
      <c r="Q164" s="39"/>
      <c r="R164" s="37"/>
      <c r="S164" s="39"/>
      <c r="T164" s="39"/>
      <c r="U164" s="37"/>
      <c r="V164" s="39"/>
      <c r="W164" s="39"/>
      <c r="X164" s="37"/>
      <c r="Y164" s="39"/>
      <c r="Z164" s="39"/>
      <c r="AA164" s="37"/>
      <c r="AB164" s="39"/>
      <c r="AC164" s="39"/>
      <c r="AD164" s="37"/>
      <c r="AE164" s="39"/>
      <c r="AF164" s="39"/>
      <c r="AG164" s="37"/>
      <c r="AH164" s="39"/>
      <c r="AI164" s="39"/>
      <c r="AJ164" s="37"/>
      <c r="AK164" s="39"/>
      <c r="AL164" s="39"/>
      <c r="AM164" s="37"/>
      <c r="AN164" s="39"/>
      <c r="AO164" s="39"/>
      <c r="AP164" s="37"/>
      <c r="AQ164" s="39"/>
      <c r="AR164" s="39"/>
    </row>
    <row r="165" spans="1:44" x14ac:dyDescent="0.45">
      <c r="A165" s="37"/>
      <c r="B165" s="37"/>
      <c r="C165" s="37"/>
      <c r="D165" s="37"/>
      <c r="E165" s="37"/>
      <c r="F165" s="37"/>
      <c r="G165" s="37"/>
      <c r="H165" s="37"/>
      <c r="I165" s="37"/>
      <c r="J165" s="39"/>
      <c r="K165" s="39"/>
      <c r="L165" s="37"/>
      <c r="M165" s="39"/>
      <c r="N165" s="39"/>
      <c r="O165" s="37"/>
      <c r="P165" s="39"/>
      <c r="Q165" s="39"/>
      <c r="R165" s="37"/>
      <c r="S165" s="39"/>
      <c r="T165" s="39"/>
      <c r="U165" s="37"/>
      <c r="V165" s="39"/>
      <c r="W165" s="39"/>
      <c r="X165" s="37"/>
      <c r="Y165" s="39"/>
      <c r="Z165" s="39"/>
      <c r="AA165" s="37"/>
      <c r="AB165" s="39"/>
      <c r="AC165" s="39"/>
      <c r="AD165" s="37"/>
      <c r="AE165" s="39"/>
      <c r="AF165" s="39"/>
      <c r="AG165" s="37"/>
      <c r="AH165" s="39"/>
      <c r="AI165" s="39"/>
      <c r="AJ165" s="37"/>
      <c r="AK165" s="39"/>
      <c r="AL165" s="39"/>
      <c r="AM165" s="37"/>
      <c r="AN165" s="39"/>
      <c r="AO165" s="39"/>
      <c r="AP165" s="37"/>
      <c r="AQ165" s="39"/>
      <c r="AR165" s="39"/>
    </row>
    <row r="166" spans="1:44" x14ac:dyDescent="0.45">
      <c r="A166" s="37"/>
      <c r="B166" s="37"/>
      <c r="C166" s="37"/>
      <c r="D166" s="37"/>
      <c r="E166" s="37"/>
      <c r="F166" s="37"/>
      <c r="G166" s="37"/>
      <c r="H166" s="37"/>
      <c r="I166" s="37"/>
      <c r="J166" s="39"/>
      <c r="K166" s="39"/>
      <c r="L166" s="37"/>
      <c r="M166" s="39"/>
      <c r="N166" s="39"/>
      <c r="O166" s="37"/>
      <c r="P166" s="39"/>
      <c r="Q166" s="39"/>
      <c r="R166" s="37"/>
      <c r="S166" s="39"/>
      <c r="T166" s="39"/>
      <c r="U166" s="37"/>
      <c r="V166" s="39"/>
      <c r="W166" s="39"/>
      <c r="X166" s="37"/>
      <c r="Y166" s="39"/>
      <c r="Z166" s="39"/>
      <c r="AA166" s="37"/>
      <c r="AB166" s="39"/>
      <c r="AC166" s="39"/>
      <c r="AD166" s="37"/>
      <c r="AE166" s="39"/>
      <c r="AF166" s="39"/>
      <c r="AG166" s="37"/>
      <c r="AH166" s="39"/>
      <c r="AI166" s="39"/>
      <c r="AJ166" s="37"/>
      <c r="AK166" s="39"/>
      <c r="AL166" s="39"/>
      <c r="AM166" s="37"/>
      <c r="AN166" s="39"/>
      <c r="AO166" s="39"/>
      <c r="AP166" s="37"/>
      <c r="AQ166" s="39"/>
      <c r="AR166" s="39"/>
    </row>
    <row r="167" spans="1:44" x14ac:dyDescent="0.45">
      <c r="A167" s="37"/>
      <c r="B167" s="37"/>
      <c r="C167" s="37"/>
      <c r="D167" s="37"/>
      <c r="E167" s="37"/>
      <c r="F167" s="37"/>
      <c r="G167" s="37"/>
      <c r="H167" s="37"/>
      <c r="I167" s="37"/>
      <c r="J167" s="39"/>
      <c r="K167" s="39"/>
      <c r="L167" s="37"/>
      <c r="M167" s="39"/>
      <c r="N167" s="39"/>
      <c r="O167" s="37"/>
      <c r="P167" s="39"/>
      <c r="Q167" s="39"/>
      <c r="R167" s="37"/>
      <c r="S167" s="39"/>
      <c r="T167" s="39"/>
      <c r="U167" s="37"/>
      <c r="V167" s="39"/>
      <c r="W167" s="39"/>
      <c r="X167" s="37"/>
      <c r="Y167" s="39"/>
      <c r="Z167" s="39"/>
      <c r="AA167" s="37"/>
      <c r="AB167" s="39"/>
      <c r="AC167" s="39"/>
      <c r="AD167" s="37"/>
      <c r="AE167" s="39"/>
      <c r="AF167" s="39"/>
      <c r="AG167" s="37"/>
      <c r="AH167" s="39"/>
      <c r="AI167" s="39"/>
      <c r="AJ167" s="37"/>
      <c r="AK167" s="39"/>
      <c r="AL167" s="39"/>
      <c r="AM167" s="37"/>
      <c r="AN167" s="39"/>
      <c r="AO167" s="39"/>
      <c r="AP167" s="37"/>
      <c r="AQ167" s="39"/>
      <c r="AR167" s="39"/>
    </row>
    <row r="168" spans="1:44" x14ac:dyDescent="0.45">
      <c r="A168" s="37"/>
      <c r="B168" s="37"/>
      <c r="C168" s="37"/>
      <c r="D168" s="37"/>
      <c r="E168" s="37"/>
      <c r="F168" s="37"/>
      <c r="G168" s="37"/>
      <c r="H168" s="37"/>
      <c r="I168" s="37"/>
      <c r="J168" s="39"/>
      <c r="K168" s="39"/>
      <c r="L168" s="37"/>
      <c r="M168" s="39"/>
      <c r="N168" s="39"/>
      <c r="O168" s="37"/>
      <c r="P168" s="39"/>
      <c r="Q168" s="39"/>
      <c r="R168" s="37"/>
      <c r="S168" s="39"/>
      <c r="T168" s="39"/>
      <c r="U168" s="37"/>
      <c r="V168" s="39"/>
      <c r="W168" s="39"/>
      <c r="X168" s="37"/>
      <c r="Y168" s="39"/>
      <c r="Z168" s="39"/>
      <c r="AA168" s="37"/>
      <c r="AB168" s="39"/>
      <c r="AC168" s="39"/>
      <c r="AD168" s="37"/>
      <c r="AE168" s="39"/>
      <c r="AF168" s="39"/>
      <c r="AG168" s="37"/>
      <c r="AH168" s="39"/>
      <c r="AI168" s="39"/>
      <c r="AJ168" s="37"/>
      <c r="AK168" s="39"/>
      <c r="AL168" s="39"/>
      <c r="AM168" s="37"/>
      <c r="AN168" s="39"/>
      <c r="AO168" s="39"/>
      <c r="AP168" s="37"/>
      <c r="AQ168" s="39"/>
      <c r="AR168" s="39"/>
    </row>
    <row r="169" spans="1:44" x14ac:dyDescent="0.45">
      <c r="A169" s="37"/>
      <c r="B169" s="37"/>
      <c r="C169" s="37"/>
      <c r="D169" s="37"/>
      <c r="E169" s="37"/>
      <c r="F169" s="37"/>
      <c r="G169" s="37"/>
      <c r="H169" s="37"/>
      <c r="I169" s="37"/>
      <c r="J169" s="39"/>
      <c r="K169" s="39"/>
      <c r="L169" s="37"/>
      <c r="M169" s="39"/>
      <c r="N169" s="39"/>
      <c r="O169" s="37"/>
      <c r="P169" s="39"/>
      <c r="Q169" s="39"/>
      <c r="R169" s="37"/>
      <c r="S169" s="39"/>
      <c r="T169" s="39"/>
      <c r="U169" s="37"/>
      <c r="V169" s="39"/>
      <c r="W169" s="39"/>
      <c r="X169" s="37"/>
      <c r="Y169" s="39"/>
      <c r="Z169" s="39"/>
      <c r="AA169" s="37"/>
      <c r="AB169" s="39"/>
      <c r="AC169" s="39"/>
      <c r="AD169" s="37"/>
      <c r="AE169" s="39"/>
      <c r="AF169" s="39"/>
      <c r="AG169" s="37"/>
      <c r="AH169" s="39"/>
      <c r="AI169" s="39"/>
      <c r="AJ169" s="37"/>
      <c r="AK169" s="39"/>
      <c r="AL169" s="39"/>
      <c r="AM169" s="37"/>
      <c r="AN169" s="39"/>
      <c r="AO169" s="39"/>
      <c r="AP169" s="37"/>
      <c r="AQ169" s="39"/>
      <c r="AR169" s="39"/>
    </row>
    <row r="170" spans="1:44" x14ac:dyDescent="0.45">
      <c r="A170" s="37"/>
      <c r="B170" s="37"/>
      <c r="C170" s="37"/>
      <c r="D170" s="37"/>
      <c r="E170" s="37"/>
      <c r="F170" s="37"/>
      <c r="G170" s="37"/>
      <c r="H170" s="37"/>
      <c r="I170" s="37"/>
      <c r="J170" s="39"/>
      <c r="K170" s="39"/>
      <c r="L170" s="37"/>
      <c r="M170" s="39"/>
      <c r="N170" s="39"/>
      <c r="O170" s="37"/>
      <c r="P170" s="39"/>
      <c r="Q170" s="39"/>
      <c r="R170" s="37"/>
      <c r="S170" s="39"/>
      <c r="T170" s="39"/>
      <c r="U170" s="37"/>
      <c r="V170" s="39"/>
      <c r="W170" s="39"/>
      <c r="X170" s="37"/>
      <c r="Y170" s="39"/>
      <c r="Z170" s="39"/>
      <c r="AA170" s="37"/>
      <c r="AB170" s="39"/>
      <c r="AC170" s="39"/>
      <c r="AD170" s="37"/>
      <c r="AE170" s="39"/>
      <c r="AF170" s="39"/>
      <c r="AG170" s="37"/>
      <c r="AH170" s="39"/>
      <c r="AI170" s="39"/>
      <c r="AJ170" s="37"/>
      <c r="AK170" s="39"/>
      <c r="AL170" s="39"/>
      <c r="AM170" s="37"/>
      <c r="AN170" s="39"/>
      <c r="AO170" s="39"/>
      <c r="AP170" s="37"/>
      <c r="AQ170" s="39"/>
      <c r="AR170" s="39"/>
    </row>
    <row r="171" spans="1:44" x14ac:dyDescent="0.45">
      <c r="A171" s="37"/>
      <c r="B171" s="37"/>
      <c r="C171" s="37"/>
      <c r="D171" s="37"/>
      <c r="E171" s="37"/>
      <c r="F171" s="37"/>
      <c r="G171" s="37"/>
      <c r="H171" s="37"/>
      <c r="I171" s="37"/>
      <c r="J171" s="39"/>
      <c r="K171" s="39"/>
      <c r="L171" s="37"/>
      <c r="M171" s="39"/>
      <c r="N171" s="39"/>
      <c r="O171" s="37"/>
      <c r="P171" s="39"/>
      <c r="Q171" s="39"/>
      <c r="R171" s="37"/>
      <c r="S171" s="39"/>
      <c r="T171" s="39"/>
      <c r="U171" s="37"/>
      <c r="V171" s="39"/>
      <c r="W171" s="39"/>
      <c r="X171" s="37"/>
      <c r="Y171" s="39"/>
      <c r="Z171" s="39"/>
      <c r="AA171" s="37"/>
      <c r="AB171" s="39"/>
      <c r="AC171" s="39"/>
      <c r="AD171" s="37"/>
      <c r="AE171" s="39"/>
      <c r="AF171" s="39"/>
      <c r="AG171" s="37"/>
      <c r="AH171" s="39"/>
      <c r="AI171" s="39"/>
      <c r="AJ171" s="37"/>
      <c r="AK171" s="39"/>
      <c r="AL171" s="39"/>
      <c r="AM171" s="37"/>
      <c r="AN171" s="39"/>
      <c r="AO171" s="39"/>
      <c r="AP171" s="37"/>
      <c r="AQ171" s="39"/>
      <c r="AR171" s="39"/>
    </row>
    <row r="172" spans="1:44" x14ac:dyDescent="0.45">
      <c r="A172" s="37"/>
      <c r="B172" s="37"/>
      <c r="C172" s="37"/>
      <c r="D172" s="37"/>
      <c r="E172" s="37"/>
      <c r="F172" s="37"/>
      <c r="G172" s="37"/>
      <c r="H172" s="37"/>
      <c r="I172" s="37"/>
      <c r="J172" s="39"/>
      <c r="K172" s="39"/>
      <c r="L172" s="37"/>
      <c r="M172" s="39"/>
      <c r="N172" s="39"/>
      <c r="O172" s="37"/>
      <c r="P172" s="39"/>
      <c r="Q172" s="39"/>
      <c r="R172" s="37"/>
      <c r="S172" s="39"/>
      <c r="T172" s="39"/>
      <c r="U172" s="37"/>
      <c r="V172" s="39"/>
      <c r="W172" s="39"/>
      <c r="X172" s="37"/>
      <c r="Y172" s="39"/>
      <c r="Z172" s="39"/>
      <c r="AA172" s="37"/>
      <c r="AB172" s="39"/>
      <c r="AC172" s="39"/>
      <c r="AD172" s="37"/>
      <c r="AE172" s="39"/>
      <c r="AF172" s="39"/>
      <c r="AG172" s="37"/>
      <c r="AH172" s="39"/>
      <c r="AI172" s="39"/>
      <c r="AJ172" s="37"/>
      <c r="AK172" s="39"/>
      <c r="AL172" s="39"/>
      <c r="AM172" s="37"/>
      <c r="AN172" s="39"/>
      <c r="AO172" s="39"/>
      <c r="AP172" s="37"/>
      <c r="AQ172" s="39"/>
      <c r="AR172" s="39"/>
    </row>
    <row r="173" spans="1:44" x14ac:dyDescent="0.45">
      <c r="A173" s="37"/>
      <c r="B173" s="37"/>
      <c r="C173" s="37"/>
      <c r="D173" s="37"/>
      <c r="E173" s="37"/>
      <c r="F173" s="37"/>
      <c r="G173" s="37"/>
      <c r="H173" s="37"/>
      <c r="I173" s="37"/>
      <c r="J173" s="39"/>
      <c r="K173" s="39"/>
      <c r="L173" s="37"/>
      <c r="M173" s="39"/>
      <c r="N173" s="39"/>
      <c r="O173" s="37"/>
      <c r="P173" s="39"/>
      <c r="Q173" s="39"/>
      <c r="R173" s="37"/>
      <c r="S173" s="39"/>
      <c r="T173" s="39"/>
      <c r="U173" s="37"/>
      <c r="V173" s="39"/>
      <c r="W173" s="39"/>
      <c r="X173" s="37"/>
      <c r="Y173" s="39"/>
      <c r="Z173" s="39"/>
      <c r="AA173" s="37"/>
      <c r="AB173" s="39"/>
      <c r="AC173" s="39"/>
      <c r="AD173" s="37"/>
      <c r="AE173" s="39"/>
      <c r="AF173" s="39"/>
      <c r="AG173" s="37"/>
      <c r="AH173" s="39"/>
      <c r="AI173" s="39"/>
      <c r="AJ173" s="37"/>
      <c r="AK173" s="39"/>
      <c r="AL173" s="39"/>
      <c r="AM173" s="37"/>
      <c r="AN173" s="39"/>
      <c r="AO173" s="39"/>
      <c r="AP173" s="37"/>
      <c r="AQ173" s="39"/>
      <c r="AR173" s="39"/>
    </row>
    <row r="174" spans="1:44" x14ac:dyDescent="0.45">
      <c r="A174" s="37"/>
      <c r="B174" s="37"/>
      <c r="C174" s="37"/>
      <c r="D174" s="37"/>
      <c r="E174" s="37"/>
      <c r="F174" s="37"/>
      <c r="G174" s="37"/>
      <c r="H174" s="37"/>
      <c r="I174" s="37"/>
      <c r="J174" s="39"/>
      <c r="K174" s="39"/>
      <c r="L174" s="37"/>
      <c r="M174" s="39"/>
      <c r="N174" s="39"/>
      <c r="O174" s="37"/>
      <c r="P174" s="39"/>
      <c r="Q174" s="39"/>
      <c r="R174" s="37"/>
      <c r="S174" s="39"/>
      <c r="T174" s="39"/>
      <c r="U174" s="37"/>
      <c r="V174" s="39"/>
      <c r="W174" s="39"/>
      <c r="X174" s="37"/>
      <c r="Y174" s="39"/>
      <c r="Z174" s="39"/>
      <c r="AA174" s="37"/>
      <c r="AB174" s="39"/>
      <c r="AC174" s="39"/>
      <c r="AD174" s="37"/>
      <c r="AE174" s="39"/>
      <c r="AF174" s="39"/>
      <c r="AG174" s="37"/>
      <c r="AH174" s="39"/>
      <c r="AI174" s="39"/>
      <c r="AJ174" s="37"/>
      <c r="AK174" s="39"/>
      <c r="AL174" s="39"/>
      <c r="AM174" s="37"/>
      <c r="AN174" s="39"/>
      <c r="AO174" s="39"/>
      <c r="AP174" s="37"/>
      <c r="AQ174" s="39"/>
      <c r="AR174" s="39"/>
    </row>
    <row r="175" spans="1:44" x14ac:dyDescent="0.45">
      <c r="A175" s="37"/>
      <c r="B175" s="37"/>
      <c r="C175" s="37"/>
      <c r="D175" s="37"/>
      <c r="E175" s="37"/>
      <c r="F175" s="37"/>
      <c r="G175" s="37"/>
      <c r="H175" s="37"/>
      <c r="I175" s="37"/>
      <c r="J175" s="39"/>
      <c r="K175" s="39"/>
      <c r="L175" s="37"/>
      <c r="M175" s="39"/>
      <c r="N175" s="39"/>
      <c r="O175" s="37"/>
      <c r="P175" s="39"/>
      <c r="Q175" s="39"/>
      <c r="R175" s="37"/>
      <c r="S175" s="39"/>
      <c r="T175" s="39"/>
      <c r="U175" s="37"/>
      <c r="V175" s="39"/>
      <c r="W175" s="39"/>
      <c r="X175" s="37"/>
      <c r="Y175" s="39"/>
      <c r="Z175" s="39"/>
      <c r="AA175" s="37"/>
      <c r="AB175" s="39"/>
      <c r="AC175" s="39"/>
      <c r="AD175" s="37"/>
      <c r="AE175" s="39"/>
      <c r="AF175" s="39"/>
      <c r="AG175" s="37"/>
      <c r="AH175" s="39"/>
      <c r="AI175" s="39"/>
      <c r="AJ175" s="37"/>
      <c r="AK175" s="39"/>
      <c r="AL175" s="39"/>
      <c r="AM175" s="37"/>
      <c r="AN175" s="39"/>
      <c r="AO175" s="39"/>
      <c r="AP175" s="37"/>
      <c r="AQ175" s="39"/>
      <c r="AR175" s="39"/>
    </row>
    <row r="176" spans="1:44" x14ac:dyDescent="0.45">
      <c r="A176" s="37"/>
      <c r="B176" s="37"/>
      <c r="C176" s="37"/>
      <c r="D176" s="37"/>
      <c r="E176" s="37"/>
      <c r="F176" s="37"/>
      <c r="G176" s="37"/>
      <c r="H176" s="37"/>
      <c r="I176" s="37"/>
      <c r="J176" s="39"/>
      <c r="K176" s="39"/>
      <c r="L176" s="37"/>
      <c r="M176" s="39"/>
      <c r="N176" s="39"/>
      <c r="O176" s="37"/>
      <c r="P176" s="39"/>
      <c r="Q176" s="39"/>
      <c r="R176" s="37"/>
      <c r="S176" s="39"/>
      <c r="T176" s="39"/>
      <c r="U176" s="37"/>
      <c r="V176" s="39"/>
      <c r="W176" s="39"/>
      <c r="X176" s="37"/>
      <c r="Y176" s="39"/>
      <c r="Z176" s="39"/>
      <c r="AA176" s="37"/>
      <c r="AB176" s="39"/>
      <c r="AC176" s="39"/>
      <c r="AD176" s="37"/>
      <c r="AE176" s="39"/>
      <c r="AF176" s="39"/>
      <c r="AG176" s="37"/>
      <c r="AH176" s="39"/>
      <c r="AI176" s="39"/>
      <c r="AJ176" s="37"/>
      <c r="AK176" s="39"/>
      <c r="AL176" s="39"/>
      <c r="AM176" s="37"/>
      <c r="AN176" s="39"/>
      <c r="AO176" s="39"/>
      <c r="AP176" s="37"/>
      <c r="AQ176" s="39"/>
      <c r="AR176" s="39"/>
    </row>
    <row r="177" spans="1:44" x14ac:dyDescent="0.45">
      <c r="A177" s="37"/>
      <c r="B177" s="37"/>
      <c r="C177" s="37"/>
      <c r="D177" s="37"/>
      <c r="E177" s="37"/>
      <c r="F177" s="37"/>
      <c r="G177" s="37"/>
      <c r="H177" s="37"/>
      <c r="I177" s="37"/>
      <c r="J177" s="39"/>
      <c r="K177" s="39"/>
      <c r="L177" s="37"/>
      <c r="M177" s="39"/>
      <c r="N177" s="39"/>
      <c r="O177" s="37"/>
      <c r="P177" s="39"/>
      <c r="Q177" s="39"/>
      <c r="R177" s="37"/>
      <c r="S177" s="39"/>
      <c r="T177" s="39"/>
      <c r="U177" s="37"/>
      <c r="V177" s="39"/>
      <c r="W177" s="39"/>
      <c r="X177" s="37"/>
      <c r="Y177" s="39"/>
      <c r="Z177" s="39"/>
      <c r="AA177" s="37"/>
      <c r="AB177" s="39"/>
      <c r="AC177" s="39"/>
      <c r="AD177" s="37"/>
      <c r="AE177" s="39"/>
      <c r="AF177" s="39"/>
      <c r="AG177" s="37"/>
      <c r="AH177" s="39"/>
      <c r="AI177" s="39"/>
      <c r="AJ177" s="37"/>
      <c r="AK177" s="39"/>
      <c r="AL177" s="39"/>
      <c r="AM177" s="37"/>
      <c r="AN177" s="39"/>
      <c r="AO177" s="39"/>
      <c r="AP177" s="37"/>
      <c r="AQ177" s="39"/>
      <c r="AR177" s="39"/>
    </row>
    <row r="178" spans="1:44" x14ac:dyDescent="0.45">
      <c r="A178" s="37"/>
      <c r="B178" s="37"/>
      <c r="C178" s="37"/>
      <c r="D178" s="37"/>
      <c r="E178" s="37"/>
      <c r="F178" s="37"/>
      <c r="G178" s="37"/>
      <c r="H178" s="37"/>
      <c r="I178" s="37"/>
      <c r="J178" s="39"/>
      <c r="K178" s="39"/>
      <c r="L178" s="37"/>
      <c r="M178" s="39"/>
      <c r="N178" s="39"/>
      <c r="O178" s="37"/>
      <c r="P178" s="39"/>
      <c r="Q178" s="39"/>
      <c r="R178" s="37"/>
      <c r="S178" s="39"/>
      <c r="T178" s="39"/>
      <c r="U178" s="37"/>
      <c r="V178" s="39"/>
      <c r="W178" s="39"/>
      <c r="X178" s="37"/>
      <c r="Y178" s="39"/>
      <c r="Z178" s="39"/>
      <c r="AA178" s="37"/>
      <c r="AB178" s="39"/>
      <c r="AC178" s="39"/>
      <c r="AD178" s="37"/>
      <c r="AE178" s="39"/>
      <c r="AF178" s="39"/>
      <c r="AG178" s="37"/>
      <c r="AH178" s="39"/>
      <c r="AI178" s="39"/>
      <c r="AJ178" s="37"/>
      <c r="AK178" s="39"/>
      <c r="AL178" s="39"/>
      <c r="AM178" s="37"/>
      <c r="AN178" s="39"/>
      <c r="AO178" s="39"/>
      <c r="AP178" s="37"/>
      <c r="AQ178" s="39"/>
      <c r="AR178" s="39"/>
    </row>
    <row r="179" spans="1:44" x14ac:dyDescent="0.45">
      <c r="A179" s="37"/>
      <c r="B179" s="37"/>
      <c r="C179" s="37"/>
      <c r="D179" s="37"/>
      <c r="E179" s="37"/>
      <c r="F179" s="37"/>
      <c r="G179" s="37"/>
      <c r="H179" s="37"/>
      <c r="I179" s="37"/>
      <c r="J179" s="39"/>
      <c r="K179" s="39"/>
      <c r="L179" s="37"/>
      <c r="M179" s="39"/>
      <c r="N179" s="39"/>
      <c r="O179" s="37"/>
      <c r="P179" s="39"/>
      <c r="Q179" s="39"/>
      <c r="R179" s="37"/>
      <c r="S179" s="39"/>
      <c r="T179" s="39"/>
      <c r="U179" s="37"/>
      <c r="V179" s="39"/>
      <c r="W179" s="39"/>
      <c r="X179" s="37"/>
      <c r="Y179" s="39"/>
      <c r="Z179" s="39"/>
      <c r="AA179" s="37"/>
      <c r="AB179" s="39"/>
      <c r="AC179" s="39"/>
      <c r="AD179" s="37"/>
      <c r="AE179" s="39"/>
      <c r="AF179" s="39"/>
      <c r="AG179" s="37"/>
      <c r="AH179" s="39"/>
      <c r="AI179" s="39"/>
      <c r="AJ179" s="37"/>
      <c r="AK179" s="39"/>
      <c r="AL179" s="39"/>
      <c r="AM179" s="37"/>
      <c r="AN179" s="39"/>
      <c r="AO179" s="39"/>
      <c r="AP179" s="37"/>
      <c r="AQ179" s="39"/>
      <c r="AR179" s="39"/>
    </row>
    <row r="180" spans="1:44" x14ac:dyDescent="0.45">
      <c r="A180" s="37"/>
      <c r="B180" s="37"/>
      <c r="C180" s="37"/>
      <c r="D180" s="37"/>
      <c r="E180" s="37"/>
      <c r="F180" s="37"/>
      <c r="G180" s="37"/>
      <c r="H180" s="37"/>
      <c r="I180" s="37"/>
      <c r="J180" s="39"/>
      <c r="K180" s="39"/>
      <c r="L180" s="37"/>
      <c r="M180" s="39"/>
      <c r="N180" s="39"/>
      <c r="O180" s="37"/>
      <c r="P180" s="39"/>
      <c r="Q180" s="39"/>
      <c r="R180" s="37"/>
      <c r="S180" s="39"/>
      <c r="T180" s="39"/>
      <c r="U180" s="37"/>
      <c r="V180" s="39"/>
      <c r="W180" s="39"/>
      <c r="X180" s="37"/>
      <c r="Y180" s="39"/>
      <c r="Z180" s="39"/>
      <c r="AA180" s="37"/>
      <c r="AB180" s="39"/>
      <c r="AC180" s="39"/>
      <c r="AD180" s="37"/>
      <c r="AE180" s="39"/>
      <c r="AF180" s="39"/>
      <c r="AG180" s="37"/>
      <c r="AH180" s="39"/>
      <c r="AI180" s="39"/>
      <c r="AJ180" s="37"/>
      <c r="AK180" s="39"/>
      <c r="AL180" s="39"/>
      <c r="AM180" s="37"/>
      <c r="AN180" s="39"/>
      <c r="AO180" s="39"/>
      <c r="AP180" s="37"/>
      <c r="AQ180" s="39"/>
      <c r="AR180" s="39"/>
    </row>
    <row r="181" spans="1:44" x14ac:dyDescent="0.45">
      <c r="A181" s="37"/>
      <c r="B181" s="37"/>
      <c r="C181" s="37"/>
      <c r="D181" s="37"/>
      <c r="E181" s="37"/>
      <c r="F181" s="37"/>
      <c r="G181" s="37"/>
      <c r="H181" s="37"/>
      <c r="I181" s="37"/>
      <c r="J181" s="39"/>
      <c r="K181" s="39"/>
      <c r="L181" s="37"/>
      <c r="M181" s="39"/>
      <c r="N181" s="39"/>
      <c r="O181" s="37"/>
      <c r="P181" s="39"/>
      <c r="Q181" s="39"/>
      <c r="R181" s="37"/>
      <c r="S181" s="39"/>
      <c r="T181" s="39"/>
      <c r="U181" s="37"/>
      <c r="V181" s="39"/>
      <c r="W181" s="39"/>
      <c r="X181" s="37"/>
      <c r="Y181" s="39"/>
      <c r="Z181" s="39"/>
      <c r="AA181" s="37"/>
      <c r="AB181" s="39"/>
      <c r="AC181" s="39"/>
      <c r="AD181" s="37"/>
      <c r="AE181" s="39"/>
      <c r="AF181" s="39"/>
      <c r="AG181" s="37"/>
      <c r="AH181" s="39"/>
      <c r="AI181" s="39"/>
      <c r="AJ181" s="37"/>
      <c r="AK181" s="39"/>
      <c r="AL181" s="39"/>
      <c r="AM181" s="37"/>
      <c r="AN181" s="39"/>
      <c r="AO181" s="39"/>
      <c r="AP181" s="37"/>
      <c r="AQ181" s="39"/>
      <c r="AR181" s="39"/>
    </row>
    <row r="182" spans="1:44" x14ac:dyDescent="0.45">
      <c r="A182" s="37"/>
      <c r="B182" s="37"/>
      <c r="C182" s="37"/>
      <c r="D182" s="37"/>
      <c r="E182" s="37"/>
      <c r="F182" s="37"/>
      <c r="G182" s="37"/>
      <c r="H182" s="37"/>
      <c r="I182" s="37"/>
      <c r="J182" s="39"/>
      <c r="K182" s="39"/>
      <c r="L182" s="37"/>
      <c r="M182" s="39"/>
      <c r="N182" s="39"/>
      <c r="O182" s="37"/>
      <c r="P182" s="39"/>
      <c r="Q182" s="39"/>
      <c r="R182" s="37"/>
      <c r="S182" s="39"/>
      <c r="T182" s="39"/>
      <c r="U182" s="37"/>
      <c r="V182" s="39"/>
      <c r="W182" s="39"/>
      <c r="X182" s="37"/>
      <c r="Y182" s="39"/>
      <c r="Z182" s="39"/>
      <c r="AA182" s="37"/>
      <c r="AB182" s="39"/>
      <c r="AC182" s="39"/>
      <c r="AD182" s="37"/>
      <c r="AE182" s="39"/>
      <c r="AF182" s="39"/>
      <c r="AG182" s="37"/>
      <c r="AH182" s="39"/>
      <c r="AI182" s="39"/>
      <c r="AJ182" s="37"/>
      <c r="AK182" s="39"/>
      <c r="AL182" s="39"/>
      <c r="AM182" s="37"/>
      <c r="AN182" s="39"/>
      <c r="AO182" s="39"/>
      <c r="AP182" s="37"/>
      <c r="AQ182" s="39"/>
      <c r="AR182" s="39"/>
    </row>
    <row r="183" spans="1:44" x14ac:dyDescent="0.45">
      <c r="A183" s="37"/>
      <c r="B183" s="37"/>
      <c r="C183" s="37"/>
      <c r="D183" s="37"/>
      <c r="E183" s="37"/>
      <c r="F183" s="37"/>
      <c r="G183" s="37"/>
      <c r="H183" s="37"/>
      <c r="I183" s="37"/>
      <c r="J183" s="39"/>
      <c r="K183" s="39"/>
      <c r="L183" s="37"/>
      <c r="M183" s="39"/>
      <c r="N183" s="39"/>
      <c r="O183" s="37"/>
      <c r="P183" s="39"/>
      <c r="Q183" s="39"/>
      <c r="R183" s="37"/>
      <c r="S183" s="39"/>
      <c r="T183" s="39"/>
      <c r="U183" s="37"/>
      <c r="V183" s="39"/>
      <c r="W183" s="39"/>
      <c r="X183" s="37"/>
      <c r="Y183" s="39"/>
      <c r="Z183" s="39"/>
      <c r="AA183" s="37"/>
      <c r="AB183" s="39"/>
      <c r="AC183" s="39"/>
      <c r="AD183" s="37"/>
      <c r="AE183" s="39"/>
      <c r="AF183" s="39"/>
      <c r="AG183" s="37"/>
      <c r="AH183" s="39"/>
      <c r="AI183" s="39"/>
      <c r="AJ183" s="37"/>
      <c r="AK183" s="39"/>
      <c r="AL183" s="39"/>
      <c r="AM183" s="37"/>
      <c r="AN183" s="39"/>
      <c r="AO183" s="39"/>
      <c r="AP183" s="37"/>
      <c r="AQ183" s="39"/>
      <c r="AR183" s="39"/>
    </row>
    <row r="184" spans="1:44" x14ac:dyDescent="0.45">
      <c r="A184" s="37"/>
      <c r="B184" s="37"/>
      <c r="C184" s="37"/>
      <c r="D184" s="37"/>
      <c r="E184" s="37"/>
      <c r="F184" s="37"/>
      <c r="G184" s="37"/>
      <c r="H184" s="37"/>
      <c r="I184" s="37"/>
      <c r="J184" s="39"/>
      <c r="K184" s="39"/>
      <c r="L184" s="37"/>
      <c r="M184" s="39"/>
      <c r="N184" s="39"/>
      <c r="O184" s="37"/>
      <c r="P184" s="39"/>
      <c r="Q184" s="39"/>
      <c r="R184" s="37"/>
      <c r="S184" s="39"/>
      <c r="T184" s="39"/>
      <c r="U184" s="37"/>
      <c r="V184" s="39"/>
      <c r="W184" s="39"/>
      <c r="X184" s="37"/>
      <c r="Y184" s="39"/>
      <c r="Z184" s="39"/>
      <c r="AA184" s="37"/>
      <c r="AB184" s="39"/>
      <c r="AC184" s="39"/>
      <c r="AD184" s="37"/>
      <c r="AE184" s="39"/>
      <c r="AF184" s="39"/>
      <c r="AG184" s="37"/>
      <c r="AH184" s="39"/>
      <c r="AI184" s="39"/>
      <c r="AJ184" s="37"/>
      <c r="AK184" s="39"/>
      <c r="AL184" s="39"/>
      <c r="AM184" s="37"/>
      <c r="AN184" s="39"/>
      <c r="AO184" s="39"/>
      <c r="AP184" s="37"/>
      <c r="AQ184" s="39"/>
      <c r="AR184" s="39"/>
    </row>
  </sheetData>
  <mergeCells count="7">
    <mergeCell ref="A4:C4"/>
    <mergeCell ref="D4:H5"/>
    <mergeCell ref="A1:A2"/>
    <mergeCell ref="B1:B2"/>
    <mergeCell ref="C1:C2"/>
    <mergeCell ref="D1:D2"/>
    <mergeCell ref="E1:E2"/>
  </mergeCells>
  <phoneticPr fontId="1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D2393-8683-4F09-B3AC-4F94EA8D36B6}">
  <sheetPr>
    <tabColor theme="5" tint="0.79998168889431442"/>
  </sheetPr>
  <dimension ref="A1:AS191"/>
  <sheetViews>
    <sheetView zoomScaleNormal="100" workbookViewId="0">
      <selection activeCell="A14" sqref="A14"/>
    </sheetView>
  </sheetViews>
  <sheetFormatPr defaultRowHeight="17" x14ac:dyDescent="0.45"/>
  <cols>
    <col min="1" max="1" width="11.33203125" style="1" customWidth="1"/>
    <col min="2" max="2" width="13.33203125" style="1" customWidth="1"/>
    <col min="3" max="3" width="11.83203125" style="1" hidden="1" customWidth="1"/>
    <col min="4" max="4" width="11.58203125" style="1" hidden="1" customWidth="1"/>
    <col min="5" max="5" width="12.5" style="1" hidden="1" customWidth="1"/>
    <col min="6" max="6" width="13.5" style="1" hidden="1" customWidth="1"/>
    <col min="7" max="8" width="7.75" style="1" hidden="1" customWidth="1"/>
    <col min="9" max="9" width="15.25" style="1" hidden="1" customWidth="1"/>
    <col min="10" max="10" width="5.25" style="1" customWidth="1"/>
    <col min="11" max="11" width="6.5" style="29" customWidth="1"/>
    <col min="12" max="12" width="4.83203125" style="29" customWidth="1"/>
    <col min="13" max="13" width="5.25" style="1" customWidth="1"/>
    <col min="14" max="14" width="6.4140625" style="29" customWidth="1"/>
    <col min="15" max="15" width="5.1640625" style="29" customWidth="1"/>
    <col min="16" max="16" width="5.25" style="1" customWidth="1"/>
    <col min="17" max="17" width="6.08203125" style="29" customWidth="1"/>
    <col min="18" max="18" width="4.58203125" style="29" customWidth="1"/>
    <col min="19" max="19" width="5.25" style="1" customWidth="1"/>
    <col min="20" max="20" width="6.08203125" style="29" customWidth="1"/>
    <col min="21" max="21" width="4.58203125" style="29" customWidth="1"/>
    <col min="22" max="22" width="5.25" style="1" customWidth="1"/>
    <col min="23" max="23" width="6.08203125" style="29" customWidth="1"/>
    <col min="24" max="24" width="4.58203125" style="29" customWidth="1"/>
    <col min="25" max="25" width="5.25" style="1" customWidth="1"/>
    <col min="26" max="26" width="6.08203125" style="29" customWidth="1"/>
    <col min="27" max="27" width="4.58203125" style="29" customWidth="1"/>
    <col min="28" max="28" width="5.25" style="1" customWidth="1"/>
    <col min="29" max="29" width="6.08203125" style="29" customWidth="1"/>
    <col min="30" max="30" width="4.58203125" style="29" customWidth="1"/>
    <col min="31" max="31" width="5.25" style="1" customWidth="1"/>
    <col min="32" max="32" width="6.08203125" style="29" customWidth="1"/>
    <col min="33" max="33" width="4.58203125" style="29" customWidth="1"/>
    <col min="34" max="34" width="5.25" style="1" customWidth="1"/>
    <col min="35" max="35" width="6.08203125" style="29" customWidth="1"/>
    <col min="36" max="36" width="4.58203125" style="29" customWidth="1"/>
    <col min="37" max="37" width="5.25" style="1" customWidth="1"/>
    <col min="38" max="38" width="6.08203125" style="29" customWidth="1"/>
    <col min="39" max="39" width="4.58203125" style="29" customWidth="1"/>
    <col min="40" max="40" width="5.25" style="1" customWidth="1"/>
    <col min="41" max="41" width="6.08203125" style="29" customWidth="1"/>
    <col min="42" max="42" width="4.58203125" style="29" customWidth="1"/>
    <col min="43" max="43" width="5.25" style="1" customWidth="1"/>
    <col min="44" max="44" width="6.08203125" style="29" customWidth="1"/>
    <col min="45" max="45" width="4.58203125" style="29" customWidth="1"/>
  </cols>
  <sheetData>
    <row r="1" spans="1:45" ht="17.5" thickBot="1" x14ac:dyDescent="0.5">
      <c r="A1" s="720" t="s">
        <v>294</v>
      </c>
      <c r="B1" s="722">
        <f>SUM(K3,N3,Q3,T3,W3,Z3,AC3,AF3,AI3,AL3,AO3,AR3)</f>
        <v>356</v>
      </c>
      <c r="C1" s="724" t="s">
        <v>146</v>
      </c>
      <c r="D1" s="726">
        <f>SUM(L3,O3,R3,U3,X3,AA3,AD3,AG3,AJ3,AM3,AP3,AS3)</f>
        <v>356</v>
      </c>
      <c r="E1" s="728"/>
      <c r="F1" s="718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  <c r="AC1" s="41"/>
      <c r="AD1" s="41"/>
      <c r="AE1" s="41"/>
      <c r="AF1" s="41"/>
      <c r="AG1" s="41"/>
      <c r="AH1" s="41"/>
      <c r="AI1" s="41"/>
      <c r="AJ1" s="41"/>
      <c r="AK1" s="41"/>
      <c r="AL1" s="41"/>
      <c r="AM1" s="41"/>
      <c r="AN1" s="41"/>
      <c r="AO1" s="41"/>
      <c r="AP1" s="41"/>
      <c r="AQ1" s="41"/>
      <c r="AR1" s="41"/>
      <c r="AS1" s="41"/>
    </row>
    <row r="2" spans="1:45" ht="17.5" thickBot="1" x14ac:dyDescent="0.5">
      <c r="A2" s="721"/>
      <c r="B2" s="723"/>
      <c r="C2" s="725"/>
      <c r="D2" s="727"/>
      <c r="E2" s="729"/>
      <c r="F2" s="664"/>
      <c r="G2" s="61" t="s">
        <v>140</v>
      </c>
      <c r="H2" s="61" t="s">
        <v>145</v>
      </c>
      <c r="I2" s="47" t="s">
        <v>162</v>
      </c>
      <c r="J2" s="106" t="s">
        <v>113</v>
      </c>
      <c r="K2" s="53" t="s">
        <v>85</v>
      </c>
      <c r="L2" s="53" t="s">
        <v>145</v>
      </c>
      <c r="M2" s="106" t="s">
        <v>114</v>
      </c>
      <c r="N2" s="53" t="s">
        <v>85</v>
      </c>
      <c r="O2" s="53" t="s">
        <v>144</v>
      </c>
      <c r="P2" s="106" t="s">
        <v>115</v>
      </c>
      <c r="Q2" s="53" t="s">
        <v>85</v>
      </c>
      <c r="R2" s="53" t="s">
        <v>144</v>
      </c>
      <c r="S2" s="106" t="s">
        <v>116</v>
      </c>
      <c r="T2" s="53" t="s">
        <v>85</v>
      </c>
      <c r="U2" s="53" t="s">
        <v>144</v>
      </c>
      <c r="V2" s="106" t="s">
        <v>117</v>
      </c>
      <c r="W2" s="53" t="s">
        <v>85</v>
      </c>
      <c r="X2" s="53" t="s">
        <v>144</v>
      </c>
      <c r="Y2" s="106" t="s">
        <v>118</v>
      </c>
      <c r="Z2" s="53" t="s">
        <v>85</v>
      </c>
      <c r="AA2" s="53" t="s">
        <v>144</v>
      </c>
      <c r="AB2" s="106" t="s">
        <v>119</v>
      </c>
      <c r="AC2" s="53" t="s">
        <v>85</v>
      </c>
      <c r="AD2" s="53" t="s">
        <v>144</v>
      </c>
      <c r="AE2" s="106" t="s">
        <v>120</v>
      </c>
      <c r="AF2" s="53" t="s">
        <v>85</v>
      </c>
      <c r="AG2" s="53" t="s">
        <v>144</v>
      </c>
      <c r="AH2" s="106" t="s">
        <v>121</v>
      </c>
      <c r="AI2" s="53" t="s">
        <v>85</v>
      </c>
      <c r="AJ2" s="53" t="s">
        <v>144</v>
      </c>
      <c r="AK2" s="106" t="s">
        <v>122</v>
      </c>
      <c r="AL2" s="53" t="s">
        <v>85</v>
      </c>
      <c r="AM2" s="53" t="s">
        <v>144</v>
      </c>
      <c r="AN2" s="106" t="s">
        <v>123</v>
      </c>
      <c r="AO2" s="53" t="s">
        <v>85</v>
      </c>
      <c r="AP2" s="53" t="s">
        <v>144</v>
      </c>
      <c r="AQ2" s="106" t="s">
        <v>124</v>
      </c>
      <c r="AR2" s="53" t="s">
        <v>85</v>
      </c>
      <c r="AS2" s="53" t="s">
        <v>145</v>
      </c>
    </row>
    <row r="3" spans="1:45" ht="17.5" thickBot="1" x14ac:dyDescent="0.5">
      <c r="A3" s="32" t="s">
        <v>750</v>
      </c>
      <c r="B3" s="276" t="s">
        <v>702</v>
      </c>
      <c r="C3" s="32" t="s">
        <v>4</v>
      </c>
      <c r="D3" s="3" t="s">
        <v>2</v>
      </c>
      <c r="E3" s="3" t="s">
        <v>6</v>
      </c>
      <c r="F3" s="46" t="s">
        <v>39</v>
      </c>
      <c r="G3" s="62">
        <f>SUM(G4:G51)</f>
        <v>0</v>
      </c>
      <c r="H3" s="62">
        <f>SUM(H4:H51)</f>
        <v>0</v>
      </c>
      <c r="I3" s="56"/>
      <c r="J3"/>
      <c r="K3" s="144">
        <f>SUM(K4:K90)</f>
        <v>196</v>
      </c>
      <c r="L3" s="57">
        <f>SUM(K4:K90)-SUM(L4:L90)</f>
        <v>196</v>
      </c>
      <c r="M3"/>
      <c r="N3" s="144">
        <f>SUM(N4:N90)</f>
        <v>103</v>
      </c>
      <c r="O3" s="57">
        <f>SUM(N4:N90)-SUM(O4:O90)</f>
        <v>103</v>
      </c>
      <c r="P3"/>
      <c r="Q3" s="144">
        <f>SUM(Q4:Q90)</f>
        <v>57</v>
      </c>
      <c r="R3" s="57">
        <f>SUM(Q4:Q90)-SUM(R4:R90)</f>
        <v>57</v>
      </c>
      <c r="S3"/>
      <c r="T3" s="144">
        <f>SUM(T4:T90)</f>
        <v>0</v>
      </c>
      <c r="U3" s="57">
        <f>SUM(T4:T90)-SUM(U4:U90)</f>
        <v>0</v>
      </c>
      <c r="V3"/>
      <c r="W3" s="144">
        <f>SUM(W4:W90)</f>
        <v>0</v>
      </c>
      <c r="X3" s="57">
        <f>SUM(W4:W90)-SUM(X4:X90)</f>
        <v>0</v>
      </c>
      <c r="Y3"/>
      <c r="Z3" s="144">
        <f>SUM(Z4:Z90)</f>
        <v>0</v>
      </c>
      <c r="AA3" s="57">
        <f>SUM(Z4:Z90)-SUM(AA4:AA90)</f>
        <v>0</v>
      </c>
      <c r="AB3"/>
      <c r="AC3" s="144">
        <f>SUM(AC4:AC90)</f>
        <v>0</v>
      </c>
      <c r="AD3" s="57">
        <f>SUM(AC4:AC90)-SUM(AD4:AD90)</f>
        <v>0</v>
      </c>
      <c r="AE3"/>
      <c r="AF3" s="144">
        <f>SUM(AF4:AF90)</f>
        <v>0</v>
      </c>
      <c r="AG3" s="57">
        <f>SUM(AF4:AF90)-SUM(AG4:AG90)</f>
        <v>0</v>
      </c>
      <c r="AH3"/>
      <c r="AI3" s="144">
        <f>SUM(AI4:AI90)</f>
        <v>0</v>
      </c>
      <c r="AJ3" s="57">
        <f>SUM(AI4:AI90)-SUM(AJ4:AJ90)</f>
        <v>0</v>
      </c>
      <c r="AK3"/>
      <c r="AL3" s="144">
        <f>SUM(AL4:AL90)</f>
        <v>0</v>
      </c>
      <c r="AM3" s="57">
        <f>SUM(AL4:AL90)-SUM(AM4:AM90)</f>
        <v>0</v>
      </c>
      <c r="AN3"/>
      <c r="AO3" s="144">
        <f>SUM(AO4:AO90)</f>
        <v>0</v>
      </c>
      <c r="AP3" s="57">
        <f>SUM(AO4:AO90)-SUM(AP4:AP90)</f>
        <v>0</v>
      </c>
      <c r="AQ3"/>
      <c r="AR3" s="144">
        <f>SUM(AR4:AR90)</f>
        <v>0</v>
      </c>
      <c r="AS3" s="57">
        <f>SUM(AR4:AR90)-SUM(AS4:AS90)</f>
        <v>0</v>
      </c>
    </row>
    <row r="4" spans="1:45" ht="26.5" thickTop="1" thickBot="1" x14ac:dyDescent="0.5">
      <c r="A4" s="501"/>
      <c r="B4" s="111"/>
      <c r="C4" s="500">
        <f>SUM(L5:L51,O5:O51,R5:R51,U5:U51,X5:X51,AA5:AA51,AD5:AD51,AG5:AG51,AJ5:AJ51,AM5:AM51,AP5:AP51,AS5:AS51)</f>
        <v>0</v>
      </c>
      <c r="D4" s="664"/>
      <c r="E4" s="664"/>
      <c r="F4" s="664"/>
      <c r="G4" s="664"/>
      <c r="H4" s="664"/>
      <c r="I4" s="664"/>
      <c r="J4" s="63">
        <f>SUM(L5:L51)</f>
        <v>0</v>
      </c>
      <c r="K4" s="179"/>
      <c r="L4" s="178"/>
      <c r="M4" s="63">
        <f>SUM(O5:O51)</f>
        <v>0</v>
      </c>
      <c r="N4" s="179"/>
      <c r="O4" s="178"/>
      <c r="P4" s="63">
        <f>SUM(R5:R51)</f>
        <v>0</v>
      </c>
      <c r="Q4" s="179"/>
      <c r="R4" s="178"/>
      <c r="S4" s="63">
        <f>SUM(U5:U51)</f>
        <v>0</v>
      </c>
      <c r="T4" s="179"/>
      <c r="U4" s="178"/>
      <c r="V4" s="63">
        <f>SUM(X5:X51)</f>
        <v>0</v>
      </c>
      <c r="W4" s="179"/>
      <c r="X4" s="178"/>
      <c r="Y4" s="63">
        <f>SUM(AA5:AA51)</f>
        <v>0</v>
      </c>
      <c r="Z4" s="179"/>
      <c r="AA4" s="178"/>
      <c r="AB4" s="63">
        <f>SUM(AD5:AD51)</f>
        <v>0</v>
      </c>
      <c r="AC4" s="179"/>
      <c r="AD4" s="178"/>
      <c r="AE4" s="63">
        <f>SUM(AG5:AG51)</f>
        <v>0</v>
      </c>
      <c r="AF4" s="179"/>
      <c r="AG4" s="178"/>
      <c r="AH4" s="63">
        <f>SUM(AJ5:AJ51)</f>
        <v>0</v>
      </c>
      <c r="AI4" s="179"/>
      <c r="AJ4" s="178"/>
      <c r="AK4" s="63">
        <f>SUM(AM5:AM51)</f>
        <v>0</v>
      </c>
      <c r="AL4" s="179"/>
      <c r="AM4" s="178"/>
      <c r="AN4" s="63">
        <f>SUM(AP5:AP51)</f>
        <v>0</v>
      </c>
      <c r="AO4" s="179"/>
      <c r="AP4" s="178"/>
      <c r="AQ4" s="63">
        <f>SUM(AS5:AS51)</f>
        <v>0</v>
      </c>
      <c r="AR4" s="179"/>
      <c r="AS4" s="44"/>
    </row>
    <row r="5" spans="1:45" ht="18" thickTop="1" x14ac:dyDescent="0.45">
      <c r="A5" s="499" t="s">
        <v>190</v>
      </c>
      <c r="B5" s="499" t="s">
        <v>328</v>
      </c>
      <c r="F5" s="30"/>
      <c r="G5" s="75"/>
      <c r="H5" s="75"/>
      <c r="I5" s="31"/>
      <c r="J5" s="90">
        <v>14</v>
      </c>
      <c r="K5" s="85">
        <v>165</v>
      </c>
      <c r="L5" s="85"/>
      <c r="M5" s="91"/>
      <c r="N5" s="85"/>
      <c r="O5" s="85"/>
      <c r="P5" s="91"/>
      <c r="Q5" s="85"/>
      <c r="R5" s="85"/>
      <c r="S5" s="92"/>
      <c r="T5" s="85"/>
      <c r="U5" s="85"/>
      <c r="V5" s="92"/>
      <c r="W5" s="85"/>
      <c r="X5" s="85"/>
      <c r="Y5" s="92"/>
      <c r="Z5" s="85"/>
      <c r="AA5" s="85"/>
      <c r="AB5" s="92"/>
      <c r="AC5" s="85"/>
      <c r="AD5" s="85"/>
      <c r="AE5" s="92"/>
      <c r="AF5" s="85"/>
      <c r="AG5" s="85"/>
      <c r="AH5" s="92"/>
      <c r="AI5" s="85"/>
      <c r="AJ5" s="85"/>
      <c r="AK5" s="92"/>
      <c r="AL5" s="85"/>
      <c r="AM5" s="85"/>
      <c r="AN5" s="92"/>
      <c r="AO5" s="85"/>
      <c r="AP5" s="85"/>
      <c r="AQ5" s="92"/>
      <c r="AR5" s="85"/>
      <c r="AS5" s="175"/>
    </row>
    <row r="6" spans="1:45" ht="17.5" x14ac:dyDescent="0.45">
      <c r="A6" s="499" t="s">
        <v>190</v>
      </c>
      <c r="B6" s="499" t="s">
        <v>523</v>
      </c>
      <c r="F6" s="30"/>
      <c r="G6" s="75"/>
      <c r="H6" s="75"/>
      <c r="I6" s="31"/>
      <c r="J6" s="90">
        <v>23</v>
      </c>
      <c r="K6" s="85">
        <v>31</v>
      </c>
      <c r="L6" s="85"/>
      <c r="M6" s="91"/>
      <c r="N6" s="85"/>
      <c r="O6" s="85"/>
      <c r="P6" s="91"/>
      <c r="Q6" s="85"/>
      <c r="R6" s="85"/>
      <c r="S6" s="92"/>
      <c r="T6" s="85"/>
      <c r="U6" s="85"/>
      <c r="V6" s="92"/>
      <c r="W6" s="85"/>
      <c r="X6" s="85"/>
      <c r="Y6" s="92"/>
      <c r="Z6" s="85"/>
      <c r="AA6" s="85"/>
      <c r="AB6" s="92"/>
      <c r="AC6" s="85"/>
      <c r="AD6" s="85"/>
      <c r="AE6" s="92"/>
      <c r="AF6" s="85"/>
      <c r="AG6" s="85"/>
      <c r="AH6" s="92"/>
      <c r="AI6" s="85"/>
      <c r="AJ6" s="85"/>
      <c r="AK6" s="92"/>
      <c r="AL6" s="85"/>
      <c r="AM6" s="85"/>
      <c r="AN6" s="92"/>
      <c r="AO6" s="85"/>
      <c r="AP6" s="85"/>
      <c r="AQ6" s="92"/>
      <c r="AR6" s="85"/>
      <c r="AS6" s="175"/>
    </row>
    <row r="7" spans="1:45" ht="17.5" x14ac:dyDescent="0.45">
      <c r="A7" s="498" t="s">
        <v>756</v>
      </c>
      <c r="B7" s="499" t="s">
        <v>328</v>
      </c>
      <c r="F7" s="30"/>
      <c r="G7" s="75"/>
      <c r="H7" s="75"/>
      <c r="I7" s="31"/>
      <c r="J7" s="90"/>
      <c r="K7" s="85"/>
      <c r="L7" s="85"/>
      <c r="M7" s="91">
        <v>4</v>
      </c>
      <c r="N7" s="85">
        <v>40</v>
      </c>
      <c r="O7" s="85"/>
      <c r="P7" s="91"/>
      <c r="Q7" s="85"/>
      <c r="R7" s="85"/>
      <c r="S7" s="92"/>
      <c r="T7" s="85"/>
      <c r="U7" s="85"/>
      <c r="V7" s="92"/>
      <c r="W7" s="85"/>
      <c r="X7" s="85"/>
      <c r="Y7" s="92"/>
      <c r="Z7" s="85"/>
      <c r="AA7" s="85"/>
      <c r="AB7" s="92"/>
      <c r="AC7" s="85"/>
      <c r="AD7" s="85"/>
      <c r="AE7" s="92"/>
      <c r="AF7" s="85"/>
      <c r="AG7" s="85"/>
      <c r="AH7" s="92"/>
      <c r="AI7" s="85"/>
      <c r="AJ7" s="85"/>
      <c r="AK7" s="92"/>
      <c r="AL7" s="85"/>
      <c r="AM7" s="85"/>
      <c r="AN7" s="92"/>
      <c r="AO7" s="85"/>
      <c r="AP7" s="85"/>
      <c r="AQ7" s="92"/>
      <c r="AR7" s="85"/>
      <c r="AS7" s="175"/>
    </row>
    <row r="8" spans="1:45" ht="17.5" x14ac:dyDescent="0.45">
      <c r="A8" s="498" t="s">
        <v>756</v>
      </c>
      <c r="B8" s="499" t="s">
        <v>699</v>
      </c>
      <c r="F8" s="30"/>
      <c r="G8" s="75"/>
      <c r="H8" s="75"/>
      <c r="I8" s="31"/>
      <c r="J8" s="90"/>
      <c r="K8" s="85"/>
      <c r="L8" s="85"/>
      <c r="M8" s="91">
        <v>4</v>
      </c>
      <c r="N8" s="85">
        <v>28</v>
      </c>
      <c r="O8" s="85"/>
      <c r="P8" s="91"/>
      <c r="Q8" s="85"/>
      <c r="R8" s="85"/>
      <c r="S8" s="92"/>
      <c r="T8" s="85"/>
      <c r="U8" s="85"/>
      <c r="V8" s="92"/>
      <c r="W8" s="85"/>
      <c r="X8" s="85"/>
      <c r="Y8" s="92"/>
      <c r="Z8" s="85"/>
      <c r="AA8" s="85"/>
      <c r="AB8" s="92"/>
      <c r="AC8" s="85"/>
      <c r="AD8" s="85"/>
      <c r="AE8" s="92"/>
      <c r="AF8" s="85"/>
      <c r="AG8" s="85"/>
      <c r="AH8" s="92"/>
      <c r="AI8" s="85"/>
      <c r="AJ8" s="85"/>
      <c r="AK8" s="92"/>
      <c r="AL8" s="85"/>
      <c r="AM8" s="85"/>
      <c r="AN8" s="92"/>
      <c r="AO8" s="85"/>
      <c r="AP8" s="85"/>
      <c r="AQ8" s="92"/>
      <c r="AR8" s="85"/>
      <c r="AS8" s="175"/>
    </row>
    <row r="9" spans="1:45" ht="17.5" x14ac:dyDescent="0.45">
      <c r="A9" s="498" t="s">
        <v>756</v>
      </c>
      <c r="B9" s="499" t="s">
        <v>738</v>
      </c>
      <c r="F9" s="30"/>
      <c r="G9" s="75"/>
      <c r="H9" s="75"/>
      <c r="I9" s="31"/>
      <c r="J9" s="90"/>
      <c r="K9" s="85"/>
      <c r="L9" s="85"/>
      <c r="M9" s="91">
        <v>21</v>
      </c>
      <c r="N9" s="85">
        <v>4</v>
      </c>
      <c r="O9" s="85"/>
      <c r="P9" s="91"/>
      <c r="Q9" s="85"/>
      <c r="R9" s="85"/>
      <c r="S9" s="92"/>
      <c r="T9" s="85"/>
      <c r="U9" s="85"/>
      <c r="V9" s="92"/>
      <c r="W9" s="85"/>
      <c r="X9" s="85"/>
      <c r="Y9" s="92"/>
      <c r="Z9" s="85"/>
      <c r="AA9" s="85"/>
      <c r="AB9" s="92"/>
      <c r="AC9" s="85"/>
      <c r="AD9" s="85"/>
      <c r="AE9" s="92"/>
      <c r="AF9" s="85"/>
      <c r="AG9" s="85"/>
      <c r="AH9" s="92"/>
      <c r="AI9" s="85"/>
      <c r="AJ9" s="85"/>
      <c r="AK9" s="92"/>
      <c r="AL9" s="85"/>
      <c r="AM9" s="85"/>
      <c r="AN9" s="92"/>
      <c r="AO9" s="85"/>
      <c r="AP9" s="85"/>
      <c r="AQ9" s="92"/>
      <c r="AR9" s="85"/>
      <c r="AS9" s="175"/>
    </row>
    <row r="10" spans="1:45" ht="17.5" x14ac:dyDescent="0.45">
      <c r="A10" s="499" t="s">
        <v>190</v>
      </c>
      <c r="B10" s="499" t="s">
        <v>523</v>
      </c>
      <c r="F10" s="30"/>
      <c r="G10" s="75"/>
      <c r="H10" s="75"/>
      <c r="I10" s="31"/>
      <c r="J10" s="90"/>
      <c r="K10" s="85"/>
      <c r="L10" s="85"/>
      <c r="M10" s="91">
        <v>25</v>
      </c>
      <c r="N10" s="85">
        <v>31</v>
      </c>
      <c r="O10" s="85"/>
      <c r="P10" s="91"/>
      <c r="Q10" s="85"/>
      <c r="R10" s="85"/>
      <c r="S10" s="92"/>
      <c r="T10" s="85"/>
      <c r="U10" s="85"/>
      <c r="V10" s="92"/>
      <c r="W10" s="85"/>
      <c r="X10" s="85"/>
      <c r="Y10" s="92"/>
      <c r="Z10" s="85"/>
      <c r="AA10" s="85"/>
      <c r="AB10" s="92"/>
      <c r="AC10" s="85"/>
      <c r="AD10" s="85"/>
      <c r="AE10" s="92"/>
      <c r="AF10" s="85"/>
      <c r="AG10" s="85"/>
      <c r="AH10" s="92"/>
      <c r="AI10" s="85"/>
      <c r="AJ10" s="85"/>
      <c r="AK10" s="92"/>
      <c r="AL10" s="85"/>
      <c r="AM10" s="85"/>
      <c r="AN10" s="92"/>
      <c r="AO10" s="85"/>
      <c r="AP10" s="85"/>
      <c r="AQ10" s="92"/>
      <c r="AR10" s="85"/>
      <c r="AS10" s="175"/>
    </row>
    <row r="11" spans="1:45" ht="17.5" x14ac:dyDescent="0.45">
      <c r="A11" s="499" t="s">
        <v>190</v>
      </c>
      <c r="B11" s="499" t="s">
        <v>523</v>
      </c>
      <c r="F11" s="30"/>
      <c r="G11" s="75"/>
      <c r="H11" s="75"/>
      <c r="I11" s="31"/>
      <c r="J11" s="90"/>
      <c r="K11" s="85"/>
      <c r="L11" s="85"/>
      <c r="M11" s="91"/>
      <c r="N11" s="85"/>
      <c r="O11" s="85"/>
      <c r="P11" s="91">
        <v>25</v>
      </c>
      <c r="Q11" s="85">
        <v>31</v>
      </c>
      <c r="R11" s="85"/>
      <c r="S11" s="92"/>
      <c r="T11" s="85"/>
      <c r="U11" s="85"/>
      <c r="V11" s="92"/>
      <c r="W11" s="85"/>
      <c r="X11" s="85"/>
      <c r="Y11" s="92"/>
      <c r="Z11" s="85"/>
      <c r="AA11" s="85"/>
      <c r="AB11" s="92"/>
      <c r="AC11" s="85"/>
      <c r="AD11" s="85"/>
      <c r="AE11" s="92"/>
      <c r="AF11" s="85"/>
      <c r="AG11" s="85"/>
      <c r="AH11" s="92"/>
      <c r="AI11" s="85"/>
      <c r="AJ11" s="85"/>
      <c r="AK11" s="92"/>
      <c r="AL11" s="85"/>
      <c r="AM11" s="85"/>
      <c r="AN11" s="92"/>
      <c r="AO11" s="85"/>
      <c r="AP11" s="85"/>
      <c r="AQ11" s="92"/>
      <c r="AR11" s="85"/>
      <c r="AS11" s="175"/>
    </row>
    <row r="12" spans="1:45" ht="17.5" x14ac:dyDescent="0.45">
      <c r="A12" s="498" t="s">
        <v>756</v>
      </c>
      <c r="B12" s="499" t="s">
        <v>737</v>
      </c>
      <c r="F12" s="30"/>
      <c r="G12" s="75"/>
      <c r="H12" s="75"/>
      <c r="I12" s="31"/>
      <c r="J12" s="90"/>
      <c r="K12" s="85"/>
      <c r="L12" s="85"/>
      <c r="M12" s="91"/>
      <c r="N12" s="85"/>
      <c r="O12" s="85"/>
      <c r="P12" s="91">
        <v>27</v>
      </c>
      <c r="Q12" s="85">
        <v>2</v>
      </c>
      <c r="R12" s="85"/>
      <c r="S12" s="92"/>
      <c r="T12" s="85"/>
      <c r="U12" s="85"/>
      <c r="V12" s="92"/>
      <c r="W12" s="85"/>
      <c r="X12" s="85"/>
      <c r="Y12" s="92"/>
      <c r="Z12" s="85"/>
      <c r="AA12" s="85"/>
      <c r="AB12" s="92"/>
      <c r="AC12" s="85"/>
      <c r="AD12" s="85"/>
      <c r="AE12" s="92"/>
      <c r="AF12" s="85"/>
      <c r="AG12" s="85"/>
      <c r="AH12" s="92"/>
      <c r="AI12" s="85"/>
      <c r="AJ12" s="85"/>
      <c r="AK12" s="92"/>
      <c r="AL12" s="85"/>
      <c r="AM12" s="85"/>
      <c r="AN12" s="92"/>
      <c r="AO12" s="85"/>
      <c r="AP12" s="85"/>
      <c r="AQ12" s="92"/>
      <c r="AR12" s="85"/>
      <c r="AS12" s="175"/>
    </row>
    <row r="13" spans="1:45" ht="17.5" x14ac:dyDescent="0.45">
      <c r="A13" s="498" t="s">
        <v>765</v>
      </c>
      <c r="B13" s="293" t="s">
        <v>718</v>
      </c>
      <c r="F13" s="30"/>
      <c r="G13" s="75"/>
      <c r="H13" s="75"/>
      <c r="I13" s="31"/>
      <c r="J13" s="90"/>
      <c r="K13" s="85"/>
      <c r="L13" s="85"/>
      <c r="M13" s="91"/>
      <c r="N13" s="85"/>
      <c r="O13" s="85"/>
      <c r="P13" s="91">
        <v>31</v>
      </c>
      <c r="Q13" s="85">
        <v>24</v>
      </c>
      <c r="R13" s="85"/>
      <c r="S13" s="92"/>
      <c r="T13" s="85"/>
      <c r="U13" s="85"/>
      <c r="V13" s="92"/>
      <c r="W13" s="85"/>
      <c r="X13" s="85"/>
      <c r="Y13" s="92"/>
      <c r="Z13" s="85"/>
      <c r="AA13" s="85"/>
      <c r="AB13" s="92"/>
      <c r="AC13" s="85"/>
      <c r="AD13" s="85"/>
      <c r="AE13" s="92"/>
      <c r="AF13" s="85"/>
      <c r="AG13" s="85"/>
      <c r="AH13" s="92"/>
      <c r="AI13" s="85"/>
      <c r="AJ13" s="85"/>
      <c r="AK13" s="92"/>
      <c r="AL13" s="85"/>
      <c r="AM13" s="85"/>
      <c r="AN13" s="92"/>
      <c r="AO13" s="85"/>
      <c r="AP13" s="85"/>
      <c r="AQ13" s="92"/>
      <c r="AR13" s="85"/>
      <c r="AS13" s="175"/>
    </row>
    <row r="14" spans="1:45" ht="17.5" x14ac:dyDescent="0.45">
      <c r="A14" s="498"/>
      <c r="B14" s="499"/>
      <c r="F14" s="30"/>
      <c r="G14" s="75"/>
      <c r="H14" s="75"/>
      <c r="I14" s="31"/>
      <c r="J14" s="90"/>
      <c r="K14" s="85"/>
      <c r="L14" s="85"/>
      <c r="M14" s="91"/>
      <c r="N14" s="85"/>
      <c r="O14" s="85"/>
      <c r="P14" s="91"/>
      <c r="Q14" s="85"/>
      <c r="R14" s="85"/>
      <c r="S14" s="92"/>
      <c r="T14" s="85"/>
      <c r="U14" s="85"/>
      <c r="V14" s="92"/>
      <c r="W14" s="85"/>
      <c r="X14" s="85"/>
      <c r="Y14" s="92"/>
      <c r="Z14" s="85"/>
      <c r="AA14" s="85"/>
      <c r="AB14" s="92"/>
      <c r="AC14" s="85"/>
      <c r="AD14" s="85"/>
      <c r="AE14" s="92"/>
      <c r="AF14" s="85"/>
      <c r="AG14" s="85"/>
      <c r="AH14" s="92"/>
      <c r="AI14" s="85"/>
      <c r="AJ14" s="85"/>
      <c r="AK14" s="92"/>
      <c r="AL14" s="85"/>
      <c r="AM14" s="85"/>
      <c r="AN14" s="92"/>
      <c r="AO14" s="85"/>
      <c r="AP14" s="85"/>
      <c r="AQ14" s="92"/>
      <c r="AR14" s="85"/>
      <c r="AS14" s="175"/>
    </row>
    <row r="15" spans="1:45" ht="17.5" x14ac:dyDescent="0.45">
      <c r="A15" s="498"/>
      <c r="B15" s="499"/>
      <c r="F15" s="30"/>
      <c r="G15" s="75"/>
      <c r="H15" s="75"/>
      <c r="I15" s="31"/>
      <c r="J15" s="90"/>
      <c r="K15" s="85"/>
      <c r="L15" s="85"/>
      <c r="M15" s="91"/>
      <c r="N15" s="85"/>
      <c r="O15" s="85"/>
      <c r="P15" s="91"/>
      <c r="Q15" s="85"/>
      <c r="R15" s="85"/>
      <c r="S15" s="92"/>
      <c r="T15" s="85"/>
      <c r="U15" s="85"/>
      <c r="V15" s="92"/>
      <c r="W15" s="85"/>
      <c r="X15" s="85"/>
      <c r="Y15" s="92"/>
      <c r="Z15" s="85"/>
      <c r="AA15" s="85"/>
      <c r="AB15" s="92"/>
      <c r="AC15" s="85"/>
      <c r="AD15" s="85"/>
      <c r="AE15" s="92"/>
      <c r="AF15" s="85"/>
      <c r="AG15" s="85"/>
      <c r="AH15" s="92"/>
      <c r="AI15" s="85"/>
      <c r="AJ15" s="85"/>
      <c r="AK15" s="92"/>
      <c r="AL15" s="85"/>
      <c r="AM15" s="85"/>
      <c r="AN15" s="92"/>
      <c r="AO15" s="85"/>
      <c r="AP15" s="85"/>
      <c r="AQ15" s="92"/>
      <c r="AR15" s="85"/>
      <c r="AS15" s="175"/>
    </row>
    <row r="16" spans="1:45" ht="17.5" x14ac:dyDescent="0.45">
      <c r="A16" s="498"/>
      <c r="B16" s="499"/>
      <c r="F16" s="30"/>
      <c r="G16" s="75"/>
      <c r="H16" s="75"/>
      <c r="I16" s="31"/>
      <c r="J16" s="90"/>
      <c r="K16" s="85"/>
      <c r="L16" s="85"/>
      <c r="M16" s="91"/>
      <c r="N16" s="85"/>
      <c r="O16" s="85"/>
      <c r="P16" s="91"/>
      <c r="Q16" s="85"/>
      <c r="R16" s="85"/>
      <c r="S16" s="92"/>
      <c r="T16" s="85"/>
      <c r="U16" s="85"/>
      <c r="V16" s="92"/>
      <c r="W16" s="85"/>
      <c r="X16" s="85"/>
      <c r="Y16" s="92"/>
      <c r="Z16" s="85"/>
      <c r="AA16" s="85"/>
      <c r="AB16" s="92"/>
      <c r="AC16" s="85"/>
      <c r="AD16" s="85"/>
      <c r="AE16" s="92"/>
      <c r="AF16" s="85"/>
      <c r="AG16" s="85"/>
      <c r="AH16" s="92"/>
      <c r="AI16" s="85"/>
      <c r="AJ16" s="85"/>
      <c r="AK16" s="92"/>
      <c r="AL16" s="85"/>
      <c r="AM16" s="85"/>
      <c r="AN16" s="92"/>
      <c r="AO16" s="85"/>
      <c r="AP16" s="85"/>
      <c r="AQ16" s="92"/>
      <c r="AR16" s="85"/>
      <c r="AS16" s="175"/>
    </row>
    <row r="17" spans="1:45" ht="17.5" x14ac:dyDescent="0.45">
      <c r="A17" s="498"/>
      <c r="B17" s="499"/>
      <c r="F17" s="30"/>
      <c r="G17" s="75"/>
      <c r="H17" s="75"/>
      <c r="I17" s="31"/>
      <c r="J17" s="90"/>
      <c r="K17" s="85"/>
      <c r="L17" s="85"/>
      <c r="M17" s="91"/>
      <c r="N17" s="85"/>
      <c r="O17" s="85"/>
      <c r="P17" s="91"/>
      <c r="Q17" s="85"/>
      <c r="R17" s="85"/>
      <c r="S17" s="92"/>
      <c r="T17" s="85"/>
      <c r="U17" s="85"/>
      <c r="V17" s="92"/>
      <c r="W17" s="85"/>
      <c r="X17" s="85"/>
      <c r="Y17" s="92"/>
      <c r="Z17" s="85"/>
      <c r="AA17" s="85"/>
      <c r="AB17" s="92"/>
      <c r="AC17" s="85"/>
      <c r="AD17" s="85"/>
      <c r="AE17" s="92"/>
      <c r="AF17" s="85"/>
      <c r="AG17" s="85"/>
      <c r="AH17" s="92"/>
      <c r="AI17" s="85"/>
      <c r="AJ17" s="85"/>
      <c r="AK17" s="92"/>
      <c r="AL17" s="85"/>
      <c r="AM17" s="85"/>
      <c r="AN17" s="92"/>
      <c r="AO17" s="85"/>
      <c r="AP17" s="85"/>
      <c r="AQ17" s="92"/>
      <c r="AR17" s="85"/>
      <c r="AS17" s="175"/>
    </row>
    <row r="18" spans="1:45" ht="17.5" x14ac:dyDescent="0.45">
      <c r="A18" s="498"/>
      <c r="B18" s="499"/>
      <c r="F18" s="30"/>
      <c r="G18" s="75"/>
      <c r="H18" s="75"/>
      <c r="I18" s="31"/>
      <c r="J18" s="90"/>
      <c r="K18" s="85"/>
      <c r="L18" s="85"/>
      <c r="M18" s="91"/>
      <c r="N18" s="85"/>
      <c r="O18" s="85"/>
      <c r="P18" s="91"/>
      <c r="Q18" s="85"/>
      <c r="R18" s="85"/>
      <c r="S18" s="92"/>
      <c r="T18" s="85"/>
      <c r="U18" s="85"/>
      <c r="V18" s="92"/>
      <c r="W18" s="85"/>
      <c r="X18" s="85"/>
      <c r="Y18" s="92"/>
      <c r="Z18" s="85"/>
      <c r="AA18" s="85"/>
      <c r="AB18" s="92"/>
      <c r="AC18" s="85"/>
      <c r="AD18" s="85"/>
      <c r="AE18" s="92"/>
      <c r="AF18" s="85"/>
      <c r="AG18" s="85"/>
      <c r="AH18" s="92"/>
      <c r="AI18" s="85"/>
      <c r="AJ18" s="85"/>
      <c r="AK18" s="92"/>
      <c r="AL18" s="85"/>
      <c r="AM18" s="85"/>
      <c r="AN18" s="92"/>
      <c r="AO18" s="85"/>
      <c r="AP18" s="85"/>
      <c r="AQ18" s="92"/>
      <c r="AR18" s="85"/>
      <c r="AS18" s="175"/>
    </row>
    <row r="19" spans="1:45" ht="17.5" x14ac:dyDescent="0.45">
      <c r="A19" s="498"/>
      <c r="B19" s="499"/>
      <c r="F19" s="30"/>
      <c r="G19" s="75"/>
      <c r="H19" s="75"/>
      <c r="I19" s="31"/>
      <c r="J19" s="90"/>
      <c r="K19" s="85"/>
      <c r="L19" s="85"/>
      <c r="M19" s="91"/>
      <c r="N19" s="85"/>
      <c r="O19" s="85"/>
      <c r="P19" s="91"/>
      <c r="Q19" s="85"/>
      <c r="R19" s="85"/>
      <c r="S19" s="92"/>
      <c r="T19" s="85"/>
      <c r="U19" s="85"/>
      <c r="V19" s="92"/>
      <c r="W19" s="85"/>
      <c r="X19" s="85"/>
      <c r="Y19" s="92"/>
      <c r="Z19" s="85"/>
      <c r="AA19" s="85"/>
      <c r="AB19" s="92"/>
      <c r="AC19" s="85"/>
      <c r="AD19" s="85"/>
      <c r="AE19" s="92"/>
      <c r="AF19" s="85"/>
      <c r="AG19" s="85"/>
      <c r="AH19" s="92"/>
      <c r="AI19" s="85"/>
      <c r="AJ19" s="85"/>
      <c r="AK19" s="92"/>
      <c r="AL19" s="85"/>
      <c r="AM19" s="85"/>
      <c r="AN19" s="92"/>
      <c r="AO19" s="85"/>
      <c r="AP19" s="85"/>
      <c r="AQ19" s="92"/>
      <c r="AR19" s="85"/>
      <c r="AS19" s="175"/>
    </row>
    <row r="20" spans="1:45" ht="17.5" x14ac:dyDescent="0.45">
      <c r="A20" s="498"/>
      <c r="B20" s="499"/>
      <c r="F20" s="30"/>
      <c r="G20" s="75"/>
      <c r="H20" s="75"/>
      <c r="I20" s="31"/>
      <c r="J20" s="90"/>
      <c r="K20" s="85"/>
      <c r="L20" s="85"/>
      <c r="M20" s="91"/>
      <c r="N20" s="85"/>
      <c r="O20" s="85"/>
      <c r="P20" s="91"/>
      <c r="Q20" s="85"/>
      <c r="R20" s="85"/>
      <c r="S20" s="92"/>
      <c r="T20" s="85"/>
      <c r="U20" s="85"/>
      <c r="V20" s="92"/>
      <c r="W20" s="85"/>
      <c r="X20" s="85"/>
      <c r="Y20" s="92"/>
      <c r="Z20" s="85"/>
      <c r="AA20" s="85"/>
      <c r="AB20" s="92"/>
      <c r="AC20" s="85"/>
      <c r="AD20" s="85"/>
      <c r="AE20" s="92"/>
      <c r="AF20" s="85"/>
      <c r="AG20" s="85"/>
      <c r="AH20" s="92"/>
      <c r="AI20" s="85"/>
      <c r="AJ20" s="85"/>
      <c r="AK20" s="92"/>
      <c r="AL20" s="85"/>
      <c r="AM20" s="85"/>
      <c r="AN20" s="92"/>
      <c r="AO20" s="85"/>
      <c r="AP20" s="85"/>
      <c r="AQ20" s="92"/>
      <c r="AR20" s="85"/>
      <c r="AS20" s="175"/>
    </row>
    <row r="21" spans="1:45" ht="18.5" thickTop="1" thickBot="1" x14ac:dyDescent="0.5">
      <c r="A21" s="498"/>
      <c r="B21" s="499"/>
      <c r="F21" s="30"/>
      <c r="G21" s="75"/>
      <c r="H21" s="75"/>
      <c r="I21" s="31"/>
      <c r="J21" s="90"/>
      <c r="K21" s="85"/>
      <c r="L21" s="85"/>
      <c r="M21" s="91"/>
      <c r="N21" s="85"/>
      <c r="O21" s="85"/>
      <c r="P21" s="91"/>
      <c r="Q21" s="85"/>
      <c r="R21" s="85"/>
      <c r="S21" s="92"/>
      <c r="T21" s="85"/>
      <c r="U21" s="85"/>
      <c r="V21" s="92"/>
      <c r="W21" s="85"/>
      <c r="X21" s="85"/>
      <c r="Y21" s="92"/>
      <c r="Z21" s="85"/>
      <c r="AA21" s="85"/>
      <c r="AB21" s="92"/>
      <c r="AC21" s="85"/>
      <c r="AD21" s="85"/>
      <c r="AE21" s="92"/>
      <c r="AF21" s="85"/>
      <c r="AG21" s="85"/>
      <c r="AH21" s="92"/>
      <c r="AI21" s="85"/>
      <c r="AJ21" s="85"/>
      <c r="AK21" s="92"/>
      <c r="AL21" s="85"/>
      <c r="AM21" s="85"/>
      <c r="AN21" s="92"/>
      <c r="AO21" s="85"/>
      <c r="AP21" s="85"/>
      <c r="AQ21" s="92"/>
      <c r="AR21" s="85"/>
      <c r="AS21" s="175"/>
    </row>
    <row r="22" spans="1:45" ht="17.5" x14ac:dyDescent="0.45">
      <c r="A22" s="498"/>
      <c r="B22" s="499"/>
      <c r="F22" s="30"/>
      <c r="G22" s="75"/>
      <c r="H22" s="75"/>
      <c r="I22" s="31"/>
      <c r="J22" s="90"/>
      <c r="K22" s="85"/>
      <c r="L22" s="85"/>
      <c r="M22" s="91"/>
      <c r="N22" s="85"/>
      <c r="O22" s="85"/>
      <c r="P22" s="91"/>
      <c r="Q22" s="85"/>
      <c r="R22" s="85"/>
      <c r="S22" s="92"/>
      <c r="T22" s="85"/>
      <c r="U22" s="85"/>
      <c r="V22" s="92"/>
      <c r="W22" s="85"/>
      <c r="X22" s="85"/>
      <c r="Y22" s="92"/>
      <c r="Z22" s="85"/>
      <c r="AA22" s="85"/>
      <c r="AB22" s="92"/>
      <c r="AC22" s="85"/>
      <c r="AD22" s="85"/>
      <c r="AE22" s="92"/>
      <c r="AF22" s="85"/>
      <c r="AG22" s="85"/>
      <c r="AH22" s="92"/>
      <c r="AI22" s="85"/>
      <c r="AJ22" s="85"/>
      <c r="AK22" s="92"/>
      <c r="AL22" s="85"/>
      <c r="AM22" s="85"/>
      <c r="AN22" s="92"/>
      <c r="AO22" s="85"/>
      <c r="AP22" s="85"/>
      <c r="AQ22" s="92"/>
      <c r="AR22" s="85"/>
      <c r="AS22" s="175"/>
    </row>
    <row r="23" spans="1:45" ht="17.5" x14ac:dyDescent="0.45">
      <c r="A23" s="498"/>
      <c r="B23" s="499"/>
      <c r="F23" s="30"/>
      <c r="G23" s="75"/>
      <c r="H23" s="75"/>
      <c r="I23" s="31"/>
      <c r="J23" s="90"/>
      <c r="K23" s="85"/>
      <c r="L23" s="85"/>
      <c r="M23" s="91"/>
      <c r="N23" s="85"/>
      <c r="O23" s="85"/>
      <c r="P23" s="91"/>
      <c r="Q23" s="85"/>
      <c r="R23" s="85"/>
      <c r="S23" s="92"/>
      <c r="T23" s="85"/>
      <c r="U23" s="85"/>
      <c r="V23" s="92"/>
      <c r="W23" s="85"/>
      <c r="X23" s="85"/>
      <c r="Y23" s="92"/>
      <c r="Z23" s="85"/>
      <c r="AA23" s="85"/>
      <c r="AB23" s="92"/>
      <c r="AC23" s="85"/>
      <c r="AD23" s="85"/>
      <c r="AE23" s="92"/>
      <c r="AF23" s="85"/>
      <c r="AG23" s="85"/>
      <c r="AH23" s="92"/>
      <c r="AI23" s="85"/>
      <c r="AJ23" s="85"/>
      <c r="AK23" s="92"/>
      <c r="AL23" s="85"/>
      <c r="AM23" s="85"/>
      <c r="AN23" s="92"/>
      <c r="AO23" s="85"/>
      <c r="AP23" s="85"/>
      <c r="AQ23" s="92"/>
      <c r="AR23" s="85"/>
      <c r="AS23" s="175"/>
    </row>
    <row r="24" spans="1:45" ht="17.5" x14ac:dyDescent="0.45">
      <c r="A24" s="498"/>
      <c r="B24" s="499"/>
      <c r="F24" s="30"/>
      <c r="G24" s="75"/>
      <c r="H24" s="75"/>
      <c r="I24" s="31"/>
      <c r="J24" s="90"/>
      <c r="K24" s="85"/>
      <c r="L24" s="85"/>
      <c r="M24" s="91"/>
      <c r="N24" s="85"/>
      <c r="O24" s="85"/>
      <c r="P24" s="91"/>
      <c r="Q24" s="85"/>
      <c r="R24" s="85"/>
      <c r="S24" s="92"/>
      <c r="T24" s="85"/>
      <c r="U24" s="85"/>
      <c r="V24" s="92"/>
      <c r="W24" s="85"/>
      <c r="X24" s="85"/>
      <c r="Y24" s="92"/>
      <c r="Z24" s="85"/>
      <c r="AA24" s="85"/>
      <c r="AB24" s="92"/>
      <c r="AC24" s="85"/>
      <c r="AD24" s="85"/>
      <c r="AE24" s="92"/>
      <c r="AF24" s="85"/>
      <c r="AG24" s="85"/>
      <c r="AH24" s="92"/>
      <c r="AI24" s="85"/>
      <c r="AJ24" s="85"/>
      <c r="AK24" s="92"/>
      <c r="AL24" s="85"/>
      <c r="AM24" s="85"/>
      <c r="AN24" s="92"/>
      <c r="AO24" s="85"/>
      <c r="AP24" s="85"/>
      <c r="AQ24" s="92"/>
      <c r="AR24" s="85"/>
      <c r="AS24" s="175"/>
    </row>
    <row r="25" spans="1:45" ht="17.5" x14ac:dyDescent="0.45">
      <c r="A25" s="498"/>
      <c r="B25" s="499"/>
      <c r="F25" s="30"/>
      <c r="G25" s="75"/>
      <c r="H25" s="75"/>
      <c r="I25" s="31"/>
      <c r="J25" s="90"/>
      <c r="K25" s="85"/>
      <c r="L25" s="85"/>
      <c r="M25" s="91"/>
      <c r="N25" s="85"/>
      <c r="O25" s="85"/>
      <c r="P25" s="91"/>
      <c r="Q25" s="85"/>
      <c r="R25" s="85"/>
      <c r="S25" s="92"/>
      <c r="T25" s="85"/>
      <c r="U25" s="85"/>
      <c r="V25" s="92"/>
      <c r="W25" s="85"/>
      <c r="X25" s="85"/>
      <c r="Y25" s="92"/>
      <c r="Z25" s="85"/>
      <c r="AA25" s="85"/>
      <c r="AB25" s="92"/>
      <c r="AC25" s="85"/>
      <c r="AD25" s="85"/>
      <c r="AE25" s="92"/>
      <c r="AF25" s="85"/>
      <c r="AG25" s="85"/>
      <c r="AH25" s="92"/>
      <c r="AI25" s="85"/>
      <c r="AJ25" s="85"/>
      <c r="AK25" s="92"/>
      <c r="AL25" s="85"/>
      <c r="AM25" s="85"/>
      <c r="AN25" s="92"/>
      <c r="AO25" s="85"/>
      <c r="AP25" s="85"/>
      <c r="AQ25" s="92"/>
      <c r="AR25" s="85"/>
      <c r="AS25" s="175"/>
    </row>
    <row r="26" spans="1:45" ht="17.5" x14ac:dyDescent="0.45">
      <c r="A26" s="498"/>
      <c r="B26" s="499"/>
      <c r="F26" s="30"/>
      <c r="G26" s="75"/>
      <c r="H26" s="75"/>
      <c r="I26" s="31"/>
      <c r="J26" s="90"/>
      <c r="K26" s="85"/>
      <c r="L26" s="85"/>
      <c r="M26" s="91"/>
      <c r="N26" s="85"/>
      <c r="O26" s="85"/>
      <c r="P26" s="91"/>
      <c r="Q26" s="85"/>
      <c r="R26" s="85"/>
      <c r="S26" s="92"/>
      <c r="T26" s="85"/>
      <c r="U26" s="85"/>
      <c r="V26" s="92"/>
      <c r="W26" s="85"/>
      <c r="X26" s="85"/>
      <c r="Y26" s="92"/>
      <c r="Z26" s="85"/>
      <c r="AA26" s="85"/>
      <c r="AB26" s="92"/>
      <c r="AC26" s="85"/>
      <c r="AD26" s="85"/>
      <c r="AE26" s="92"/>
      <c r="AF26" s="85"/>
      <c r="AG26" s="85"/>
      <c r="AH26" s="92"/>
      <c r="AI26" s="85"/>
      <c r="AJ26" s="85"/>
      <c r="AK26" s="92"/>
      <c r="AL26" s="85"/>
      <c r="AM26" s="85"/>
      <c r="AN26" s="92"/>
      <c r="AO26" s="85"/>
      <c r="AP26" s="85"/>
      <c r="AQ26" s="92"/>
      <c r="AR26" s="85"/>
      <c r="AS26" s="175"/>
    </row>
    <row r="27" spans="1:45" ht="17.5" x14ac:dyDescent="0.45">
      <c r="A27" s="498"/>
      <c r="B27" s="499"/>
      <c r="F27" s="30"/>
      <c r="G27" s="75"/>
      <c r="H27" s="75"/>
      <c r="I27" s="31"/>
      <c r="J27" s="90"/>
      <c r="K27" s="85"/>
      <c r="L27" s="85"/>
      <c r="M27" s="91"/>
      <c r="N27" s="85"/>
      <c r="O27" s="85"/>
      <c r="P27" s="91"/>
      <c r="Q27" s="85"/>
      <c r="R27" s="85"/>
      <c r="S27" s="92"/>
      <c r="T27" s="85"/>
      <c r="U27" s="85"/>
      <c r="V27" s="92"/>
      <c r="W27" s="85"/>
      <c r="X27" s="85"/>
      <c r="Y27" s="92"/>
      <c r="Z27" s="85"/>
      <c r="AA27" s="85"/>
      <c r="AB27" s="92"/>
      <c r="AC27" s="85"/>
      <c r="AD27" s="85"/>
      <c r="AE27" s="92"/>
      <c r="AF27" s="85"/>
      <c r="AG27" s="85"/>
      <c r="AH27" s="92"/>
      <c r="AI27" s="85"/>
      <c r="AJ27" s="85"/>
      <c r="AK27" s="92"/>
      <c r="AL27" s="85"/>
      <c r="AM27" s="85"/>
      <c r="AN27" s="92"/>
      <c r="AO27" s="85"/>
      <c r="AP27" s="85"/>
      <c r="AQ27" s="92"/>
      <c r="AR27" s="85"/>
      <c r="AS27" s="175"/>
    </row>
    <row r="28" spans="1:45" ht="17.5" x14ac:dyDescent="0.45">
      <c r="A28" s="498"/>
      <c r="B28" s="499"/>
      <c r="F28" s="30"/>
      <c r="G28" s="75"/>
      <c r="H28" s="75"/>
      <c r="I28" s="31"/>
      <c r="J28" s="90"/>
      <c r="K28" s="85"/>
      <c r="L28" s="85"/>
      <c r="M28" s="91"/>
      <c r="N28" s="85"/>
      <c r="O28" s="85"/>
      <c r="P28" s="91"/>
      <c r="Q28" s="85"/>
      <c r="R28" s="85"/>
      <c r="S28" s="92"/>
      <c r="T28" s="85"/>
      <c r="U28" s="85"/>
      <c r="V28" s="92"/>
      <c r="W28" s="85"/>
      <c r="X28" s="85"/>
      <c r="Y28" s="92"/>
      <c r="Z28" s="85"/>
      <c r="AA28" s="85"/>
      <c r="AB28" s="92"/>
      <c r="AC28" s="85"/>
      <c r="AD28" s="85"/>
      <c r="AE28" s="92"/>
      <c r="AF28" s="85"/>
      <c r="AG28" s="85"/>
      <c r="AH28" s="92"/>
      <c r="AI28" s="85"/>
      <c r="AJ28" s="85"/>
      <c r="AK28" s="92"/>
      <c r="AL28" s="85"/>
      <c r="AM28" s="85"/>
      <c r="AN28" s="92"/>
      <c r="AO28" s="85"/>
      <c r="AP28" s="85"/>
      <c r="AQ28" s="92"/>
      <c r="AR28" s="85"/>
      <c r="AS28" s="175"/>
    </row>
    <row r="29" spans="1:45" ht="17.5" x14ac:dyDescent="0.45">
      <c r="A29" s="498"/>
      <c r="B29" s="499"/>
      <c r="F29" s="30"/>
      <c r="G29" s="75"/>
      <c r="H29" s="75"/>
      <c r="I29" s="31"/>
      <c r="J29" s="90"/>
      <c r="K29" s="85"/>
      <c r="L29" s="85"/>
      <c r="M29" s="91"/>
      <c r="N29" s="85"/>
      <c r="O29" s="85"/>
      <c r="P29" s="91"/>
      <c r="Q29" s="85"/>
      <c r="R29" s="85"/>
      <c r="S29" s="92"/>
      <c r="T29" s="85"/>
      <c r="U29" s="85"/>
      <c r="V29" s="92"/>
      <c r="W29" s="85"/>
      <c r="X29" s="85"/>
      <c r="Y29" s="92"/>
      <c r="Z29" s="85"/>
      <c r="AA29" s="85"/>
      <c r="AB29" s="92"/>
      <c r="AC29" s="85"/>
      <c r="AD29" s="85"/>
      <c r="AE29" s="92"/>
      <c r="AF29" s="85"/>
      <c r="AG29" s="85"/>
      <c r="AH29" s="92"/>
      <c r="AI29" s="85"/>
      <c r="AJ29" s="85"/>
      <c r="AK29" s="92"/>
      <c r="AL29" s="85"/>
      <c r="AM29" s="85"/>
      <c r="AN29" s="92"/>
      <c r="AO29" s="85"/>
      <c r="AP29" s="85"/>
      <c r="AQ29" s="92"/>
      <c r="AR29" s="85"/>
      <c r="AS29" s="175"/>
    </row>
    <row r="30" spans="1:45" ht="17.5" x14ac:dyDescent="0.45">
      <c r="A30" s="498"/>
      <c r="B30" s="499"/>
      <c r="F30" s="30"/>
      <c r="G30" s="75"/>
      <c r="H30" s="75"/>
      <c r="I30" s="31"/>
      <c r="J30" s="90"/>
      <c r="K30" s="85"/>
      <c r="L30" s="85"/>
      <c r="M30" s="91"/>
      <c r="N30" s="85"/>
      <c r="O30" s="85"/>
      <c r="P30" s="91"/>
      <c r="Q30" s="85"/>
      <c r="R30" s="85"/>
      <c r="S30" s="92"/>
      <c r="T30" s="85"/>
      <c r="U30" s="85"/>
      <c r="V30" s="92"/>
      <c r="W30" s="85"/>
      <c r="X30" s="85"/>
      <c r="Y30" s="92"/>
      <c r="Z30" s="85"/>
      <c r="AA30" s="85"/>
      <c r="AB30" s="92"/>
      <c r="AC30" s="85"/>
      <c r="AD30" s="85"/>
      <c r="AE30" s="92"/>
      <c r="AF30" s="85"/>
      <c r="AG30" s="85"/>
      <c r="AH30" s="92"/>
      <c r="AI30" s="85"/>
      <c r="AJ30" s="85"/>
      <c r="AK30" s="92"/>
      <c r="AL30" s="85"/>
      <c r="AM30" s="85"/>
      <c r="AN30" s="92"/>
      <c r="AO30" s="85"/>
      <c r="AP30" s="85"/>
      <c r="AQ30" s="92"/>
      <c r="AR30" s="85"/>
      <c r="AS30" s="175"/>
    </row>
    <row r="31" spans="1:45" ht="17.5" x14ac:dyDescent="0.45">
      <c r="A31" s="498"/>
      <c r="B31" s="499"/>
      <c r="F31" s="30"/>
      <c r="G31" s="75"/>
      <c r="H31" s="75"/>
      <c r="I31" s="31"/>
      <c r="J31" s="90"/>
      <c r="K31" s="85"/>
      <c r="L31" s="85"/>
      <c r="M31" s="91"/>
      <c r="N31" s="85"/>
      <c r="O31" s="85"/>
      <c r="P31" s="91"/>
      <c r="Q31" s="85"/>
      <c r="R31" s="85"/>
      <c r="S31" s="92"/>
      <c r="T31" s="85"/>
      <c r="U31" s="85"/>
      <c r="V31" s="92"/>
      <c r="W31" s="85"/>
      <c r="X31" s="85"/>
      <c r="Y31" s="92"/>
      <c r="Z31" s="85"/>
      <c r="AA31" s="85"/>
      <c r="AB31" s="92"/>
      <c r="AC31" s="85"/>
      <c r="AD31" s="85"/>
      <c r="AE31" s="92"/>
      <c r="AF31" s="85"/>
      <c r="AG31" s="85"/>
      <c r="AH31" s="92"/>
      <c r="AI31" s="85"/>
      <c r="AJ31" s="85"/>
      <c r="AK31" s="92"/>
      <c r="AL31" s="85"/>
      <c r="AM31" s="85"/>
      <c r="AN31" s="92"/>
      <c r="AO31" s="85"/>
      <c r="AP31" s="85"/>
      <c r="AQ31" s="92"/>
      <c r="AR31" s="85"/>
      <c r="AS31" s="175"/>
    </row>
    <row r="32" spans="1:45" ht="17.5" x14ac:dyDescent="0.45">
      <c r="A32" s="498"/>
      <c r="B32" s="499"/>
      <c r="F32" s="30"/>
      <c r="G32" s="75"/>
      <c r="H32" s="75"/>
      <c r="I32" s="31"/>
      <c r="J32" s="90"/>
      <c r="K32" s="85"/>
      <c r="L32" s="85"/>
      <c r="M32" s="91"/>
      <c r="N32" s="85"/>
      <c r="O32" s="85"/>
      <c r="P32" s="91"/>
      <c r="Q32" s="85"/>
      <c r="R32" s="85"/>
      <c r="S32" s="92"/>
      <c r="T32" s="85"/>
      <c r="U32" s="85"/>
      <c r="V32" s="92"/>
      <c r="W32" s="85"/>
      <c r="X32" s="85"/>
      <c r="Y32" s="92"/>
      <c r="Z32" s="85"/>
      <c r="AA32" s="85"/>
      <c r="AB32" s="92"/>
      <c r="AC32" s="85"/>
      <c r="AD32" s="85"/>
      <c r="AE32" s="92"/>
      <c r="AF32" s="85"/>
      <c r="AG32" s="85"/>
      <c r="AH32" s="92"/>
      <c r="AI32" s="85"/>
      <c r="AJ32" s="85"/>
      <c r="AK32" s="92"/>
      <c r="AL32" s="85"/>
      <c r="AM32" s="85"/>
      <c r="AN32" s="92"/>
      <c r="AO32" s="85"/>
      <c r="AP32" s="85"/>
      <c r="AQ32" s="92"/>
      <c r="AR32" s="85"/>
      <c r="AS32" s="175"/>
    </row>
    <row r="33" spans="1:45" ht="17.5" x14ac:dyDescent="0.45">
      <c r="A33" s="498"/>
      <c r="B33" s="499"/>
      <c r="F33" s="30"/>
      <c r="G33" s="75"/>
      <c r="H33" s="75"/>
      <c r="I33" s="31"/>
      <c r="J33" s="90"/>
      <c r="K33" s="85"/>
      <c r="L33" s="85"/>
      <c r="M33" s="91"/>
      <c r="N33" s="85"/>
      <c r="O33" s="85"/>
      <c r="P33" s="91"/>
      <c r="Q33" s="85"/>
      <c r="R33" s="85"/>
      <c r="S33" s="92"/>
      <c r="T33" s="85"/>
      <c r="U33" s="85"/>
      <c r="V33" s="92"/>
      <c r="W33" s="85"/>
      <c r="X33" s="85"/>
      <c r="Y33" s="92"/>
      <c r="Z33" s="85"/>
      <c r="AA33" s="85"/>
      <c r="AB33" s="92"/>
      <c r="AC33" s="85"/>
      <c r="AD33" s="85"/>
      <c r="AE33" s="92"/>
      <c r="AF33" s="85"/>
      <c r="AG33" s="85"/>
      <c r="AH33" s="92"/>
      <c r="AI33" s="85"/>
      <c r="AJ33" s="85"/>
      <c r="AK33" s="92"/>
      <c r="AL33" s="85"/>
      <c r="AM33" s="85"/>
      <c r="AN33" s="92"/>
      <c r="AO33" s="85"/>
      <c r="AP33" s="85"/>
      <c r="AQ33" s="92"/>
      <c r="AR33" s="85"/>
      <c r="AS33" s="175"/>
    </row>
    <row r="34" spans="1:45" ht="17.5" x14ac:dyDescent="0.45">
      <c r="A34" s="498"/>
      <c r="B34" s="499"/>
      <c r="F34" s="30"/>
      <c r="G34" s="75"/>
      <c r="H34" s="75"/>
      <c r="I34" s="31"/>
      <c r="J34" s="90"/>
      <c r="K34" s="85"/>
      <c r="L34" s="85"/>
      <c r="M34" s="91"/>
      <c r="N34" s="85"/>
      <c r="O34" s="85"/>
      <c r="P34" s="91"/>
      <c r="Q34" s="85"/>
      <c r="R34" s="85"/>
      <c r="S34" s="92"/>
      <c r="T34" s="85"/>
      <c r="U34" s="85"/>
      <c r="V34" s="92"/>
      <c r="W34" s="85"/>
      <c r="X34" s="85"/>
      <c r="Y34" s="92"/>
      <c r="Z34" s="85"/>
      <c r="AA34" s="85"/>
      <c r="AB34" s="92"/>
      <c r="AC34" s="85"/>
      <c r="AD34" s="85"/>
      <c r="AE34" s="92"/>
      <c r="AF34" s="85"/>
      <c r="AG34" s="85"/>
      <c r="AH34" s="92"/>
      <c r="AI34" s="85"/>
      <c r="AJ34" s="85"/>
      <c r="AK34" s="92"/>
      <c r="AL34" s="85"/>
      <c r="AM34" s="85"/>
      <c r="AN34" s="92"/>
      <c r="AO34" s="85"/>
      <c r="AP34" s="85"/>
      <c r="AQ34" s="92"/>
      <c r="AR34" s="85"/>
      <c r="AS34" s="175"/>
    </row>
    <row r="35" spans="1:45" ht="17.5" x14ac:dyDescent="0.45">
      <c r="A35" s="498"/>
      <c r="B35" s="499"/>
      <c r="F35" s="30"/>
      <c r="G35" s="75"/>
      <c r="H35" s="75"/>
      <c r="I35" s="31"/>
      <c r="J35" s="90"/>
      <c r="K35" s="85"/>
      <c r="L35" s="85"/>
      <c r="M35" s="91"/>
      <c r="N35" s="85"/>
      <c r="O35" s="85"/>
      <c r="P35" s="91"/>
      <c r="Q35" s="85"/>
      <c r="R35" s="85"/>
      <c r="S35" s="92"/>
      <c r="T35" s="85"/>
      <c r="U35" s="85"/>
      <c r="V35" s="92"/>
      <c r="W35" s="85"/>
      <c r="X35" s="85"/>
      <c r="Y35" s="92"/>
      <c r="Z35" s="85"/>
      <c r="AA35" s="85"/>
      <c r="AB35" s="92"/>
      <c r="AC35" s="85"/>
      <c r="AD35" s="85"/>
      <c r="AE35" s="92"/>
      <c r="AF35" s="85"/>
      <c r="AG35" s="85"/>
      <c r="AH35" s="92"/>
      <c r="AI35" s="85"/>
      <c r="AJ35" s="85"/>
      <c r="AK35" s="92"/>
      <c r="AL35" s="85"/>
      <c r="AM35" s="85"/>
      <c r="AN35" s="92"/>
      <c r="AO35" s="85"/>
      <c r="AP35" s="85"/>
      <c r="AQ35" s="92"/>
      <c r="AR35" s="85"/>
      <c r="AS35" s="175"/>
    </row>
    <row r="36" spans="1:45" ht="17.5" x14ac:dyDescent="0.45">
      <c r="A36" s="498"/>
      <c r="B36" s="499"/>
      <c r="F36" s="30"/>
      <c r="G36" s="75"/>
      <c r="H36" s="75"/>
      <c r="I36" s="31"/>
      <c r="J36" s="90"/>
      <c r="K36" s="85"/>
      <c r="L36" s="85"/>
      <c r="M36" s="91"/>
      <c r="N36" s="85"/>
      <c r="O36" s="85"/>
      <c r="P36" s="91"/>
      <c r="Q36" s="85"/>
      <c r="R36" s="85"/>
      <c r="S36" s="92"/>
      <c r="T36" s="85"/>
      <c r="U36" s="85"/>
      <c r="V36" s="92"/>
      <c r="W36" s="85"/>
      <c r="X36" s="85"/>
      <c r="Y36" s="92"/>
      <c r="Z36" s="85"/>
      <c r="AA36" s="85"/>
      <c r="AB36" s="92"/>
      <c r="AC36" s="85"/>
      <c r="AD36" s="85"/>
      <c r="AE36" s="92"/>
      <c r="AF36" s="85"/>
      <c r="AG36" s="85"/>
      <c r="AH36" s="92"/>
      <c r="AI36" s="85"/>
      <c r="AJ36" s="85"/>
      <c r="AK36" s="92"/>
      <c r="AL36" s="85"/>
      <c r="AM36" s="85"/>
      <c r="AN36" s="92"/>
      <c r="AO36" s="85"/>
      <c r="AP36" s="85"/>
      <c r="AQ36" s="92"/>
      <c r="AR36" s="85"/>
      <c r="AS36" s="175"/>
    </row>
    <row r="37" spans="1:45" ht="17.5" x14ac:dyDescent="0.45">
      <c r="A37" s="498"/>
      <c r="B37" s="499"/>
      <c r="F37" s="30"/>
      <c r="G37" s="75"/>
      <c r="H37" s="75"/>
      <c r="I37" s="31"/>
      <c r="J37" s="90"/>
      <c r="K37" s="85"/>
      <c r="L37" s="85"/>
      <c r="M37" s="91"/>
      <c r="N37" s="85"/>
      <c r="O37" s="85"/>
      <c r="P37" s="91"/>
      <c r="Q37" s="85"/>
      <c r="R37" s="85"/>
      <c r="S37" s="92"/>
      <c r="T37" s="85"/>
      <c r="U37" s="85"/>
      <c r="V37" s="92"/>
      <c r="W37" s="85"/>
      <c r="X37" s="85"/>
      <c r="Y37" s="92"/>
      <c r="Z37" s="85"/>
      <c r="AA37" s="85"/>
      <c r="AB37" s="92"/>
      <c r="AC37" s="85"/>
      <c r="AD37" s="85"/>
      <c r="AE37" s="92"/>
      <c r="AF37" s="85"/>
      <c r="AG37" s="85"/>
      <c r="AH37" s="92"/>
      <c r="AI37" s="85"/>
      <c r="AJ37" s="85"/>
      <c r="AK37" s="92"/>
      <c r="AL37" s="85"/>
      <c r="AM37" s="85"/>
      <c r="AN37" s="92"/>
      <c r="AO37" s="85"/>
      <c r="AP37" s="85"/>
      <c r="AQ37" s="92"/>
      <c r="AR37" s="85"/>
      <c r="AS37" s="175"/>
    </row>
    <row r="38" spans="1:45" ht="17.5" x14ac:dyDescent="0.45">
      <c r="A38" s="498"/>
      <c r="B38" s="499"/>
      <c r="F38" s="30"/>
      <c r="G38" s="75"/>
      <c r="H38" s="75"/>
      <c r="I38" s="31"/>
      <c r="J38" s="90"/>
      <c r="K38" s="85"/>
      <c r="L38" s="85"/>
      <c r="M38" s="91"/>
      <c r="N38" s="85"/>
      <c r="O38" s="85"/>
      <c r="P38" s="91"/>
      <c r="Q38" s="85"/>
      <c r="R38" s="85"/>
      <c r="S38" s="92"/>
      <c r="T38" s="85"/>
      <c r="U38" s="85"/>
      <c r="V38" s="92"/>
      <c r="W38" s="85"/>
      <c r="X38" s="85"/>
      <c r="Y38" s="92"/>
      <c r="Z38" s="85"/>
      <c r="AA38" s="85"/>
      <c r="AB38" s="92"/>
      <c r="AC38" s="85"/>
      <c r="AD38" s="85"/>
      <c r="AE38" s="92"/>
      <c r="AF38" s="85"/>
      <c r="AG38" s="85"/>
      <c r="AH38" s="92"/>
      <c r="AI38" s="85"/>
      <c r="AJ38" s="85"/>
      <c r="AK38" s="92"/>
      <c r="AL38" s="85"/>
      <c r="AM38" s="85"/>
      <c r="AN38" s="92"/>
      <c r="AO38" s="85"/>
      <c r="AP38" s="85"/>
      <c r="AQ38" s="92"/>
      <c r="AR38" s="85"/>
      <c r="AS38" s="175"/>
    </row>
    <row r="39" spans="1:45" ht="17.5" x14ac:dyDescent="0.45">
      <c r="A39" s="498"/>
      <c r="B39" s="499"/>
      <c r="F39" s="30"/>
      <c r="G39" s="75"/>
      <c r="H39" s="75"/>
      <c r="I39" s="31"/>
      <c r="J39" s="90"/>
      <c r="K39" s="85"/>
      <c r="L39" s="85"/>
      <c r="M39" s="91"/>
      <c r="N39" s="85"/>
      <c r="O39" s="85"/>
      <c r="P39" s="91"/>
      <c r="Q39" s="85"/>
      <c r="R39" s="85"/>
      <c r="S39" s="92"/>
      <c r="T39" s="85"/>
      <c r="U39" s="85"/>
      <c r="V39" s="92"/>
      <c r="W39" s="85"/>
      <c r="X39" s="85"/>
      <c r="Y39" s="92"/>
      <c r="Z39" s="85"/>
      <c r="AA39" s="85"/>
      <c r="AB39" s="92"/>
      <c r="AC39" s="85"/>
      <c r="AD39" s="85"/>
      <c r="AE39" s="92"/>
      <c r="AF39" s="85"/>
      <c r="AG39" s="85"/>
      <c r="AH39" s="92"/>
      <c r="AI39" s="85"/>
      <c r="AJ39" s="85"/>
      <c r="AK39" s="92"/>
      <c r="AL39" s="85"/>
      <c r="AM39" s="85"/>
      <c r="AN39" s="92"/>
      <c r="AO39" s="85"/>
      <c r="AP39" s="85"/>
      <c r="AQ39" s="92"/>
      <c r="AR39" s="85"/>
      <c r="AS39" s="175"/>
    </row>
    <row r="40" spans="1:45" ht="17.5" x14ac:dyDescent="0.45">
      <c r="A40" s="498"/>
      <c r="B40" s="499"/>
      <c r="F40" s="30"/>
      <c r="G40" s="75"/>
      <c r="H40" s="75"/>
      <c r="I40" s="31"/>
      <c r="J40" s="90"/>
      <c r="K40" s="85"/>
      <c r="L40" s="85"/>
      <c r="M40" s="91"/>
      <c r="N40" s="85"/>
      <c r="O40" s="85"/>
      <c r="P40" s="91"/>
      <c r="Q40" s="85"/>
      <c r="R40" s="85"/>
      <c r="S40" s="92"/>
      <c r="T40" s="85"/>
      <c r="U40" s="85"/>
      <c r="V40" s="92"/>
      <c r="W40" s="85"/>
      <c r="X40" s="85"/>
      <c r="Y40" s="92"/>
      <c r="Z40" s="85"/>
      <c r="AA40" s="85"/>
      <c r="AB40" s="92"/>
      <c r="AC40" s="85"/>
      <c r="AD40" s="85"/>
      <c r="AE40" s="92"/>
      <c r="AF40" s="85"/>
      <c r="AG40" s="85"/>
      <c r="AH40" s="92"/>
      <c r="AI40" s="85"/>
      <c r="AJ40" s="85"/>
      <c r="AK40" s="92"/>
      <c r="AL40" s="85"/>
      <c r="AM40" s="85"/>
      <c r="AN40" s="92"/>
      <c r="AO40" s="85"/>
      <c r="AP40" s="85"/>
      <c r="AQ40" s="92"/>
      <c r="AR40" s="85"/>
      <c r="AS40" s="175"/>
    </row>
    <row r="41" spans="1:45" ht="17.5" x14ac:dyDescent="0.45">
      <c r="A41" s="498"/>
      <c r="B41" s="499"/>
      <c r="F41" s="30"/>
      <c r="G41" s="75"/>
      <c r="H41" s="75"/>
      <c r="I41" s="31"/>
      <c r="J41" s="90"/>
      <c r="K41" s="85"/>
      <c r="L41" s="85"/>
      <c r="M41" s="91"/>
      <c r="N41" s="85"/>
      <c r="O41" s="85"/>
      <c r="P41" s="91"/>
      <c r="Q41" s="85"/>
      <c r="R41" s="85"/>
      <c r="S41" s="92"/>
      <c r="T41" s="85"/>
      <c r="U41" s="85"/>
      <c r="V41" s="92"/>
      <c r="W41" s="85"/>
      <c r="X41" s="85"/>
      <c r="Y41" s="92"/>
      <c r="Z41" s="85"/>
      <c r="AA41" s="85"/>
      <c r="AB41" s="92"/>
      <c r="AC41" s="85"/>
      <c r="AD41" s="85"/>
      <c r="AE41" s="92"/>
      <c r="AF41" s="85"/>
      <c r="AG41" s="85"/>
      <c r="AH41" s="92"/>
      <c r="AI41" s="85"/>
      <c r="AJ41" s="85"/>
      <c r="AK41" s="92"/>
      <c r="AL41" s="85"/>
      <c r="AM41" s="85"/>
      <c r="AN41" s="92"/>
      <c r="AO41" s="85"/>
      <c r="AP41" s="85"/>
      <c r="AQ41" s="92"/>
      <c r="AR41" s="85"/>
      <c r="AS41" s="175"/>
    </row>
    <row r="42" spans="1:45" ht="17.5" x14ac:dyDescent="0.45">
      <c r="A42" s="498"/>
      <c r="B42" s="499"/>
      <c r="F42" s="30"/>
      <c r="G42" s="75"/>
      <c r="H42" s="75"/>
      <c r="I42" s="31"/>
      <c r="J42" s="90"/>
      <c r="K42" s="85"/>
      <c r="L42" s="85"/>
      <c r="M42" s="91"/>
      <c r="N42" s="85"/>
      <c r="O42" s="85"/>
      <c r="P42" s="91"/>
      <c r="Q42" s="85"/>
      <c r="R42" s="85"/>
      <c r="S42" s="92"/>
      <c r="T42" s="85"/>
      <c r="U42" s="85"/>
      <c r="V42" s="92"/>
      <c r="W42" s="85"/>
      <c r="X42" s="85"/>
      <c r="Y42" s="92"/>
      <c r="Z42" s="85"/>
      <c r="AA42" s="85"/>
      <c r="AB42" s="92"/>
      <c r="AC42" s="85"/>
      <c r="AD42" s="85"/>
      <c r="AE42" s="92"/>
      <c r="AF42" s="85"/>
      <c r="AG42" s="85"/>
      <c r="AH42" s="92"/>
      <c r="AI42" s="85"/>
      <c r="AJ42" s="85"/>
      <c r="AK42" s="92"/>
      <c r="AL42" s="85"/>
      <c r="AM42" s="85"/>
      <c r="AN42" s="92"/>
      <c r="AO42" s="85"/>
      <c r="AP42" s="85"/>
      <c r="AQ42" s="92"/>
      <c r="AR42" s="85"/>
      <c r="AS42" s="175"/>
    </row>
    <row r="43" spans="1:45" ht="17.5" x14ac:dyDescent="0.45">
      <c r="A43" s="498"/>
      <c r="B43" s="499"/>
      <c r="F43" s="30"/>
      <c r="G43" s="75"/>
      <c r="H43" s="75"/>
      <c r="I43" s="31"/>
      <c r="J43" s="90"/>
      <c r="K43" s="85"/>
      <c r="L43" s="85"/>
      <c r="M43" s="91"/>
      <c r="N43" s="85"/>
      <c r="O43" s="85"/>
      <c r="P43" s="91"/>
      <c r="Q43" s="85"/>
      <c r="R43" s="85"/>
      <c r="S43" s="92"/>
      <c r="T43" s="85"/>
      <c r="U43" s="85"/>
      <c r="V43" s="92"/>
      <c r="W43" s="85"/>
      <c r="X43" s="85"/>
      <c r="Y43" s="92"/>
      <c r="Z43" s="85"/>
      <c r="AA43" s="85"/>
      <c r="AB43" s="92"/>
      <c r="AC43" s="85"/>
      <c r="AD43" s="85"/>
      <c r="AE43" s="92"/>
      <c r="AF43" s="85"/>
      <c r="AG43" s="85"/>
      <c r="AH43" s="92"/>
      <c r="AI43" s="85"/>
      <c r="AJ43" s="85"/>
      <c r="AK43" s="92"/>
      <c r="AL43" s="85"/>
      <c r="AM43" s="85"/>
      <c r="AN43" s="92"/>
      <c r="AO43" s="85"/>
      <c r="AP43" s="85"/>
      <c r="AQ43" s="92"/>
      <c r="AR43" s="85"/>
      <c r="AS43" s="175"/>
    </row>
    <row r="44" spans="1:45" ht="17.5" x14ac:dyDescent="0.45">
      <c r="A44" s="498"/>
      <c r="B44" s="499"/>
      <c r="F44" s="30"/>
      <c r="G44" s="75"/>
      <c r="H44" s="75"/>
      <c r="I44" s="31"/>
      <c r="J44" s="90"/>
      <c r="K44" s="85"/>
      <c r="L44" s="85"/>
      <c r="M44" s="91"/>
      <c r="N44" s="85"/>
      <c r="O44" s="85"/>
      <c r="P44" s="91"/>
      <c r="Q44" s="85"/>
      <c r="R44" s="85"/>
      <c r="S44" s="92"/>
      <c r="T44" s="85"/>
      <c r="U44" s="85"/>
      <c r="V44" s="92"/>
      <c r="W44" s="85"/>
      <c r="X44" s="85"/>
      <c r="Y44" s="92"/>
      <c r="Z44" s="85"/>
      <c r="AA44" s="85"/>
      <c r="AB44" s="92"/>
      <c r="AC44" s="85"/>
      <c r="AD44" s="85"/>
      <c r="AE44" s="92"/>
      <c r="AF44" s="85"/>
      <c r="AG44" s="85"/>
      <c r="AH44" s="92"/>
      <c r="AI44" s="85"/>
      <c r="AJ44" s="85"/>
      <c r="AK44" s="92"/>
      <c r="AL44" s="85"/>
      <c r="AM44" s="85"/>
      <c r="AN44" s="92"/>
      <c r="AO44" s="85"/>
      <c r="AP44" s="85"/>
      <c r="AQ44" s="92"/>
      <c r="AR44" s="85"/>
      <c r="AS44" s="175"/>
    </row>
    <row r="45" spans="1:45" ht="17.5" x14ac:dyDescent="0.45">
      <c r="A45" s="498"/>
      <c r="B45" s="499"/>
      <c r="F45" s="30"/>
      <c r="G45" s="75"/>
      <c r="H45" s="75"/>
      <c r="I45" s="31"/>
      <c r="J45" s="90"/>
      <c r="K45" s="85"/>
      <c r="L45" s="85"/>
      <c r="M45" s="91"/>
      <c r="N45" s="85"/>
      <c r="O45" s="85"/>
      <c r="P45" s="91"/>
      <c r="Q45" s="85"/>
      <c r="R45" s="85"/>
      <c r="S45" s="92"/>
      <c r="T45" s="85"/>
      <c r="U45" s="85"/>
      <c r="V45" s="92"/>
      <c r="W45" s="85"/>
      <c r="X45" s="85"/>
      <c r="Y45" s="92"/>
      <c r="Z45" s="85"/>
      <c r="AA45" s="85"/>
      <c r="AB45" s="92"/>
      <c r="AC45" s="85"/>
      <c r="AD45" s="85"/>
      <c r="AE45" s="92"/>
      <c r="AF45" s="85"/>
      <c r="AG45" s="85"/>
      <c r="AH45" s="92"/>
      <c r="AI45" s="85"/>
      <c r="AJ45" s="85"/>
      <c r="AK45" s="92"/>
      <c r="AL45" s="85"/>
      <c r="AM45" s="85"/>
      <c r="AN45" s="92"/>
      <c r="AO45" s="85"/>
      <c r="AP45" s="85"/>
      <c r="AQ45" s="92"/>
      <c r="AR45" s="85"/>
      <c r="AS45" s="175"/>
    </row>
    <row r="46" spans="1:45" ht="17.5" x14ac:dyDescent="0.45">
      <c r="A46" s="498"/>
      <c r="B46" s="499"/>
      <c r="F46" s="30"/>
      <c r="G46" s="75"/>
      <c r="H46" s="75"/>
      <c r="I46" s="31"/>
      <c r="J46" s="90"/>
      <c r="K46" s="85"/>
      <c r="L46" s="85"/>
      <c r="M46" s="91"/>
      <c r="N46" s="85"/>
      <c r="O46" s="85"/>
      <c r="P46" s="91"/>
      <c r="Q46" s="85"/>
      <c r="R46" s="85"/>
      <c r="S46" s="92"/>
      <c r="T46" s="85"/>
      <c r="U46" s="85"/>
      <c r="V46" s="92"/>
      <c r="W46" s="85"/>
      <c r="X46" s="85"/>
      <c r="Y46" s="92"/>
      <c r="Z46" s="85"/>
      <c r="AA46" s="85"/>
      <c r="AB46" s="92"/>
      <c r="AC46" s="85"/>
      <c r="AD46" s="85"/>
      <c r="AE46" s="92"/>
      <c r="AF46" s="85"/>
      <c r="AG46" s="85"/>
      <c r="AH46" s="92"/>
      <c r="AI46" s="85"/>
      <c r="AJ46" s="85"/>
      <c r="AK46" s="92"/>
      <c r="AL46" s="85"/>
      <c r="AM46" s="85"/>
      <c r="AN46" s="92"/>
      <c r="AO46" s="85"/>
      <c r="AP46" s="85"/>
      <c r="AQ46" s="92"/>
      <c r="AR46" s="85"/>
      <c r="AS46" s="175"/>
    </row>
    <row r="47" spans="1:45" ht="17.5" x14ac:dyDescent="0.45">
      <c r="A47" s="498"/>
      <c r="B47" s="499"/>
      <c r="F47" s="30"/>
      <c r="G47" s="75"/>
      <c r="H47" s="75"/>
      <c r="I47" s="31"/>
      <c r="J47" s="90"/>
      <c r="K47" s="85"/>
      <c r="L47" s="85"/>
      <c r="M47" s="91"/>
      <c r="N47" s="85"/>
      <c r="O47" s="85"/>
      <c r="P47" s="91"/>
      <c r="Q47" s="85"/>
      <c r="R47" s="85"/>
      <c r="S47" s="92"/>
      <c r="T47" s="85"/>
      <c r="U47" s="85"/>
      <c r="V47" s="92"/>
      <c r="W47" s="85"/>
      <c r="X47" s="85"/>
      <c r="Y47" s="92"/>
      <c r="Z47" s="85"/>
      <c r="AA47" s="85"/>
      <c r="AB47" s="92"/>
      <c r="AC47" s="85"/>
      <c r="AD47" s="85"/>
      <c r="AE47" s="92"/>
      <c r="AF47" s="85"/>
      <c r="AG47" s="85"/>
      <c r="AH47" s="92"/>
      <c r="AI47" s="85"/>
      <c r="AJ47" s="85"/>
      <c r="AK47" s="92"/>
      <c r="AL47" s="85"/>
      <c r="AM47" s="85"/>
      <c r="AN47" s="92"/>
      <c r="AO47" s="85"/>
      <c r="AP47" s="85"/>
      <c r="AQ47" s="92"/>
      <c r="AR47" s="85"/>
      <c r="AS47" s="175"/>
    </row>
    <row r="48" spans="1:45" ht="17.5" x14ac:dyDescent="0.45">
      <c r="A48" s="498"/>
      <c r="B48" s="499"/>
      <c r="F48" s="30"/>
      <c r="G48" s="75"/>
      <c r="H48" s="75"/>
      <c r="I48" s="31"/>
      <c r="J48" s="90"/>
      <c r="K48" s="85"/>
      <c r="L48" s="85"/>
      <c r="M48" s="91"/>
      <c r="N48" s="85"/>
      <c r="O48" s="85"/>
      <c r="P48" s="91"/>
      <c r="Q48" s="85"/>
      <c r="R48" s="85"/>
      <c r="S48" s="92"/>
      <c r="T48" s="85"/>
      <c r="U48" s="85"/>
      <c r="V48" s="92"/>
      <c r="W48" s="85"/>
      <c r="X48" s="85"/>
      <c r="Y48" s="92"/>
      <c r="Z48" s="85"/>
      <c r="AA48" s="85"/>
      <c r="AB48" s="92"/>
      <c r="AC48" s="85"/>
      <c r="AD48" s="85"/>
      <c r="AE48" s="92"/>
      <c r="AF48" s="85"/>
      <c r="AG48" s="85"/>
      <c r="AH48" s="92"/>
      <c r="AI48" s="85"/>
      <c r="AJ48" s="85"/>
      <c r="AK48" s="92"/>
      <c r="AL48" s="85"/>
      <c r="AM48" s="85"/>
      <c r="AN48" s="92"/>
      <c r="AO48" s="85"/>
      <c r="AP48" s="85"/>
      <c r="AQ48" s="92"/>
      <c r="AR48" s="85"/>
      <c r="AS48" s="175"/>
    </row>
    <row r="49" spans="1:45" ht="17.5" x14ac:dyDescent="0.45">
      <c r="A49" s="498"/>
      <c r="B49" s="499"/>
      <c r="F49" s="30"/>
      <c r="G49" s="75"/>
      <c r="H49" s="75"/>
      <c r="I49" s="31"/>
      <c r="J49" s="90"/>
      <c r="K49" s="85"/>
      <c r="L49" s="85"/>
      <c r="M49" s="91"/>
      <c r="N49" s="85"/>
      <c r="O49" s="85"/>
      <c r="P49" s="91"/>
      <c r="Q49" s="85"/>
      <c r="R49" s="85"/>
      <c r="S49" s="92"/>
      <c r="T49" s="85"/>
      <c r="U49" s="85"/>
      <c r="V49" s="92"/>
      <c r="W49" s="85"/>
      <c r="X49" s="85"/>
      <c r="Y49" s="92"/>
      <c r="Z49" s="85"/>
      <c r="AA49" s="85"/>
      <c r="AB49" s="92"/>
      <c r="AC49" s="85"/>
      <c r="AD49" s="85"/>
      <c r="AE49" s="92"/>
      <c r="AF49" s="85"/>
      <c r="AG49" s="85"/>
      <c r="AH49" s="92"/>
      <c r="AI49" s="85"/>
      <c r="AJ49" s="85"/>
      <c r="AK49" s="92"/>
      <c r="AL49" s="85"/>
      <c r="AM49" s="85"/>
      <c r="AN49" s="92"/>
      <c r="AO49" s="85"/>
      <c r="AP49" s="85"/>
      <c r="AQ49" s="92"/>
      <c r="AR49" s="85"/>
      <c r="AS49" s="175"/>
    </row>
    <row r="50" spans="1:45" ht="17.5" x14ac:dyDescent="0.45">
      <c r="A50" s="498"/>
      <c r="B50" s="499"/>
      <c r="F50" s="30"/>
      <c r="G50" s="75"/>
      <c r="H50" s="75"/>
      <c r="I50" s="31"/>
      <c r="J50" s="90"/>
      <c r="K50" s="85"/>
      <c r="L50" s="85"/>
      <c r="M50" s="91"/>
      <c r="N50" s="85"/>
      <c r="O50" s="85"/>
      <c r="P50" s="91"/>
      <c r="Q50" s="85"/>
      <c r="R50" s="85"/>
      <c r="S50" s="92"/>
      <c r="T50" s="85"/>
      <c r="U50" s="85"/>
      <c r="V50" s="92"/>
      <c r="W50" s="85"/>
      <c r="X50" s="85"/>
      <c r="Y50" s="92"/>
      <c r="Z50" s="85"/>
      <c r="AA50" s="85"/>
      <c r="AB50" s="92"/>
      <c r="AC50" s="85"/>
      <c r="AD50" s="85"/>
      <c r="AE50" s="92"/>
      <c r="AF50" s="85"/>
      <c r="AG50" s="85"/>
      <c r="AH50" s="92"/>
      <c r="AI50" s="85"/>
      <c r="AJ50" s="85"/>
      <c r="AK50" s="92"/>
      <c r="AL50" s="85"/>
      <c r="AM50" s="85"/>
      <c r="AN50" s="92"/>
      <c r="AO50" s="85"/>
      <c r="AP50" s="85"/>
      <c r="AQ50" s="92"/>
      <c r="AR50" s="85"/>
      <c r="AS50" s="175"/>
    </row>
    <row r="51" spans="1:45" ht="18" thickBot="1" x14ac:dyDescent="0.5">
      <c r="A51" s="499"/>
      <c r="B51" s="499"/>
      <c r="F51" s="30"/>
      <c r="G51" s="76"/>
      <c r="H51" s="76"/>
      <c r="I51" s="31"/>
      <c r="J51" s="91"/>
      <c r="K51" s="85"/>
      <c r="L51" s="85"/>
      <c r="M51" s="91"/>
      <c r="N51" s="85"/>
      <c r="O51" s="85"/>
      <c r="P51" s="91"/>
      <c r="Q51" s="85"/>
      <c r="R51" s="85"/>
      <c r="S51" s="92"/>
      <c r="T51" s="85"/>
      <c r="U51" s="85"/>
      <c r="V51" s="92"/>
      <c r="W51" s="85"/>
      <c r="X51" s="85"/>
      <c r="Y51" s="92"/>
      <c r="Z51" s="85"/>
      <c r="AA51" s="85"/>
      <c r="AB51" s="92"/>
      <c r="AC51" s="85"/>
      <c r="AD51" s="85"/>
      <c r="AE51" s="92"/>
      <c r="AF51" s="85"/>
      <c r="AG51" s="85"/>
      <c r="AH51" s="92"/>
      <c r="AI51" s="85"/>
      <c r="AJ51" s="85"/>
      <c r="AK51" s="92"/>
      <c r="AL51" s="85"/>
      <c r="AM51" s="85"/>
      <c r="AN51" s="92"/>
      <c r="AO51" s="85"/>
      <c r="AP51" s="85"/>
      <c r="AQ51" s="92"/>
      <c r="AR51" s="85"/>
      <c r="AS51" s="175"/>
    </row>
    <row r="52" spans="1:45" ht="21.5" thickTop="1" x14ac:dyDescent="0.45">
      <c r="A52" s="49" t="s">
        <v>141</v>
      </c>
      <c r="B52" s="49" t="s">
        <v>180</v>
      </c>
      <c r="G52" s="28"/>
      <c r="H52" s="28"/>
      <c r="I52" s="7"/>
      <c r="J52" s="91"/>
      <c r="K52" s="86"/>
      <c r="L52" s="87"/>
      <c r="M52" s="91"/>
      <c r="N52" s="86"/>
      <c r="O52" s="87"/>
      <c r="P52" s="91"/>
      <c r="Q52" s="86"/>
      <c r="R52" s="87"/>
      <c r="S52" s="92"/>
      <c r="T52" s="86"/>
      <c r="U52" s="87"/>
      <c r="V52" s="92"/>
      <c r="W52" s="86"/>
      <c r="X52" s="87"/>
      <c r="Y52" s="92"/>
      <c r="Z52" s="86"/>
      <c r="AA52" s="87"/>
      <c r="AB52" s="92"/>
      <c r="AC52" s="86"/>
      <c r="AD52" s="87"/>
      <c r="AE52" s="92"/>
      <c r="AF52" s="86"/>
      <c r="AG52" s="87"/>
      <c r="AH52" s="92"/>
      <c r="AI52" s="86"/>
      <c r="AJ52" s="87"/>
      <c r="AK52" s="92"/>
      <c r="AL52" s="86"/>
      <c r="AM52" s="87"/>
      <c r="AN52" s="92"/>
      <c r="AO52" s="86"/>
      <c r="AP52" s="87"/>
      <c r="AQ52" s="92"/>
      <c r="AR52" s="86"/>
      <c r="AS52" s="176"/>
    </row>
    <row r="53" spans="1:45" ht="21.5" thickBot="1" x14ac:dyDescent="0.5">
      <c r="A53" s="481"/>
      <c r="B53" s="481"/>
      <c r="C53" s="40"/>
      <c r="D53" s="40"/>
      <c r="E53" s="40"/>
      <c r="F53" s="40"/>
      <c r="G53" s="37"/>
      <c r="H53" s="37"/>
      <c r="I53" s="482"/>
      <c r="J53" s="483"/>
      <c r="K53" s="84"/>
      <c r="L53" s="84"/>
      <c r="M53" s="483"/>
      <c r="N53" s="84"/>
      <c r="O53" s="84"/>
      <c r="P53" s="483"/>
      <c r="Q53" s="84"/>
      <c r="R53" s="84"/>
      <c r="S53" s="484"/>
      <c r="T53" s="84"/>
      <c r="U53" s="84"/>
      <c r="V53" s="484"/>
      <c r="W53" s="84"/>
      <c r="X53" s="84"/>
      <c r="Y53" s="484"/>
      <c r="Z53" s="84"/>
      <c r="AA53" s="84"/>
      <c r="AB53" s="484"/>
      <c r="AC53" s="84"/>
      <c r="AD53" s="84"/>
      <c r="AE53" s="484"/>
      <c r="AF53" s="84"/>
      <c r="AG53" s="84"/>
      <c r="AH53" s="484"/>
      <c r="AI53" s="84"/>
      <c r="AJ53" s="84"/>
      <c r="AK53" s="484"/>
      <c r="AL53" s="84"/>
      <c r="AM53" s="84"/>
      <c r="AN53" s="484"/>
      <c r="AO53" s="84"/>
      <c r="AP53" s="84"/>
      <c r="AQ53" s="484"/>
      <c r="AR53" s="84"/>
      <c r="AS53" s="84"/>
    </row>
    <row r="54" spans="1:45" ht="26.5" thickTop="1" thickBot="1" x14ac:dyDescent="0.5">
      <c r="A54" s="34" t="s">
        <v>137</v>
      </c>
      <c r="B54" s="58" t="s">
        <v>155</v>
      </c>
      <c r="C54" s="55">
        <f>SUM(L55:L57,O55:O57,R55:R57,U55:U57,X55:X57,AA55:AA57,AD55:AD57,AG55:AG57,AJ55:AJ57,AM55:AM57,AP55:AP57,AS55:AS57)</f>
        <v>0</v>
      </c>
      <c r="D54" s="716"/>
      <c r="E54" s="687"/>
      <c r="F54" s="687"/>
      <c r="G54" s="687"/>
      <c r="H54" s="687"/>
      <c r="I54" s="717"/>
      <c r="J54" s="63">
        <f>SUM(L55:L57)</f>
        <v>0</v>
      </c>
      <c r="K54" s="179"/>
      <c r="L54" s="178"/>
      <c r="M54" s="63">
        <f>SUM(O55:O57)</f>
        <v>0</v>
      </c>
      <c r="N54" s="179"/>
      <c r="O54" s="178"/>
      <c r="P54" s="63">
        <f>SUM(R55:R57)</f>
        <v>0</v>
      </c>
      <c r="Q54" s="179"/>
      <c r="R54" s="178"/>
      <c r="S54" s="63">
        <f>SUM(U55:U57)</f>
        <v>0</v>
      </c>
      <c r="T54" s="179"/>
      <c r="U54" s="178"/>
      <c r="V54" s="63">
        <f>SUM(X55:X57)</f>
        <v>0</v>
      </c>
      <c r="W54" s="179"/>
      <c r="X54" s="178"/>
      <c r="Y54" s="63">
        <f>SUM(AA55:AA57)</f>
        <v>0</v>
      </c>
      <c r="Z54" s="179"/>
      <c r="AA54" s="178"/>
      <c r="AB54" s="63">
        <f>SUM(AD55:AD57)</f>
        <v>0</v>
      </c>
      <c r="AC54" s="179"/>
      <c r="AD54" s="178"/>
      <c r="AE54" s="63">
        <f>SUM(AG55:AG57)</f>
        <v>0</v>
      </c>
      <c r="AF54" s="179"/>
      <c r="AG54" s="178"/>
      <c r="AH54" s="63">
        <f>SUM(AJ55:AJ57)</f>
        <v>0</v>
      </c>
      <c r="AI54" s="179"/>
      <c r="AJ54" s="178"/>
      <c r="AK54" s="63">
        <f>SUM(AM55:AM57)</f>
        <v>0</v>
      </c>
      <c r="AL54" s="179"/>
      <c r="AM54" s="178"/>
      <c r="AN54" s="63">
        <f>SUM(AP55:AP57)</f>
        <v>0</v>
      </c>
      <c r="AO54" s="179"/>
      <c r="AP54" s="178"/>
      <c r="AQ54" s="63">
        <f>SUM(AS55:AS57)</f>
        <v>0</v>
      </c>
      <c r="AR54" s="179"/>
      <c r="AS54" s="44"/>
    </row>
    <row r="55" spans="1:45" ht="18" thickTop="1" x14ac:dyDescent="0.45">
      <c r="A55" s="174"/>
      <c r="B55" s="48"/>
      <c r="C55" s="28"/>
      <c r="D55" s="28"/>
      <c r="E55" s="28"/>
      <c r="F55" s="299"/>
      <c r="G55" s="110"/>
      <c r="H55" s="110"/>
      <c r="I55" s="48"/>
      <c r="J55" s="132"/>
      <c r="K55" s="122"/>
      <c r="L55" s="122"/>
      <c r="M55" s="132"/>
      <c r="N55" s="122"/>
      <c r="O55" s="122"/>
      <c r="P55" s="93"/>
      <c r="Q55" s="85"/>
      <c r="R55" s="85"/>
      <c r="S55" s="95"/>
      <c r="T55" s="85"/>
      <c r="U55" s="85"/>
      <c r="V55" s="95"/>
      <c r="W55" s="85"/>
      <c r="X55" s="85"/>
      <c r="Y55" s="95"/>
      <c r="Z55" s="85"/>
      <c r="AA55" s="85"/>
      <c r="AB55" s="95"/>
      <c r="AC55" s="85"/>
      <c r="AD55" s="85"/>
      <c r="AE55" s="95"/>
      <c r="AF55" s="85"/>
      <c r="AG55" s="85"/>
      <c r="AH55" s="95"/>
      <c r="AI55" s="85"/>
      <c r="AJ55" s="85"/>
      <c r="AK55" s="95"/>
      <c r="AL55" s="85"/>
      <c r="AM55" s="85"/>
      <c r="AN55" s="95"/>
      <c r="AO55" s="85"/>
      <c r="AP55" s="85"/>
      <c r="AQ55" s="95"/>
      <c r="AR55" s="85"/>
      <c r="AS55" s="139"/>
    </row>
    <row r="56" spans="1:45" ht="17.5" x14ac:dyDescent="0.45">
      <c r="A56" s="275"/>
      <c r="B56" s="48"/>
      <c r="C56" s="28"/>
      <c r="D56" s="28"/>
      <c r="E56" s="28"/>
      <c r="F56" s="300"/>
      <c r="G56" s="127"/>
      <c r="H56" s="127"/>
      <c r="I56" s="48"/>
      <c r="J56" s="145"/>
      <c r="K56" s="122"/>
      <c r="L56" s="122"/>
      <c r="M56" s="145"/>
      <c r="N56" s="122"/>
      <c r="O56" s="122"/>
      <c r="P56" s="93"/>
      <c r="Q56" s="85"/>
      <c r="R56" s="85"/>
      <c r="S56" s="95"/>
      <c r="T56" s="85"/>
      <c r="U56" s="85"/>
      <c r="V56" s="95"/>
      <c r="W56" s="85"/>
      <c r="X56" s="85"/>
      <c r="Y56" s="95"/>
      <c r="Z56" s="85"/>
      <c r="AA56" s="85"/>
      <c r="AB56" s="95"/>
      <c r="AC56" s="85"/>
      <c r="AD56" s="85"/>
      <c r="AE56" s="95"/>
      <c r="AF56" s="85"/>
      <c r="AG56" s="85"/>
      <c r="AH56" s="95"/>
      <c r="AI56" s="85"/>
      <c r="AJ56" s="85"/>
      <c r="AK56" s="95"/>
      <c r="AL56" s="85"/>
      <c r="AM56" s="85"/>
      <c r="AN56" s="95"/>
      <c r="AO56" s="85"/>
      <c r="AP56" s="85"/>
      <c r="AQ56" s="95"/>
      <c r="AR56" s="85"/>
      <c r="AS56" s="297"/>
    </row>
    <row r="57" spans="1:45" ht="18" thickBot="1" x14ac:dyDescent="0.5">
      <c r="A57" s="275"/>
      <c r="F57" s="30"/>
      <c r="G57" s="76"/>
      <c r="H57" s="76"/>
      <c r="I57" s="31"/>
      <c r="J57" s="91"/>
      <c r="K57" s="85"/>
      <c r="L57" s="85"/>
      <c r="M57" s="91"/>
      <c r="N57" s="85"/>
      <c r="O57" s="85"/>
      <c r="P57" s="91"/>
      <c r="Q57" s="85"/>
      <c r="R57" s="85"/>
      <c r="S57" s="92"/>
      <c r="T57" s="85"/>
      <c r="U57" s="85"/>
      <c r="V57" s="92"/>
      <c r="W57" s="85"/>
      <c r="X57" s="85"/>
      <c r="Y57" s="92"/>
      <c r="Z57" s="85"/>
      <c r="AA57" s="85"/>
      <c r="AB57" s="92"/>
      <c r="AC57" s="85"/>
      <c r="AD57" s="85"/>
      <c r="AE57" s="92"/>
      <c r="AF57" s="85"/>
      <c r="AG57" s="85"/>
      <c r="AH57" s="92"/>
      <c r="AI57" s="85"/>
      <c r="AJ57" s="85"/>
      <c r="AK57" s="92"/>
      <c r="AL57" s="85"/>
      <c r="AM57" s="85"/>
      <c r="AN57" s="92"/>
      <c r="AO57" s="85"/>
      <c r="AP57" s="85"/>
      <c r="AQ57" s="92"/>
      <c r="AR57" s="85"/>
      <c r="AS57" s="175"/>
    </row>
    <row r="58" spans="1:45" ht="21.5" thickTop="1" x14ac:dyDescent="0.45">
      <c r="A58" s="49" t="s">
        <v>141</v>
      </c>
      <c r="B58" s="49" t="s">
        <v>180</v>
      </c>
      <c r="G58" s="28"/>
      <c r="H58" s="28"/>
      <c r="I58" s="7"/>
      <c r="J58" s="91"/>
      <c r="K58" s="86"/>
      <c r="L58" s="87"/>
      <c r="M58" s="91"/>
      <c r="N58" s="86"/>
      <c r="O58" s="87"/>
      <c r="P58" s="91"/>
      <c r="Q58" s="86"/>
      <c r="R58" s="87"/>
      <c r="S58" s="92"/>
      <c r="T58" s="86"/>
      <c r="U58" s="87"/>
      <c r="V58" s="92"/>
      <c r="W58" s="86"/>
      <c r="X58" s="87"/>
      <c r="Y58" s="92"/>
      <c r="Z58" s="86"/>
      <c r="AA58" s="87"/>
      <c r="AB58" s="92"/>
      <c r="AC58" s="86"/>
      <c r="AD58" s="87"/>
      <c r="AE58" s="92"/>
      <c r="AF58" s="86"/>
      <c r="AG58" s="87"/>
      <c r="AH58" s="92"/>
      <c r="AI58" s="86"/>
      <c r="AJ58" s="87"/>
      <c r="AK58" s="92"/>
      <c r="AL58" s="86"/>
      <c r="AM58" s="87"/>
      <c r="AN58" s="92"/>
      <c r="AO58" s="86"/>
      <c r="AP58" s="87"/>
      <c r="AQ58" s="92"/>
      <c r="AR58" s="86"/>
      <c r="AS58" s="176"/>
    </row>
    <row r="59" spans="1:45" ht="17.5" thickBot="1" x14ac:dyDescent="0.5">
      <c r="A59" s="41"/>
      <c r="B59" s="41"/>
      <c r="C59" s="41"/>
      <c r="D59" s="41"/>
      <c r="E59" s="41"/>
      <c r="F59" s="41"/>
      <c r="G59" s="41"/>
      <c r="H59" s="41"/>
      <c r="I59" s="41"/>
      <c r="J59" s="41"/>
      <c r="K59" s="41"/>
      <c r="L59" s="41"/>
      <c r="M59" s="41"/>
      <c r="N59" s="41"/>
      <c r="O59" s="41"/>
      <c r="P59" s="41"/>
      <c r="Q59" s="41"/>
      <c r="R59" s="41"/>
      <c r="S59" s="41"/>
      <c r="T59" s="41"/>
      <c r="U59" s="41"/>
      <c r="V59" s="41"/>
      <c r="W59" s="41"/>
      <c r="X59" s="41"/>
      <c r="Y59" s="41"/>
      <c r="Z59" s="41"/>
      <c r="AA59" s="41"/>
      <c r="AB59" s="41"/>
      <c r="AC59" s="41"/>
      <c r="AD59" s="41"/>
      <c r="AE59" s="41"/>
      <c r="AF59" s="41"/>
      <c r="AG59" s="41"/>
      <c r="AH59" s="41"/>
      <c r="AI59" s="41"/>
      <c r="AJ59" s="41"/>
      <c r="AK59" s="41"/>
      <c r="AL59" s="41"/>
      <c r="AM59" s="41"/>
      <c r="AN59" s="41"/>
      <c r="AO59" s="41"/>
      <c r="AP59" s="41"/>
      <c r="AQ59" s="41"/>
      <c r="AR59" s="41"/>
      <c r="AS59" s="41"/>
    </row>
    <row r="60" spans="1:45" ht="22" thickTop="1" thickBot="1" x14ac:dyDescent="0.5">
      <c r="A60" s="131" t="s">
        <v>167</v>
      </c>
      <c r="B60" s="128"/>
      <c r="C60" s="129"/>
      <c r="D60" s="266"/>
      <c r="E60" s="129"/>
      <c r="F60" s="129"/>
      <c r="G60" s="129"/>
      <c r="H60" s="129"/>
      <c r="I60" s="129"/>
      <c r="J60" s="129"/>
      <c r="K60" s="129"/>
      <c r="L60" s="129"/>
      <c r="M60" s="129"/>
      <c r="N60" s="130"/>
      <c r="O60" s="129"/>
      <c r="P60" s="129"/>
      <c r="Q60" s="129"/>
      <c r="R60" s="129"/>
      <c r="S60" s="129"/>
      <c r="T60" s="129"/>
      <c r="U60" s="129"/>
      <c r="V60" s="129"/>
      <c r="W60" s="129"/>
      <c r="X60" s="129"/>
      <c r="Y60" s="129"/>
      <c r="Z60" s="129"/>
      <c r="AA60" s="129"/>
      <c r="AB60" s="129"/>
      <c r="AC60" s="129"/>
      <c r="AD60" s="129"/>
      <c r="AE60" s="129"/>
      <c r="AF60" s="129"/>
      <c r="AG60" s="129"/>
      <c r="AH60" s="129"/>
      <c r="AI60" s="129"/>
      <c r="AJ60" s="129"/>
      <c r="AK60" s="129"/>
      <c r="AL60" s="129"/>
      <c r="AM60" s="129"/>
      <c r="AN60" s="129"/>
      <c r="AO60" s="129"/>
      <c r="AP60" s="129"/>
      <c r="AQ60" s="129"/>
      <c r="AR60" s="118"/>
      <c r="AS60" s="117"/>
    </row>
    <row r="61" spans="1:45" ht="17.5" thickTop="1" x14ac:dyDescent="0.45"/>
    <row r="63" spans="1:45" x14ac:dyDescent="0.45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9"/>
      <c r="L63" s="39"/>
      <c r="M63" s="37"/>
      <c r="N63" s="39"/>
      <c r="O63" s="39"/>
      <c r="P63" s="37"/>
      <c r="Q63" s="39"/>
      <c r="R63" s="39"/>
      <c r="S63" s="37"/>
      <c r="T63" s="39"/>
      <c r="U63" s="39"/>
      <c r="V63" s="37"/>
      <c r="W63" s="39"/>
      <c r="X63" s="39"/>
      <c r="Y63" s="37"/>
      <c r="Z63" s="39"/>
      <c r="AA63" s="39"/>
      <c r="AB63" s="37"/>
      <c r="AC63" s="39"/>
      <c r="AD63" s="39"/>
      <c r="AE63" s="37"/>
      <c r="AF63" s="39"/>
      <c r="AG63" s="39"/>
      <c r="AH63" s="37"/>
      <c r="AI63" s="39"/>
      <c r="AJ63" s="39"/>
      <c r="AK63" s="37"/>
      <c r="AL63" s="39"/>
      <c r="AM63" s="39"/>
      <c r="AN63" s="37"/>
      <c r="AO63" s="39"/>
      <c r="AP63" s="39"/>
      <c r="AQ63" s="37"/>
      <c r="AR63" s="39"/>
      <c r="AS63" s="39"/>
    </row>
    <row r="64" spans="1:45" x14ac:dyDescent="0.45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9"/>
      <c r="L64" s="39"/>
      <c r="M64" s="37"/>
      <c r="N64" s="39"/>
      <c r="O64" s="39"/>
      <c r="P64" s="37"/>
      <c r="Q64" s="39"/>
      <c r="R64" s="39"/>
      <c r="S64" s="37"/>
      <c r="T64" s="39"/>
      <c r="U64" s="39"/>
      <c r="V64" s="37"/>
      <c r="W64" s="39"/>
      <c r="X64" s="39"/>
      <c r="Y64" s="37"/>
      <c r="Z64" s="39"/>
      <c r="AA64" s="39"/>
      <c r="AB64" s="37"/>
      <c r="AC64" s="39"/>
      <c r="AD64" s="39"/>
      <c r="AE64" s="37"/>
      <c r="AF64" s="39"/>
      <c r="AG64" s="39"/>
      <c r="AH64" s="37"/>
      <c r="AI64" s="39"/>
      <c r="AJ64" s="39"/>
      <c r="AK64" s="37"/>
      <c r="AL64" s="39"/>
      <c r="AM64" s="39"/>
      <c r="AN64" s="37"/>
      <c r="AO64" s="39"/>
      <c r="AP64" s="39"/>
      <c r="AQ64" s="37"/>
      <c r="AR64" s="39"/>
      <c r="AS64" s="39"/>
    </row>
    <row r="65" spans="1:45" x14ac:dyDescent="0.45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9"/>
      <c r="L65" s="39"/>
      <c r="M65" s="37"/>
      <c r="N65" s="39"/>
      <c r="O65" s="39"/>
      <c r="P65" s="37"/>
      <c r="Q65" s="39"/>
      <c r="R65" s="39"/>
      <c r="S65" s="37"/>
      <c r="T65" s="39"/>
      <c r="U65" s="39"/>
      <c r="V65" s="37"/>
      <c r="W65" s="39"/>
      <c r="X65" s="39"/>
      <c r="Y65" s="37"/>
      <c r="Z65" s="39"/>
      <c r="AA65" s="39"/>
      <c r="AB65" s="37"/>
      <c r="AC65" s="39"/>
      <c r="AD65" s="39"/>
      <c r="AE65" s="37"/>
      <c r="AF65" s="39"/>
      <c r="AG65" s="39"/>
      <c r="AH65" s="37"/>
      <c r="AI65" s="39"/>
      <c r="AJ65" s="39"/>
      <c r="AK65" s="37"/>
      <c r="AL65" s="39"/>
      <c r="AM65" s="39"/>
      <c r="AN65" s="37"/>
      <c r="AO65" s="39"/>
      <c r="AP65" s="39"/>
      <c r="AQ65" s="37"/>
      <c r="AR65" s="39"/>
      <c r="AS65" s="39"/>
    </row>
    <row r="66" spans="1:45" x14ac:dyDescent="0.45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9"/>
      <c r="L66" s="39"/>
      <c r="M66" s="37"/>
      <c r="N66" s="39"/>
      <c r="O66" s="39"/>
      <c r="P66" s="37"/>
      <c r="Q66" s="39"/>
      <c r="R66" s="39"/>
      <c r="S66" s="37"/>
      <c r="T66" s="39"/>
      <c r="U66" s="39"/>
      <c r="V66" s="37"/>
      <c r="W66" s="39"/>
      <c r="X66" s="39"/>
      <c r="Y66" s="37"/>
      <c r="Z66" s="39"/>
      <c r="AA66" s="39"/>
      <c r="AB66" s="37"/>
      <c r="AC66" s="39"/>
      <c r="AD66" s="39"/>
      <c r="AE66" s="37"/>
      <c r="AF66" s="39"/>
      <c r="AG66" s="39"/>
      <c r="AH66" s="37"/>
      <c r="AI66" s="39"/>
      <c r="AJ66" s="39"/>
      <c r="AK66" s="37"/>
      <c r="AL66" s="39"/>
      <c r="AM66" s="39"/>
      <c r="AN66" s="37"/>
      <c r="AO66" s="39"/>
      <c r="AP66" s="39"/>
      <c r="AQ66" s="37"/>
      <c r="AR66" s="39"/>
      <c r="AS66" s="39"/>
    </row>
    <row r="67" spans="1:45" x14ac:dyDescent="0.45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9"/>
      <c r="L67" s="39"/>
      <c r="M67" s="37"/>
      <c r="N67" s="39"/>
      <c r="O67" s="39"/>
      <c r="P67" s="37"/>
      <c r="Q67" s="39"/>
      <c r="R67" s="39"/>
      <c r="S67" s="37"/>
      <c r="T67" s="39"/>
      <c r="U67" s="39"/>
      <c r="V67" s="37"/>
      <c r="W67" s="39"/>
      <c r="X67" s="39"/>
      <c r="Y67" s="37"/>
      <c r="Z67" s="39"/>
      <c r="AA67" s="39"/>
      <c r="AB67" s="37"/>
      <c r="AC67" s="39"/>
      <c r="AD67" s="39"/>
      <c r="AE67" s="37"/>
      <c r="AF67" s="39"/>
      <c r="AG67" s="39"/>
      <c r="AH67" s="37"/>
      <c r="AI67" s="39"/>
      <c r="AJ67" s="39"/>
      <c r="AK67" s="37"/>
      <c r="AL67" s="39"/>
      <c r="AM67" s="39"/>
      <c r="AN67" s="37"/>
      <c r="AO67" s="39"/>
      <c r="AP67" s="39"/>
      <c r="AQ67" s="37"/>
      <c r="AR67" s="39"/>
      <c r="AS67" s="39"/>
    </row>
    <row r="68" spans="1:45" x14ac:dyDescent="0.45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9"/>
      <c r="L68" s="39"/>
      <c r="M68" s="37"/>
      <c r="N68" s="39"/>
      <c r="O68" s="39"/>
      <c r="P68" s="37"/>
      <c r="Q68" s="39"/>
      <c r="R68" s="39"/>
      <c r="S68" s="37"/>
      <c r="T68" s="39"/>
      <c r="U68" s="39"/>
      <c r="V68" s="37"/>
      <c r="W68" s="39"/>
      <c r="X68" s="39"/>
      <c r="Y68" s="37"/>
      <c r="Z68" s="39"/>
      <c r="AA68" s="39"/>
      <c r="AB68" s="37"/>
      <c r="AC68" s="39"/>
      <c r="AD68" s="39"/>
      <c r="AE68" s="37"/>
      <c r="AF68" s="39"/>
      <c r="AG68" s="39"/>
      <c r="AH68" s="37"/>
      <c r="AI68" s="39"/>
      <c r="AJ68" s="39"/>
      <c r="AK68" s="37"/>
      <c r="AL68" s="39"/>
      <c r="AM68" s="39"/>
      <c r="AN68" s="37"/>
      <c r="AO68" s="39"/>
      <c r="AP68" s="39"/>
      <c r="AQ68" s="37"/>
      <c r="AR68" s="39"/>
      <c r="AS68" s="39"/>
    </row>
    <row r="69" spans="1:45" x14ac:dyDescent="0.45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9"/>
      <c r="L69" s="39"/>
      <c r="M69" s="37"/>
      <c r="N69" s="39"/>
      <c r="O69" s="39"/>
      <c r="P69" s="37"/>
      <c r="Q69" s="39"/>
      <c r="R69" s="39"/>
      <c r="S69" s="37"/>
      <c r="T69" s="39"/>
      <c r="U69" s="39"/>
      <c r="V69" s="37"/>
      <c r="W69" s="39"/>
      <c r="X69" s="39"/>
      <c r="Y69" s="37"/>
      <c r="Z69" s="39"/>
      <c r="AA69" s="39"/>
      <c r="AB69" s="37"/>
      <c r="AC69" s="39"/>
      <c r="AD69" s="39"/>
      <c r="AE69" s="37"/>
      <c r="AF69" s="39"/>
      <c r="AG69" s="39"/>
      <c r="AH69" s="37"/>
      <c r="AI69" s="39"/>
      <c r="AJ69" s="39"/>
      <c r="AK69" s="37"/>
      <c r="AL69" s="39"/>
      <c r="AM69" s="39"/>
      <c r="AN69" s="37"/>
      <c r="AO69" s="39"/>
      <c r="AP69" s="39"/>
      <c r="AQ69" s="37"/>
      <c r="AR69" s="39"/>
      <c r="AS69" s="39"/>
    </row>
    <row r="70" spans="1:45" x14ac:dyDescent="0.45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9"/>
      <c r="L70" s="39"/>
      <c r="M70" s="37"/>
      <c r="N70" s="39"/>
      <c r="O70" s="39"/>
      <c r="P70" s="37"/>
      <c r="Q70" s="39"/>
      <c r="R70" s="39"/>
      <c r="S70" s="37"/>
      <c r="T70" s="39"/>
      <c r="U70" s="39"/>
      <c r="V70" s="37"/>
      <c r="W70" s="39"/>
      <c r="X70" s="39"/>
      <c r="Y70" s="37"/>
      <c r="Z70" s="39"/>
      <c r="AA70" s="39"/>
      <c r="AB70" s="37"/>
      <c r="AC70" s="39"/>
      <c r="AD70" s="39"/>
      <c r="AE70" s="37"/>
      <c r="AF70" s="39"/>
      <c r="AG70" s="39"/>
      <c r="AH70" s="37"/>
      <c r="AI70" s="39"/>
      <c r="AJ70" s="39"/>
      <c r="AK70" s="37"/>
      <c r="AL70" s="39"/>
      <c r="AM70" s="39"/>
      <c r="AN70" s="37"/>
      <c r="AO70" s="39"/>
      <c r="AP70" s="39"/>
      <c r="AQ70" s="37"/>
      <c r="AR70" s="39"/>
      <c r="AS70" s="39"/>
    </row>
    <row r="71" spans="1:45" x14ac:dyDescent="0.45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9"/>
      <c r="L71" s="39"/>
      <c r="M71" s="37"/>
      <c r="N71" s="39"/>
      <c r="O71" s="39"/>
      <c r="P71" s="37"/>
      <c r="Q71" s="39"/>
      <c r="R71" s="39"/>
      <c r="S71" s="37"/>
      <c r="T71" s="39"/>
      <c r="U71" s="39"/>
      <c r="V71" s="37"/>
      <c r="W71" s="39"/>
      <c r="X71" s="39"/>
      <c r="Y71" s="37"/>
      <c r="Z71" s="39"/>
      <c r="AA71" s="39"/>
      <c r="AB71" s="37"/>
      <c r="AC71" s="39"/>
      <c r="AD71" s="39"/>
      <c r="AE71" s="37"/>
      <c r="AF71" s="39"/>
      <c r="AG71" s="39"/>
      <c r="AH71" s="37"/>
      <c r="AI71" s="39"/>
      <c r="AJ71" s="39"/>
      <c r="AK71" s="37"/>
      <c r="AL71" s="39"/>
      <c r="AM71" s="39"/>
      <c r="AN71" s="37"/>
      <c r="AO71" s="39"/>
      <c r="AP71" s="39"/>
      <c r="AQ71" s="37"/>
      <c r="AR71" s="39"/>
      <c r="AS71" s="39"/>
    </row>
    <row r="72" spans="1:45" x14ac:dyDescent="0.45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9"/>
      <c r="L72" s="39"/>
      <c r="M72" s="37"/>
      <c r="N72" s="39"/>
      <c r="O72" s="39"/>
      <c r="P72" s="37"/>
      <c r="Q72" s="39"/>
      <c r="R72" s="39"/>
      <c r="S72" s="37"/>
      <c r="T72" s="39"/>
      <c r="U72" s="39"/>
      <c r="V72" s="37"/>
      <c r="W72" s="39"/>
      <c r="X72" s="39"/>
      <c r="Y72" s="37"/>
      <c r="Z72" s="39"/>
      <c r="AA72" s="39"/>
      <c r="AB72" s="37"/>
      <c r="AC72" s="39"/>
      <c r="AD72" s="39"/>
      <c r="AE72" s="37"/>
      <c r="AF72" s="39"/>
      <c r="AG72" s="39"/>
      <c r="AH72" s="37"/>
      <c r="AI72" s="39"/>
      <c r="AJ72" s="39"/>
      <c r="AK72" s="37"/>
      <c r="AL72" s="39"/>
      <c r="AM72" s="39"/>
      <c r="AN72" s="37"/>
      <c r="AO72" s="39"/>
      <c r="AP72" s="39"/>
      <c r="AQ72" s="37"/>
      <c r="AR72" s="39"/>
      <c r="AS72" s="39"/>
    </row>
    <row r="73" spans="1:45" x14ac:dyDescent="0.45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9"/>
      <c r="L73" s="39"/>
      <c r="M73" s="37"/>
      <c r="N73" s="39"/>
      <c r="O73" s="39"/>
      <c r="P73" s="37"/>
      <c r="Q73" s="39"/>
      <c r="R73" s="39"/>
      <c r="S73" s="37"/>
      <c r="T73" s="39"/>
      <c r="U73" s="39"/>
      <c r="V73" s="37"/>
      <c r="W73" s="39"/>
      <c r="X73" s="39"/>
      <c r="Y73" s="37"/>
      <c r="Z73" s="39"/>
      <c r="AA73" s="39"/>
      <c r="AB73" s="37"/>
      <c r="AC73" s="39"/>
      <c r="AD73" s="39"/>
      <c r="AE73" s="37"/>
      <c r="AF73" s="39"/>
      <c r="AG73" s="39"/>
      <c r="AH73" s="37"/>
      <c r="AI73" s="39"/>
      <c r="AJ73" s="39"/>
      <c r="AK73" s="37"/>
      <c r="AL73" s="39"/>
      <c r="AM73" s="39"/>
      <c r="AN73" s="37"/>
      <c r="AO73" s="39"/>
      <c r="AP73" s="39"/>
      <c r="AQ73" s="37"/>
      <c r="AR73" s="39"/>
      <c r="AS73" s="39"/>
    </row>
    <row r="74" spans="1:45" x14ac:dyDescent="0.45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9"/>
      <c r="L74" s="39"/>
      <c r="M74" s="37"/>
      <c r="N74" s="39"/>
      <c r="O74" s="39"/>
      <c r="P74" s="37"/>
      <c r="Q74" s="39"/>
      <c r="R74" s="39"/>
      <c r="S74" s="37"/>
      <c r="T74" s="39"/>
      <c r="U74" s="39"/>
      <c r="V74" s="37"/>
      <c r="W74" s="39"/>
      <c r="X74" s="39"/>
      <c r="Y74" s="37"/>
      <c r="Z74" s="39"/>
      <c r="AA74" s="39"/>
      <c r="AB74" s="37"/>
      <c r="AC74" s="39"/>
      <c r="AD74" s="39"/>
      <c r="AE74" s="37"/>
      <c r="AF74" s="39"/>
      <c r="AG74" s="39"/>
      <c r="AH74" s="37"/>
      <c r="AI74" s="39"/>
      <c r="AJ74" s="39"/>
      <c r="AK74" s="37"/>
      <c r="AL74" s="39"/>
      <c r="AM74" s="39"/>
      <c r="AN74" s="37"/>
      <c r="AO74" s="39"/>
      <c r="AP74" s="39"/>
      <c r="AQ74" s="37"/>
      <c r="AR74" s="39"/>
      <c r="AS74" s="39"/>
    </row>
    <row r="75" spans="1:45" x14ac:dyDescent="0.45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9"/>
      <c r="L75" s="39"/>
      <c r="M75" s="37"/>
      <c r="N75" s="39"/>
      <c r="O75" s="39"/>
      <c r="P75" s="37"/>
      <c r="Q75" s="39"/>
      <c r="R75" s="39"/>
      <c r="S75" s="37"/>
      <c r="T75" s="39"/>
      <c r="U75" s="39"/>
      <c r="V75" s="37"/>
      <c r="W75" s="39"/>
      <c r="X75" s="39"/>
      <c r="Y75" s="37"/>
      <c r="Z75" s="39"/>
      <c r="AA75" s="39"/>
      <c r="AB75" s="37"/>
      <c r="AC75" s="39"/>
      <c r="AD75" s="39"/>
      <c r="AE75" s="37"/>
      <c r="AF75" s="39"/>
      <c r="AG75" s="39"/>
      <c r="AH75" s="37"/>
      <c r="AI75" s="39"/>
      <c r="AJ75" s="39"/>
      <c r="AK75" s="37"/>
      <c r="AL75" s="39"/>
      <c r="AM75" s="39"/>
      <c r="AN75" s="37"/>
      <c r="AO75" s="39"/>
      <c r="AP75" s="39"/>
      <c r="AQ75" s="37"/>
      <c r="AR75" s="39"/>
      <c r="AS75" s="39"/>
    </row>
    <row r="76" spans="1:45" x14ac:dyDescent="0.45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9"/>
      <c r="L76" s="39"/>
      <c r="M76" s="37"/>
      <c r="N76" s="39"/>
      <c r="O76" s="39"/>
      <c r="P76" s="37"/>
      <c r="Q76" s="39"/>
      <c r="R76" s="39"/>
      <c r="S76" s="37"/>
      <c r="T76" s="39"/>
      <c r="U76" s="39"/>
      <c r="V76" s="37"/>
      <c r="W76" s="39"/>
      <c r="X76" s="39"/>
      <c r="Y76" s="37"/>
      <c r="Z76" s="39"/>
      <c r="AA76" s="39"/>
      <c r="AB76" s="37"/>
      <c r="AC76" s="39"/>
      <c r="AD76" s="39"/>
      <c r="AE76" s="37"/>
      <c r="AF76" s="39"/>
      <c r="AG76" s="39"/>
      <c r="AH76" s="37"/>
      <c r="AI76" s="39"/>
      <c r="AJ76" s="39"/>
      <c r="AK76" s="37"/>
      <c r="AL76" s="39"/>
      <c r="AM76" s="39"/>
      <c r="AN76" s="37"/>
      <c r="AO76" s="39"/>
      <c r="AP76" s="39"/>
      <c r="AQ76" s="37"/>
      <c r="AR76" s="39"/>
      <c r="AS76" s="39"/>
    </row>
    <row r="77" spans="1:45" x14ac:dyDescent="0.45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9"/>
      <c r="L77" s="39"/>
      <c r="M77" s="37"/>
      <c r="N77" s="39"/>
      <c r="O77" s="39"/>
      <c r="P77" s="37"/>
      <c r="Q77" s="39"/>
      <c r="R77" s="39"/>
      <c r="S77" s="37"/>
      <c r="T77" s="39"/>
      <c r="U77" s="39"/>
      <c r="V77" s="37"/>
      <c r="W77" s="39"/>
      <c r="X77" s="39"/>
      <c r="Y77" s="37"/>
      <c r="Z77" s="39"/>
      <c r="AA77" s="39"/>
      <c r="AB77" s="37"/>
      <c r="AC77" s="39"/>
      <c r="AD77" s="39"/>
      <c r="AE77" s="37"/>
      <c r="AF77" s="39"/>
      <c r="AG77" s="39"/>
      <c r="AH77" s="37"/>
      <c r="AI77" s="39"/>
      <c r="AJ77" s="39"/>
      <c r="AK77" s="37"/>
      <c r="AL77" s="39"/>
      <c r="AM77" s="39"/>
      <c r="AN77" s="37"/>
      <c r="AO77" s="39"/>
      <c r="AP77" s="39"/>
      <c r="AQ77" s="37"/>
      <c r="AR77" s="39"/>
      <c r="AS77" s="39"/>
    </row>
    <row r="78" spans="1:45" x14ac:dyDescent="0.45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9"/>
      <c r="L78" s="39"/>
      <c r="M78" s="37"/>
      <c r="N78" s="39"/>
      <c r="O78" s="39"/>
      <c r="P78" s="37"/>
      <c r="Q78" s="39"/>
      <c r="R78" s="39"/>
      <c r="S78" s="37"/>
      <c r="T78" s="39"/>
      <c r="U78" s="39"/>
      <c r="V78" s="37"/>
      <c r="W78" s="39"/>
      <c r="X78" s="39"/>
      <c r="Y78" s="37"/>
      <c r="Z78" s="39"/>
      <c r="AA78" s="39"/>
      <c r="AB78" s="37"/>
      <c r="AC78" s="39"/>
      <c r="AD78" s="39"/>
      <c r="AE78" s="37"/>
      <c r="AF78" s="39"/>
      <c r="AG78" s="39"/>
      <c r="AH78" s="37"/>
      <c r="AI78" s="39"/>
      <c r="AJ78" s="39"/>
      <c r="AK78" s="37"/>
      <c r="AL78" s="39"/>
      <c r="AM78" s="39"/>
      <c r="AN78" s="37"/>
      <c r="AO78" s="39"/>
      <c r="AP78" s="39"/>
      <c r="AQ78" s="37"/>
      <c r="AR78" s="39"/>
      <c r="AS78" s="39"/>
    </row>
    <row r="79" spans="1:45" x14ac:dyDescent="0.45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9"/>
      <c r="L79" s="39"/>
      <c r="M79" s="37"/>
      <c r="N79" s="39"/>
      <c r="O79" s="39"/>
      <c r="P79" s="37"/>
      <c r="Q79" s="39"/>
      <c r="R79" s="39"/>
      <c r="S79" s="37"/>
      <c r="T79" s="39"/>
      <c r="U79" s="39"/>
      <c r="V79" s="37"/>
      <c r="W79" s="39"/>
      <c r="X79" s="39"/>
      <c r="Y79" s="37"/>
      <c r="Z79" s="39"/>
      <c r="AA79" s="39"/>
      <c r="AB79" s="37"/>
      <c r="AC79" s="39"/>
      <c r="AD79" s="39"/>
      <c r="AE79" s="37"/>
      <c r="AF79" s="39"/>
      <c r="AG79" s="39"/>
      <c r="AH79" s="37"/>
      <c r="AI79" s="39"/>
      <c r="AJ79" s="39"/>
      <c r="AK79" s="37"/>
      <c r="AL79" s="39"/>
      <c r="AM79" s="39"/>
      <c r="AN79" s="37"/>
      <c r="AO79" s="39"/>
      <c r="AP79" s="39"/>
      <c r="AQ79" s="37"/>
      <c r="AR79" s="39"/>
      <c r="AS79" s="39"/>
    </row>
    <row r="80" spans="1:45" x14ac:dyDescent="0.45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9"/>
      <c r="L80" s="39"/>
      <c r="M80" s="37"/>
      <c r="N80" s="39"/>
      <c r="O80" s="39"/>
      <c r="P80" s="37"/>
      <c r="Q80" s="39"/>
      <c r="R80" s="39"/>
      <c r="S80" s="37"/>
      <c r="T80" s="39"/>
      <c r="U80" s="39"/>
      <c r="V80" s="37"/>
      <c r="W80" s="39"/>
      <c r="X80" s="39"/>
      <c r="Y80" s="37"/>
      <c r="Z80" s="39"/>
      <c r="AA80" s="39"/>
      <c r="AB80" s="37"/>
      <c r="AC80" s="39"/>
      <c r="AD80" s="39"/>
      <c r="AE80" s="37"/>
      <c r="AF80" s="39"/>
      <c r="AG80" s="39"/>
      <c r="AH80" s="37"/>
      <c r="AI80" s="39"/>
      <c r="AJ80" s="39"/>
      <c r="AK80" s="37"/>
      <c r="AL80" s="39"/>
      <c r="AM80" s="39"/>
      <c r="AN80" s="37"/>
      <c r="AO80" s="39"/>
      <c r="AP80" s="39"/>
      <c r="AQ80" s="37"/>
      <c r="AR80" s="39"/>
      <c r="AS80" s="39"/>
    </row>
    <row r="81" spans="1:45" x14ac:dyDescent="0.45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9"/>
      <c r="L81" s="39"/>
      <c r="M81" s="37"/>
      <c r="N81" s="39"/>
      <c r="O81" s="39"/>
      <c r="P81" s="37"/>
      <c r="Q81" s="39"/>
      <c r="R81" s="39"/>
      <c r="S81" s="37"/>
      <c r="T81" s="39"/>
      <c r="U81" s="39"/>
      <c r="V81" s="37"/>
      <c r="W81" s="39"/>
      <c r="X81" s="39"/>
      <c r="Y81" s="37"/>
      <c r="Z81" s="39"/>
      <c r="AA81" s="39"/>
      <c r="AB81" s="37"/>
      <c r="AC81" s="39"/>
      <c r="AD81" s="39"/>
      <c r="AE81" s="37"/>
      <c r="AF81" s="39"/>
      <c r="AG81" s="39"/>
      <c r="AH81" s="37"/>
      <c r="AI81" s="39"/>
      <c r="AJ81" s="39"/>
      <c r="AK81" s="37"/>
      <c r="AL81" s="39"/>
      <c r="AM81" s="39"/>
      <c r="AN81" s="37"/>
      <c r="AO81" s="39"/>
      <c r="AP81" s="39"/>
      <c r="AQ81" s="37"/>
      <c r="AR81" s="39"/>
      <c r="AS81" s="39"/>
    </row>
    <row r="82" spans="1:45" x14ac:dyDescent="0.45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9"/>
      <c r="L82" s="39"/>
      <c r="M82" s="37"/>
      <c r="N82" s="39"/>
      <c r="O82" s="39"/>
      <c r="P82" s="37"/>
      <c r="Q82" s="39"/>
      <c r="R82" s="39"/>
      <c r="S82" s="37"/>
      <c r="T82" s="39"/>
      <c r="U82" s="39"/>
      <c r="V82" s="37"/>
      <c r="W82" s="39"/>
      <c r="X82" s="39"/>
      <c r="Y82" s="37"/>
      <c r="Z82" s="39"/>
      <c r="AA82" s="39"/>
      <c r="AB82" s="37"/>
      <c r="AC82" s="39"/>
      <c r="AD82" s="39"/>
      <c r="AE82" s="37"/>
      <c r="AF82" s="39"/>
      <c r="AG82" s="39"/>
      <c r="AH82" s="37"/>
      <c r="AI82" s="39"/>
      <c r="AJ82" s="39"/>
      <c r="AK82" s="37"/>
      <c r="AL82" s="39"/>
      <c r="AM82" s="39"/>
      <c r="AN82" s="37"/>
      <c r="AO82" s="39"/>
      <c r="AP82" s="39"/>
      <c r="AQ82" s="37"/>
      <c r="AR82" s="39"/>
      <c r="AS82" s="39"/>
    </row>
    <row r="83" spans="1:45" x14ac:dyDescent="0.45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9"/>
      <c r="L83" s="39"/>
      <c r="M83" s="37"/>
      <c r="N83" s="39"/>
      <c r="O83" s="39"/>
      <c r="P83" s="37"/>
      <c r="Q83" s="39"/>
      <c r="R83" s="39"/>
      <c r="S83" s="37"/>
      <c r="T83" s="39"/>
      <c r="U83" s="39"/>
      <c r="V83" s="37"/>
      <c r="W83" s="39"/>
      <c r="X83" s="39"/>
      <c r="Y83" s="37"/>
      <c r="Z83" s="39"/>
      <c r="AA83" s="39"/>
      <c r="AB83" s="37"/>
      <c r="AC83" s="39"/>
      <c r="AD83" s="39"/>
      <c r="AE83" s="37"/>
      <c r="AF83" s="39"/>
      <c r="AG83" s="39"/>
      <c r="AH83" s="37"/>
      <c r="AI83" s="39"/>
      <c r="AJ83" s="39"/>
      <c r="AK83" s="37"/>
      <c r="AL83" s="39"/>
      <c r="AM83" s="39"/>
      <c r="AN83" s="37"/>
      <c r="AO83" s="39"/>
      <c r="AP83" s="39"/>
      <c r="AQ83" s="37"/>
      <c r="AR83" s="39"/>
      <c r="AS83" s="39"/>
    </row>
    <row r="84" spans="1:45" x14ac:dyDescent="0.45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9"/>
      <c r="L84" s="39"/>
      <c r="M84" s="37"/>
      <c r="N84" s="39"/>
      <c r="O84" s="39"/>
      <c r="P84" s="37"/>
      <c r="Q84" s="39"/>
      <c r="R84" s="39"/>
      <c r="S84" s="37"/>
      <c r="T84" s="39"/>
      <c r="U84" s="39"/>
      <c r="V84" s="37"/>
      <c r="W84" s="39"/>
      <c r="X84" s="39"/>
      <c r="Y84" s="37"/>
      <c r="Z84" s="39"/>
      <c r="AA84" s="39"/>
      <c r="AB84" s="37"/>
      <c r="AC84" s="39"/>
      <c r="AD84" s="39"/>
      <c r="AE84" s="37"/>
      <c r="AF84" s="39"/>
      <c r="AG84" s="39"/>
      <c r="AH84" s="37"/>
      <c r="AI84" s="39"/>
      <c r="AJ84" s="39"/>
      <c r="AK84" s="37"/>
      <c r="AL84" s="39"/>
      <c r="AM84" s="39"/>
      <c r="AN84" s="37"/>
      <c r="AO84" s="39"/>
      <c r="AP84" s="39"/>
      <c r="AQ84" s="37"/>
      <c r="AR84" s="39"/>
      <c r="AS84" s="39"/>
    </row>
    <row r="85" spans="1:45" x14ac:dyDescent="0.45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9"/>
      <c r="L85" s="39"/>
      <c r="M85" s="37"/>
      <c r="N85" s="39"/>
      <c r="O85" s="39"/>
      <c r="P85" s="37"/>
      <c r="Q85" s="39"/>
      <c r="R85" s="39"/>
      <c r="S85" s="37"/>
      <c r="T85" s="39"/>
      <c r="U85" s="39"/>
      <c r="V85" s="37"/>
      <c r="W85" s="39"/>
      <c r="X85" s="39"/>
      <c r="Y85" s="37"/>
      <c r="Z85" s="39"/>
      <c r="AA85" s="39"/>
      <c r="AB85" s="37"/>
      <c r="AC85" s="39"/>
      <c r="AD85" s="39"/>
      <c r="AE85" s="37"/>
      <c r="AF85" s="39"/>
      <c r="AG85" s="39"/>
      <c r="AH85" s="37"/>
      <c r="AI85" s="39"/>
      <c r="AJ85" s="39"/>
      <c r="AK85" s="37"/>
      <c r="AL85" s="39"/>
      <c r="AM85" s="39"/>
      <c r="AN85" s="37"/>
      <c r="AO85" s="39"/>
      <c r="AP85" s="39"/>
      <c r="AQ85" s="37"/>
      <c r="AR85" s="39"/>
      <c r="AS85" s="39"/>
    </row>
    <row r="86" spans="1:45" x14ac:dyDescent="0.45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9"/>
      <c r="L86" s="39"/>
      <c r="M86" s="37"/>
      <c r="N86" s="39"/>
      <c r="O86" s="39"/>
      <c r="P86" s="37"/>
      <c r="Q86" s="39"/>
      <c r="R86" s="39"/>
      <c r="S86" s="37"/>
      <c r="T86" s="39"/>
      <c r="U86" s="39"/>
      <c r="V86" s="37"/>
      <c r="W86" s="39"/>
      <c r="X86" s="39"/>
      <c r="Y86" s="37"/>
      <c r="Z86" s="39"/>
      <c r="AA86" s="39"/>
      <c r="AB86" s="37"/>
      <c r="AC86" s="39"/>
      <c r="AD86" s="39"/>
      <c r="AE86" s="37"/>
      <c r="AF86" s="39"/>
      <c r="AG86" s="39"/>
      <c r="AH86" s="37"/>
      <c r="AI86" s="39"/>
      <c r="AJ86" s="39"/>
      <c r="AK86" s="37"/>
      <c r="AL86" s="39"/>
      <c r="AM86" s="39"/>
      <c r="AN86" s="37"/>
      <c r="AO86" s="39"/>
      <c r="AP86" s="39"/>
      <c r="AQ86" s="37"/>
      <c r="AR86" s="39"/>
      <c r="AS86" s="39"/>
    </row>
    <row r="87" spans="1:45" x14ac:dyDescent="0.45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9"/>
      <c r="L87" s="39"/>
      <c r="M87" s="37"/>
      <c r="N87" s="39"/>
      <c r="O87" s="39"/>
      <c r="P87" s="37"/>
      <c r="Q87" s="39"/>
      <c r="R87" s="39"/>
      <c r="S87" s="37"/>
      <c r="T87" s="39"/>
      <c r="U87" s="39"/>
      <c r="V87" s="37"/>
      <c r="W87" s="39"/>
      <c r="X87" s="39"/>
      <c r="Y87" s="37"/>
      <c r="Z87" s="39"/>
      <c r="AA87" s="39"/>
      <c r="AB87" s="37"/>
      <c r="AC87" s="39"/>
      <c r="AD87" s="39"/>
      <c r="AE87" s="37"/>
      <c r="AF87" s="39"/>
      <c r="AG87" s="39"/>
      <c r="AH87" s="37"/>
      <c r="AI87" s="39"/>
      <c r="AJ87" s="39"/>
      <c r="AK87" s="37"/>
      <c r="AL87" s="39"/>
      <c r="AM87" s="39"/>
      <c r="AN87" s="37"/>
      <c r="AO87" s="39"/>
      <c r="AP87" s="39"/>
      <c r="AQ87" s="37"/>
      <c r="AR87" s="39"/>
      <c r="AS87" s="39"/>
    </row>
    <row r="88" spans="1:45" x14ac:dyDescent="0.45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9"/>
      <c r="L88" s="39"/>
      <c r="M88" s="37"/>
      <c r="N88" s="39"/>
      <c r="O88" s="39"/>
      <c r="P88" s="37"/>
      <c r="Q88" s="39"/>
      <c r="R88" s="39"/>
      <c r="S88" s="37"/>
      <c r="T88" s="39"/>
      <c r="U88" s="39"/>
      <c r="V88" s="37"/>
      <c r="W88" s="39"/>
      <c r="X88" s="39"/>
      <c r="Y88" s="37"/>
      <c r="Z88" s="39"/>
      <c r="AA88" s="39"/>
      <c r="AB88" s="37"/>
      <c r="AC88" s="39"/>
      <c r="AD88" s="39"/>
      <c r="AE88" s="37"/>
      <c r="AF88" s="39"/>
      <c r="AG88" s="39"/>
      <c r="AH88" s="37"/>
      <c r="AI88" s="39"/>
      <c r="AJ88" s="39"/>
      <c r="AK88" s="37"/>
      <c r="AL88" s="39"/>
      <c r="AM88" s="39"/>
      <c r="AN88" s="37"/>
      <c r="AO88" s="39"/>
      <c r="AP88" s="39"/>
      <c r="AQ88" s="37"/>
      <c r="AR88" s="39"/>
      <c r="AS88" s="39"/>
    </row>
    <row r="89" spans="1:45" x14ac:dyDescent="0.45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9"/>
      <c r="L89" s="39"/>
      <c r="M89" s="37"/>
      <c r="N89" s="39"/>
      <c r="O89" s="39"/>
      <c r="P89" s="37"/>
      <c r="Q89" s="39"/>
      <c r="R89" s="39"/>
      <c r="S89" s="37"/>
      <c r="T89" s="39"/>
      <c r="U89" s="39"/>
      <c r="V89" s="37"/>
      <c r="W89" s="39"/>
      <c r="X89" s="39"/>
      <c r="Y89" s="37"/>
      <c r="Z89" s="39"/>
      <c r="AA89" s="39"/>
      <c r="AB89" s="37"/>
      <c r="AC89" s="39"/>
      <c r="AD89" s="39"/>
      <c r="AE89" s="37"/>
      <c r="AF89" s="39"/>
      <c r="AG89" s="39"/>
      <c r="AH89" s="37"/>
      <c r="AI89" s="39"/>
      <c r="AJ89" s="39"/>
      <c r="AK89" s="37"/>
      <c r="AL89" s="39"/>
      <c r="AM89" s="39"/>
      <c r="AN89" s="37"/>
      <c r="AO89" s="39"/>
      <c r="AP89" s="39"/>
      <c r="AQ89" s="37"/>
      <c r="AR89" s="39"/>
      <c r="AS89" s="39"/>
    </row>
    <row r="90" spans="1:45" x14ac:dyDescent="0.45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9"/>
      <c r="L90" s="39"/>
      <c r="M90" s="37"/>
      <c r="N90" s="39"/>
      <c r="O90" s="39"/>
      <c r="P90" s="37"/>
      <c r="Q90" s="39"/>
      <c r="R90" s="39"/>
      <c r="S90" s="37"/>
      <c r="T90" s="39"/>
      <c r="U90" s="39"/>
      <c r="V90" s="37"/>
      <c r="W90" s="39"/>
      <c r="X90" s="39"/>
      <c r="Y90" s="37"/>
      <c r="Z90" s="39"/>
      <c r="AA90" s="39"/>
      <c r="AB90" s="37"/>
      <c r="AC90" s="39"/>
      <c r="AD90" s="39"/>
      <c r="AE90" s="37"/>
      <c r="AF90" s="39"/>
      <c r="AG90" s="39"/>
      <c r="AH90" s="37"/>
      <c r="AI90" s="39"/>
      <c r="AJ90" s="39"/>
      <c r="AK90" s="37"/>
      <c r="AL90" s="39"/>
      <c r="AM90" s="39"/>
      <c r="AN90" s="37"/>
      <c r="AO90" s="39"/>
      <c r="AP90" s="39"/>
      <c r="AQ90" s="37"/>
      <c r="AR90" s="39"/>
      <c r="AS90" s="39"/>
    </row>
    <row r="91" spans="1:45" x14ac:dyDescent="0.45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9"/>
      <c r="L91" s="39"/>
      <c r="M91" s="37"/>
      <c r="N91" s="39"/>
      <c r="O91" s="39"/>
      <c r="P91" s="37"/>
      <c r="Q91" s="39"/>
      <c r="R91" s="39"/>
      <c r="S91" s="37"/>
      <c r="T91" s="39"/>
      <c r="U91" s="39"/>
      <c r="V91" s="37"/>
      <c r="W91" s="39"/>
      <c r="X91" s="39"/>
      <c r="Y91" s="37"/>
      <c r="Z91" s="39"/>
      <c r="AA91" s="39"/>
      <c r="AB91" s="37"/>
      <c r="AC91" s="39"/>
      <c r="AD91" s="39"/>
      <c r="AE91" s="37"/>
      <c r="AF91" s="39"/>
      <c r="AG91" s="39"/>
      <c r="AH91" s="37"/>
      <c r="AI91" s="39"/>
      <c r="AJ91" s="39"/>
      <c r="AK91" s="37"/>
      <c r="AL91" s="39"/>
      <c r="AM91" s="39"/>
      <c r="AN91" s="37"/>
      <c r="AO91" s="39"/>
      <c r="AP91" s="39"/>
      <c r="AQ91" s="37"/>
      <c r="AR91" s="39"/>
      <c r="AS91" s="39"/>
    </row>
    <row r="92" spans="1:45" x14ac:dyDescent="0.45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9"/>
      <c r="L92" s="39"/>
      <c r="M92" s="37"/>
      <c r="N92" s="39"/>
      <c r="O92" s="39"/>
      <c r="P92" s="37"/>
      <c r="Q92" s="39"/>
      <c r="R92" s="39"/>
      <c r="S92" s="37"/>
      <c r="T92" s="39"/>
      <c r="U92" s="39"/>
      <c r="V92" s="37"/>
      <c r="W92" s="39"/>
      <c r="X92" s="39"/>
      <c r="Y92" s="37"/>
      <c r="Z92" s="39"/>
      <c r="AA92" s="39"/>
      <c r="AB92" s="37"/>
      <c r="AC92" s="39"/>
      <c r="AD92" s="39"/>
      <c r="AE92" s="37"/>
      <c r="AF92" s="39"/>
      <c r="AG92" s="39"/>
      <c r="AH92" s="37"/>
      <c r="AI92" s="39"/>
      <c r="AJ92" s="39"/>
      <c r="AK92" s="37"/>
      <c r="AL92" s="39"/>
      <c r="AM92" s="39"/>
      <c r="AN92" s="37"/>
      <c r="AO92" s="39"/>
      <c r="AP92" s="39"/>
      <c r="AQ92" s="37"/>
      <c r="AR92" s="39"/>
      <c r="AS92" s="39"/>
    </row>
    <row r="93" spans="1:45" x14ac:dyDescent="0.45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9"/>
      <c r="L93" s="39"/>
      <c r="M93" s="37"/>
      <c r="N93" s="39"/>
      <c r="O93" s="39"/>
      <c r="P93" s="37"/>
      <c r="Q93" s="39"/>
      <c r="R93" s="39"/>
      <c r="S93" s="37"/>
      <c r="T93" s="39"/>
      <c r="U93" s="39"/>
      <c r="V93" s="37"/>
      <c r="W93" s="39"/>
      <c r="X93" s="39"/>
      <c r="Y93" s="37"/>
      <c r="Z93" s="39"/>
      <c r="AA93" s="39"/>
      <c r="AB93" s="37"/>
      <c r="AC93" s="39"/>
      <c r="AD93" s="39"/>
      <c r="AE93" s="37"/>
      <c r="AF93" s="39"/>
      <c r="AG93" s="39"/>
      <c r="AH93" s="37"/>
      <c r="AI93" s="39"/>
      <c r="AJ93" s="39"/>
      <c r="AK93" s="37"/>
      <c r="AL93" s="39"/>
      <c r="AM93" s="39"/>
      <c r="AN93" s="37"/>
      <c r="AO93" s="39"/>
      <c r="AP93" s="39"/>
      <c r="AQ93" s="37"/>
      <c r="AR93" s="39"/>
      <c r="AS93" s="39"/>
    </row>
    <row r="94" spans="1:45" x14ac:dyDescent="0.45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9"/>
      <c r="L94" s="39"/>
      <c r="M94" s="37"/>
      <c r="N94" s="39"/>
      <c r="O94" s="39"/>
      <c r="P94" s="37"/>
      <c r="Q94" s="39"/>
      <c r="R94" s="39"/>
      <c r="S94" s="37"/>
      <c r="T94" s="39"/>
      <c r="U94" s="39"/>
      <c r="V94" s="37"/>
      <c r="W94" s="39"/>
      <c r="X94" s="39"/>
      <c r="Y94" s="37"/>
      <c r="Z94" s="39"/>
      <c r="AA94" s="39"/>
      <c r="AB94" s="37"/>
      <c r="AC94" s="39"/>
      <c r="AD94" s="39"/>
      <c r="AE94" s="37"/>
      <c r="AF94" s="39"/>
      <c r="AG94" s="39"/>
      <c r="AH94" s="37"/>
      <c r="AI94" s="39"/>
      <c r="AJ94" s="39"/>
      <c r="AK94" s="37"/>
      <c r="AL94" s="39"/>
      <c r="AM94" s="39"/>
      <c r="AN94" s="37"/>
      <c r="AO94" s="39"/>
      <c r="AP94" s="39"/>
      <c r="AQ94" s="37"/>
      <c r="AR94" s="39"/>
      <c r="AS94" s="39"/>
    </row>
    <row r="95" spans="1:45" x14ac:dyDescent="0.45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9"/>
      <c r="L95" s="39"/>
      <c r="M95" s="37"/>
      <c r="N95" s="39"/>
      <c r="O95" s="39"/>
      <c r="P95" s="37"/>
      <c r="Q95" s="39"/>
      <c r="R95" s="39"/>
      <c r="S95" s="37"/>
      <c r="T95" s="39"/>
      <c r="U95" s="39"/>
      <c r="V95" s="37"/>
      <c r="W95" s="39"/>
      <c r="X95" s="39"/>
      <c r="Y95" s="37"/>
      <c r="Z95" s="39"/>
      <c r="AA95" s="39"/>
      <c r="AB95" s="37"/>
      <c r="AC95" s="39"/>
      <c r="AD95" s="39"/>
      <c r="AE95" s="37"/>
      <c r="AF95" s="39"/>
      <c r="AG95" s="39"/>
      <c r="AH95" s="37"/>
      <c r="AI95" s="39"/>
      <c r="AJ95" s="39"/>
      <c r="AK95" s="37"/>
      <c r="AL95" s="39"/>
      <c r="AM95" s="39"/>
      <c r="AN95" s="37"/>
      <c r="AO95" s="39"/>
      <c r="AP95" s="39"/>
      <c r="AQ95" s="37"/>
      <c r="AR95" s="39"/>
      <c r="AS95" s="39"/>
    </row>
    <row r="96" spans="1:45" x14ac:dyDescent="0.45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9"/>
      <c r="L96" s="39"/>
      <c r="M96" s="37"/>
      <c r="N96" s="39"/>
      <c r="O96" s="39"/>
      <c r="P96" s="37"/>
      <c r="Q96" s="39"/>
      <c r="R96" s="39"/>
      <c r="S96" s="37"/>
      <c r="T96" s="39"/>
      <c r="U96" s="39"/>
      <c r="V96" s="37"/>
      <c r="W96" s="39"/>
      <c r="X96" s="39"/>
      <c r="Y96" s="37"/>
      <c r="Z96" s="39"/>
      <c r="AA96" s="39"/>
      <c r="AB96" s="37"/>
      <c r="AC96" s="39"/>
      <c r="AD96" s="39"/>
      <c r="AE96" s="37"/>
      <c r="AF96" s="39"/>
      <c r="AG96" s="39"/>
      <c r="AH96" s="37"/>
      <c r="AI96" s="39"/>
      <c r="AJ96" s="39"/>
      <c r="AK96" s="37"/>
      <c r="AL96" s="39"/>
      <c r="AM96" s="39"/>
      <c r="AN96" s="37"/>
      <c r="AO96" s="39"/>
      <c r="AP96" s="39"/>
      <c r="AQ96" s="37"/>
      <c r="AR96" s="39"/>
      <c r="AS96" s="39"/>
    </row>
    <row r="97" spans="1:45" x14ac:dyDescent="0.45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9"/>
      <c r="L97" s="39"/>
      <c r="M97" s="37"/>
      <c r="N97" s="39"/>
      <c r="O97" s="39"/>
      <c r="P97" s="37"/>
      <c r="Q97" s="39"/>
      <c r="R97" s="39"/>
      <c r="S97" s="37"/>
      <c r="T97" s="39"/>
      <c r="U97" s="39"/>
      <c r="V97" s="37"/>
      <c r="W97" s="39"/>
      <c r="X97" s="39"/>
      <c r="Y97" s="37"/>
      <c r="Z97" s="39"/>
      <c r="AA97" s="39"/>
      <c r="AB97" s="37"/>
      <c r="AC97" s="39"/>
      <c r="AD97" s="39"/>
      <c r="AE97" s="37"/>
      <c r="AF97" s="39"/>
      <c r="AG97" s="39"/>
      <c r="AH97" s="37"/>
      <c r="AI97" s="39"/>
      <c r="AJ97" s="39"/>
      <c r="AK97" s="37"/>
      <c r="AL97" s="39"/>
      <c r="AM97" s="39"/>
      <c r="AN97" s="37"/>
      <c r="AO97" s="39"/>
      <c r="AP97" s="39"/>
      <c r="AQ97" s="37"/>
      <c r="AR97" s="39"/>
      <c r="AS97" s="39"/>
    </row>
    <row r="98" spans="1:45" x14ac:dyDescent="0.45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9"/>
      <c r="L98" s="39"/>
      <c r="M98" s="37"/>
      <c r="N98" s="39"/>
      <c r="O98" s="39"/>
      <c r="P98" s="37"/>
      <c r="Q98" s="39"/>
      <c r="R98" s="39"/>
      <c r="S98" s="37"/>
      <c r="T98" s="39"/>
      <c r="U98" s="39"/>
      <c r="V98" s="37"/>
      <c r="W98" s="39"/>
      <c r="X98" s="39"/>
      <c r="Y98" s="37"/>
      <c r="Z98" s="39"/>
      <c r="AA98" s="39"/>
      <c r="AB98" s="37"/>
      <c r="AC98" s="39"/>
      <c r="AD98" s="39"/>
      <c r="AE98" s="37"/>
      <c r="AF98" s="39"/>
      <c r="AG98" s="39"/>
      <c r="AH98" s="37"/>
      <c r="AI98" s="39"/>
      <c r="AJ98" s="39"/>
      <c r="AK98" s="37"/>
      <c r="AL98" s="39"/>
      <c r="AM98" s="39"/>
      <c r="AN98" s="37"/>
      <c r="AO98" s="39"/>
      <c r="AP98" s="39"/>
      <c r="AQ98" s="37"/>
      <c r="AR98" s="39"/>
      <c r="AS98" s="39"/>
    </row>
    <row r="99" spans="1:45" x14ac:dyDescent="0.45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9"/>
      <c r="L99" s="39"/>
      <c r="M99" s="37"/>
      <c r="N99" s="39"/>
      <c r="O99" s="39"/>
      <c r="P99" s="37"/>
      <c r="Q99" s="39"/>
      <c r="R99" s="39"/>
      <c r="S99" s="37"/>
      <c r="T99" s="39"/>
      <c r="U99" s="39"/>
      <c r="V99" s="37"/>
      <c r="W99" s="39"/>
      <c r="X99" s="39"/>
      <c r="Y99" s="37"/>
      <c r="Z99" s="39"/>
      <c r="AA99" s="39"/>
      <c r="AB99" s="37"/>
      <c r="AC99" s="39"/>
      <c r="AD99" s="39"/>
      <c r="AE99" s="37"/>
      <c r="AF99" s="39"/>
      <c r="AG99" s="39"/>
      <c r="AH99" s="37"/>
      <c r="AI99" s="39"/>
      <c r="AJ99" s="39"/>
      <c r="AK99" s="37"/>
      <c r="AL99" s="39"/>
      <c r="AM99" s="39"/>
      <c r="AN99" s="37"/>
      <c r="AO99" s="39"/>
      <c r="AP99" s="39"/>
      <c r="AQ99" s="37"/>
      <c r="AR99" s="39"/>
      <c r="AS99" s="39"/>
    </row>
    <row r="100" spans="1:45" x14ac:dyDescent="0.45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9"/>
      <c r="L100" s="39"/>
      <c r="M100" s="37"/>
      <c r="N100" s="39"/>
      <c r="O100" s="39"/>
      <c r="P100" s="37"/>
      <c r="Q100" s="39"/>
      <c r="R100" s="39"/>
      <c r="S100" s="37"/>
      <c r="T100" s="39"/>
      <c r="U100" s="39"/>
      <c r="V100" s="37"/>
      <c r="W100" s="39"/>
      <c r="X100" s="39"/>
      <c r="Y100" s="37"/>
      <c r="Z100" s="39"/>
      <c r="AA100" s="39"/>
      <c r="AB100" s="37"/>
      <c r="AC100" s="39"/>
      <c r="AD100" s="39"/>
      <c r="AE100" s="37"/>
      <c r="AF100" s="39"/>
      <c r="AG100" s="39"/>
      <c r="AH100" s="37"/>
      <c r="AI100" s="39"/>
      <c r="AJ100" s="39"/>
      <c r="AK100" s="37"/>
      <c r="AL100" s="39"/>
      <c r="AM100" s="39"/>
      <c r="AN100" s="37"/>
      <c r="AO100" s="39"/>
      <c r="AP100" s="39"/>
      <c r="AQ100" s="37"/>
      <c r="AR100" s="39"/>
      <c r="AS100" s="39"/>
    </row>
    <row r="101" spans="1:45" x14ac:dyDescent="0.45">
      <c r="A101" s="37"/>
      <c r="B101" s="37"/>
      <c r="C101" s="37"/>
      <c r="D101" s="37"/>
      <c r="E101" s="37"/>
      <c r="F101" s="37"/>
      <c r="G101" s="37"/>
      <c r="H101" s="37"/>
      <c r="I101" s="37"/>
      <c r="J101" s="37"/>
      <c r="K101" s="39"/>
      <c r="L101" s="39"/>
      <c r="M101" s="37"/>
      <c r="N101" s="39"/>
      <c r="O101" s="39"/>
      <c r="P101" s="37"/>
      <c r="Q101" s="39"/>
      <c r="R101" s="39"/>
      <c r="S101" s="37"/>
      <c r="T101" s="39"/>
      <c r="U101" s="39"/>
      <c r="V101" s="37"/>
      <c r="W101" s="39"/>
      <c r="X101" s="39"/>
      <c r="Y101" s="37"/>
      <c r="Z101" s="39"/>
      <c r="AA101" s="39"/>
      <c r="AB101" s="37"/>
      <c r="AC101" s="39"/>
      <c r="AD101" s="39"/>
      <c r="AE101" s="37"/>
      <c r="AF101" s="39"/>
      <c r="AG101" s="39"/>
      <c r="AH101" s="37"/>
      <c r="AI101" s="39"/>
      <c r="AJ101" s="39"/>
      <c r="AK101" s="37"/>
      <c r="AL101" s="39"/>
      <c r="AM101" s="39"/>
      <c r="AN101" s="37"/>
      <c r="AO101" s="39"/>
      <c r="AP101" s="39"/>
      <c r="AQ101" s="37"/>
      <c r="AR101" s="39"/>
      <c r="AS101" s="39"/>
    </row>
    <row r="102" spans="1:45" x14ac:dyDescent="0.45">
      <c r="A102" s="37"/>
      <c r="B102" s="37"/>
      <c r="C102" s="37"/>
      <c r="D102" s="37"/>
      <c r="E102" s="37"/>
      <c r="F102" s="37"/>
      <c r="G102" s="37"/>
      <c r="H102" s="37"/>
      <c r="I102" s="37"/>
      <c r="J102" s="37"/>
      <c r="K102" s="39"/>
      <c r="L102" s="39"/>
      <c r="M102" s="37"/>
      <c r="N102" s="39"/>
      <c r="O102" s="39"/>
      <c r="P102" s="37"/>
      <c r="Q102" s="39"/>
      <c r="R102" s="39"/>
      <c r="S102" s="37"/>
      <c r="T102" s="39"/>
      <c r="U102" s="39"/>
      <c r="V102" s="37"/>
      <c r="W102" s="39"/>
      <c r="X102" s="39"/>
      <c r="Y102" s="37"/>
      <c r="Z102" s="39"/>
      <c r="AA102" s="39"/>
      <c r="AB102" s="37"/>
      <c r="AC102" s="39"/>
      <c r="AD102" s="39"/>
      <c r="AE102" s="37"/>
      <c r="AF102" s="39"/>
      <c r="AG102" s="39"/>
      <c r="AH102" s="37"/>
      <c r="AI102" s="39"/>
      <c r="AJ102" s="39"/>
      <c r="AK102" s="37"/>
      <c r="AL102" s="39"/>
      <c r="AM102" s="39"/>
      <c r="AN102" s="37"/>
      <c r="AO102" s="39"/>
      <c r="AP102" s="39"/>
      <c r="AQ102" s="37"/>
      <c r="AR102" s="39"/>
      <c r="AS102" s="39"/>
    </row>
    <row r="103" spans="1:45" x14ac:dyDescent="0.45">
      <c r="A103" s="37"/>
      <c r="B103" s="37"/>
      <c r="C103" s="37"/>
      <c r="D103" s="37"/>
      <c r="E103" s="37"/>
      <c r="F103" s="37"/>
      <c r="G103" s="37"/>
      <c r="H103" s="37"/>
      <c r="I103" s="37"/>
      <c r="J103" s="37"/>
      <c r="K103" s="39"/>
      <c r="L103" s="39"/>
      <c r="M103" s="37"/>
      <c r="N103" s="39"/>
      <c r="O103" s="39"/>
      <c r="P103" s="37"/>
      <c r="Q103" s="39"/>
      <c r="R103" s="39"/>
      <c r="S103" s="37"/>
      <c r="T103" s="39"/>
      <c r="U103" s="39"/>
      <c r="V103" s="37"/>
      <c r="W103" s="39"/>
      <c r="X103" s="39"/>
      <c r="Y103" s="37"/>
      <c r="Z103" s="39"/>
      <c r="AA103" s="39"/>
      <c r="AB103" s="37"/>
      <c r="AC103" s="39"/>
      <c r="AD103" s="39"/>
      <c r="AE103" s="37"/>
      <c r="AF103" s="39"/>
      <c r="AG103" s="39"/>
      <c r="AH103" s="37"/>
      <c r="AI103" s="39"/>
      <c r="AJ103" s="39"/>
      <c r="AK103" s="37"/>
      <c r="AL103" s="39"/>
      <c r="AM103" s="39"/>
      <c r="AN103" s="37"/>
      <c r="AO103" s="39"/>
      <c r="AP103" s="39"/>
      <c r="AQ103" s="37"/>
      <c r="AR103" s="39"/>
      <c r="AS103" s="39"/>
    </row>
    <row r="104" spans="1:45" x14ac:dyDescent="0.45">
      <c r="A104" s="37"/>
      <c r="B104" s="37"/>
      <c r="C104" s="37"/>
      <c r="D104" s="37"/>
      <c r="E104" s="37"/>
      <c r="F104" s="37"/>
      <c r="G104" s="37"/>
      <c r="H104" s="37"/>
      <c r="I104" s="37"/>
      <c r="J104" s="37"/>
      <c r="K104" s="39"/>
      <c r="L104" s="39"/>
      <c r="M104" s="37"/>
      <c r="N104" s="39"/>
      <c r="O104" s="39"/>
      <c r="P104" s="37"/>
      <c r="Q104" s="39"/>
      <c r="R104" s="39"/>
      <c r="S104" s="37"/>
      <c r="T104" s="39"/>
      <c r="U104" s="39"/>
      <c r="V104" s="37"/>
      <c r="W104" s="39"/>
      <c r="X104" s="39"/>
      <c r="Y104" s="37"/>
      <c r="Z104" s="39"/>
      <c r="AA104" s="39"/>
      <c r="AB104" s="37"/>
      <c r="AC104" s="39"/>
      <c r="AD104" s="39"/>
      <c r="AE104" s="37"/>
      <c r="AF104" s="39"/>
      <c r="AG104" s="39"/>
      <c r="AH104" s="37"/>
      <c r="AI104" s="39"/>
      <c r="AJ104" s="39"/>
      <c r="AK104" s="37"/>
      <c r="AL104" s="39"/>
      <c r="AM104" s="39"/>
      <c r="AN104" s="37"/>
      <c r="AO104" s="39"/>
      <c r="AP104" s="39"/>
      <c r="AQ104" s="37"/>
      <c r="AR104" s="39"/>
      <c r="AS104" s="39"/>
    </row>
    <row r="105" spans="1:45" x14ac:dyDescent="0.45">
      <c r="A105" s="37"/>
      <c r="B105" s="37"/>
      <c r="C105" s="37"/>
      <c r="D105" s="37"/>
      <c r="E105" s="37"/>
      <c r="F105" s="37"/>
      <c r="G105" s="37"/>
      <c r="H105" s="37"/>
      <c r="I105" s="37"/>
      <c r="J105" s="37"/>
      <c r="K105" s="39"/>
      <c r="L105" s="39"/>
      <c r="M105" s="37"/>
      <c r="N105" s="39"/>
      <c r="O105" s="39"/>
      <c r="P105" s="37"/>
      <c r="Q105" s="39"/>
      <c r="R105" s="39"/>
      <c r="S105" s="37"/>
      <c r="T105" s="39"/>
      <c r="U105" s="39"/>
      <c r="V105" s="37"/>
      <c r="W105" s="39"/>
      <c r="X105" s="39"/>
      <c r="Y105" s="37"/>
      <c r="Z105" s="39"/>
      <c r="AA105" s="39"/>
      <c r="AB105" s="37"/>
      <c r="AC105" s="39"/>
      <c r="AD105" s="39"/>
      <c r="AE105" s="37"/>
      <c r="AF105" s="39"/>
      <c r="AG105" s="39"/>
      <c r="AH105" s="37"/>
      <c r="AI105" s="39"/>
      <c r="AJ105" s="39"/>
      <c r="AK105" s="37"/>
      <c r="AL105" s="39"/>
      <c r="AM105" s="39"/>
      <c r="AN105" s="37"/>
      <c r="AO105" s="39"/>
      <c r="AP105" s="39"/>
      <c r="AQ105" s="37"/>
      <c r="AR105" s="39"/>
      <c r="AS105" s="39"/>
    </row>
    <row r="106" spans="1:45" x14ac:dyDescent="0.45">
      <c r="A106" s="37"/>
      <c r="B106" s="37"/>
      <c r="C106" s="37"/>
      <c r="D106" s="37"/>
      <c r="E106" s="37"/>
      <c r="F106" s="37"/>
      <c r="G106" s="37"/>
      <c r="H106" s="37"/>
      <c r="I106" s="37"/>
      <c r="J106" s="37"/>
      <c r="K106" s="39"/>
      <c r="L106" s="39"/>
      <c r="M106" s="37"/>
      <c r="N106" s="39"/>
      <c r="O106" s="39"/>
      <c r="P106" s="37"/>
      <c r="Q106" s="39"/>
      <c r="R106" s="39"/>
      <c r="S106" s="37"/>
      <c r="T106" s="39"/>
      <c r="U106" s="39"/>
      <c r="V106" s="37"/>
      <c r="W106" s="39"/>
      <c r="X106" s="39"/>
      <c r="Y106" s="37"/>
      <c r="Z106" s="39"/>
      <c r="AA106" s="39"/>
      <c r="AB106" s="37"/>
      <c r="AC106" s="39"/>
      <c r="AD106" s="39"/>
      <c r="AE106" s="37"/>
      <c r="AF106" s="39"/>
      <c r="AG106" s="39"/>
      <c r="AH106" s="37"/>
      <c r="AI106" s="39"/>
      <c r="AJ106" s="39"/>
      <c r="AK106" s="37"/>
      <c r="AL106" s="39"/>
      <c r="AM106" s="39"/>
      <c r="AN106" s="37"/>
      <c r="AO106" s="39"/>
      <c r="AP106" s="39"/>
      <c r="AQ106" s="37"/>
      <c r="AR106" s="39"/>
      <c r="AS106" s="39"/>
    </row>
    <row r="107" spans="1:45" x14ac:dyDescent="0.45">
      <c r="A107" s="37"/>
      <c r="B107" s="37"/>
      <c r="C107" s="37"/>
      <c r="D107" s="37"/>
      <c r="E107" s="37"/>
      <c r="F107" s="37"/>
      <c r="G107" s="37"/>
      <c r="H107" s="37"/>
      <c r="I107" s="37"/>
      <c r="J107" s="37"/>
      <c r="K107" s="39"/>
      <c r="L107" s="39"/>
      <c r="M107" s="37"/>
      <c r="N107" s="39"/>
      <c r="O107" s="39"/>
      <c r="P107" s="37"/>
      <c r="Q107" s="39"/>
      <c r="R107" s="39"/>
      <c r="S107" s="37"/>
      <c r="T107" s="39"/>
      <c r="U107" s="39"/>
      <c r="V107" s="37"/>
      <c r="W107" s="39"/>
      <c r="X107" s="39"/>
      <c r="Y107" s="37"/>
      <c r="Z107" s="39"/>
      <c r="AA107" s="39"/>
      <c r="AB107" s="37"/>
      <c r="AC107" s="39"/>
      <c r="AD107" s="39"/>
      <c r="AE107" s="37"/>
      <c r="AF107" s="39"/>
      <c r="AG107" s="39"/>
      <c r="AH107" s="37"/>
      <c r="AI107" s="39"/>
      <c r="AJ107" s="39"/>
      <c r="AK107" s="37"/>
      <c r="AL107" s="39"/>
      <c r="AM107" s="39"/>
      <c r="AN107" s="37"/>
      <c r="AO107" s="39"/>
      <c r="AP107" s="39"/>
      <c r="AQ107" s="37"/>
      <c r="AR107" s="39"/>
      <c r="AS107" s="39"/>
    </row>
    <row r="108" spans="1:45" x14ac:dyDescent="0.45">
      <c r="A108" s="37"/>
      <c r="B108" s="37"/>
      <c r="C108" s="37"/>
      <c r="D108" s="37"/>
      <c r="E108" s="37"/>
      <c r="F108" s="37"/>
      <c r="G108" s="37"/>
      <c r="H108" s="37"/>
      <c r="I108" s="37"/>
      <c r="J108" s="37"/>
      <c r="K108" s="39"/>
      <c r="L108" s="39"/>
      <c r="M108" s="37"/>
      <c r="N108" s="39"/>
      <c r="O108" s="39"/>
      <c r="P108" s="37"/>
      <c r="Q108" s="39"/>
      <c r="R108" s="39"/>
      <c r="S108" s="37"/>
      <c r="T108" s="39"/>
      <c r="U108" s="39"/>
      <c r="V108" s="37"/>
      <c r="W108" s="39"/>
      <c r="X108" s="39"/>
      <c r="Y108" s="37"/>
      <c r="Z108" s="39"/>
      <c r="AA108" s="39"/>
      <c r="AB108" s="37"/>
      <c r="AC108" s="39"/>
      <c r="AD108" s="39"/>
      <c r="AE108" s="37"/>
      <c r="AF108" s="39"/>
      <c r="AG108" s="39"/>
      <c r="AH108" s="37"/>
      <c r="AI108" s="39"/>
      <c r="AJ108" s="39"/>
      <c r="AK108" s="37"/>
      <c r="AL108" s="39"/>
      <c r="AM108" s="39"/>
      <c r="AN108" s="37"/>
      <c r="AO108" s="39"/>
      <c r="AP108" s="39"/>
      <c r="AQ108" s="37"/>
      <c r="AR108" s="39"/>
      <c r="AS108" s="39"/>
    </row>
    <row r="109" spans="1:45" x14ac:dyDescent="0.45">
      <c r="A109" s="37"/>
      <c r="B109" s="37"/>
      <c r="C109" s="37"/>
      <c r="D109" s="37"/>
      <c r="E109" s="37"/>
      <c r="F109" s="37"/>
      <c r="G109" s="37"/>
      <c r="H109" s="37"/>
      <c r="I109" s="37"/>
      <c r="J109" s="37"/>
      <c r="K109" s="39"/>
      <c r="L109" s="39"/>
      <c r="M109" s="37"/>
      <c r="N109" s="39"/>
      <c r="O109" s="39"/>
      <c r="P109" s="37"/>
      <c r="Q109" s="39"/>
      <c r="R109" s="39"/>
      <c r="S109" s="37"/>
      <c r="T109" s="39"/>
      <c r="U109" s="39"/>
      <c r="V109" s="37"/>
      <c r="W109" s="39"/>
      <c r="X109" s="39"/>
      <c r="Y109" s="37"/>
      <c r="Z109" s="39"/>
      <c r="AA109" s="39"/>
      <c r="AB109" s="37"/>
      <c r="AC109" s="39"/>
      <c r="AD109" s="39"/>
      <c r="AE109" s="37"/>
      <c r="AF109" s="39"/>
      <c r="AG109" s="39"/>
      <c r="AH109" s="37"/>
      <c r="AI109" s="39"/>
      <c r="AJ109" s="39"/>
      <c r="AK109" s="37"/>
      <c r="AL109" s="39"/>
      <c r="AM109" s="39"/>
      <c r="AN109" s="37"/>
      <c r="AO109" s="39"/>
      <c r="AP109" s="39"/>
      <c r="AQ109" s="37"/>
      <c r="AR109" s="39"/>
      <c r="AS109" s="39"/>
    </row>
    <row r="110" spans="1:45" x14ac:dyDescent="0.45">
      <c r="A110" s="37"/>
      <c r="B110" s="37"/>
      <c r="C110" s="37"/>
      <c r="D110" s="37"/>
      <c r="E110" s="37"/>
      <c r="F110" s="37"/>
      <c r="G110" s="37"/>
      <c r="H110" s="37"/>
      <c r="I110" s="37"/>
      <c r="J110" s="37"/>
      <c r="K110" s="39"/>
      <c r="L110" s="39"/>
      <c r="M110" s="37"/>
      <c r="N110" s="39"/>
      <c r="O110" s="39"/>
      <c r="P110" s="37"/>
      <c r="Q110" s="39"/>
      <c r="R110" s="39"/>
      <c r="S110" s="37"/>
      <c r="T110" s="39"/>
      <c r="U110" s="39"/>
      <c r="V110" s="37"/>
      <c r="W110" s="39"/>
      <c r="X110" s="39"/>
      <c r="Y110" s="37"/>
      <c r="Z110" s="39"/>
      <c r="AA110" s="39"/>
      <c r="AB110" s="37"/>
      <c r="AC110" s="39"/>
      <c r="AD110" s="39"/>
      <c r="AE110" s="37"/>
      <c r="AF110" s="39"/>
      <c r="AG110" s="39"/>
      <c r="AH110" s="37"/>
      <c r="AI110" s="39"/>
      <c r="AJ110" s="39"/>
      <c r="AK110" s="37"/>
      <c r="AL110" s="39"/>
      <c r="AM110" s="39"/>
      <c r="AN110" s="37"/>
      <c r="AO110" s="39"/>
      <c r="AP110" s="39"/>
      <c r="AQ110" s="37"/>
      <c r="AR110" s="39"/>
      <c r="AS110" s="39"/>
    </row>
    <row r="111" spans="1:45" x14ac:dyDescent="0.45">
      <c r="A111" s="37"/>
      <c r="B111" s="37"/>
      <c r="C111" s="37"/>
      <c r="D111" s="37"/>
      <c r="E111" s="37"/>
      <c r="F111" s="37"/>
      <c r="G111" s="37"/>
      <c r="H111" s="37"/>
      <c r="I111" s="37"/>
      <c r="J111" s="37"/>
      <c r="K111" s="39"/>
      <c r="L111" s="39"/>
      <c r="M111" s="37"/>
      <c r="N111" s="39"/>
      <c r="O111" s="39"/>
      <c r="P111" s="37"/>
      <c r="Q111" s="39"/>
      <c r="R111" s="39"/>
      <c r="S111" s="37"/>
      <c r="T111" s="39"/>
      <c r="U111" s="39"/>
      <c r="V111" s="37"/>
      <c r="W111" s="39"/>
      <c r="X111" s="39"/>
      <c r="Y111" s="37"/>
      <c r="Z111" s="39"/>
      <c r="AA111" s="39"/>
      <c r="AB111" s="37"/>
      <c r="AC111" s="39"/>
      <c r="AD111" s="39"/>
      <c r="AE111" s="37"/>
      <c r="AF111" s="39"/>
      <c r="AG111" s="39"/>
      <c r="AH111" s="37"/>
      <c r="AI111" s="39"/>
      <c r="AJ111" s="39"/>
      <c r="AK111" s="37"/>
      <c r="AL111" s="39"/>
      <c r="AM111" s="39"/>
      <c r="AN111" s="37"/>
      <c r="AO111" s="39"/>
      <c r="AP111" s="39"/>
      <c r="AQ111" s="37"/>
      <c r="AR111" s="39"/>
      <c r="AS111" s="39"/>
    </row>
    <row r="112" spans="1:45" x14ac:dyDescent="0.45">
      <c r="A112" s="37"/>
      <c r="B112" s="37"/>
      <c r="C112" s="37"/>
      <c r="D112" s="37"/>
      <c r="E112" s="37"/>
      <c r="F112" s="37"/>
      <c r="G112" s="37"/>
      <c r="H112" s="37"/>
      <c r="I112" s="37"/>
      <c r="J112" s="37"/>
      <c r="K112" s="39"/>
      <c r="L112" s="39"/>
      <c r="M112" s="37"/>
      <c r="N112" s="39"/>
      <c r="O112" s="39"/>
      <c r="P112" s="37"/>
      <c r="Q112" s="39"/>
      <c r="R112" s="39"/>
      <c r="S112" s="37"/>
      <c r="T112" s="39"/>
      <c r="U112" s="39"/>
      <c r="V112" s="37"/>
      <c r="W112" s="39"/>
      <c r="X112" s="39"/>
      <c r="Y112" s="37"/>
      <c r="Z112" s="39"/>
      <c r="AA112" s="39"/>
      <c r="AB112" s="37"/>
      <c r="AC112" s="39"/>
      <c r="AD112" s="39"/>
      <c r="AE112" s="37"/>
      <c r="AF112" s="39"/>
      <c r="AG112" s="39"/>
      <c r="AH112" s="37"/>
      <c r="AI112" s="39"/>
      <c r="AJ112" s="39"/>
      <c r="AK112" s="37"/>
      <c r="AL112" s="39"/>
      <c r="AM112" s="39"/>
      <c r="AN112" s="37"/>
      <c r="AO112" s="39"/>
      <c r="AP112" s="39"/>
      <c r="AQ112" s="37"/>
      <c r="AR112" s="39"/>
      <c r="AS112" s="39"/>
    </row>
    <row r="113" spans="1:45" x14ac:dyDescent="0.45">
      <c r="A113" s="37"/>
      <c r="B113" s="37"/>
      <c r="C113" s="37"/>
      <c r="D113" s="37"/>
      <c r="E113" s="37"/>
      <c r="F113" s="37"/>
      <c r="G113" s="37"/>
      <c r="H113" s="37"/>
      <c r="I113" s="37"/>
      <c r="J113" s="37"/>
      <c r="K113" s="39"/>
      <c r="L113" s="39"/>
      <c r="M113" s="37"/>
      <c r="N113" s="39"/>
      <c r="O113" s="39"/>
      <c r="P113" s="37"/>
      <c r="Q113" s="39"/>
      <c r="R113" s="39"/>
      <c r="S113" s="37"/>
      <c r="T113" s="39"/>
      <c r="U113" s="39"/>
      <c r="V113" s="37"/>
      <c r="W113" s="39"/>
      <c r="X113" s="39"/>
      <c r="Y113" s="37"/>
      <c r="Z113" s="39"/>
      <c r="AA113" s="39"/>
      <c r="AB113" s="37"/>
      <c r="AC113" s="39"/>
      <c r="AD113" s="39"/>
      <c r="AE113" s="37"/>
      <c r="AF113" s="39"/>
      <c r="AG113" s="39"/>
      <c r="AH113" s="37"/>
      <c r="AI113" s="39"/>
      <c r="AJ113" s="39"/>
      <c r="AK113" s="37"/>
      <c r="AL113" s="39"/>
      <c r="AM113" s="39"/>
      <c r="AN113" s="37"/>
      <c r="AO113" s="39"/>
      <c r="AP113" s="39"/>
      <c r="AQ113" s="37"/>
      <c r="AR113" s="39"/>
      <c r="AS113" s="39"/>
    </row>
    <row r="114" spans="1:45" x14ac:dyDescent="0.45">
      <c r="A114" s="37"/>
      <c r="B114" s="37"/>
      <c r="C114" s="37"/>
      <c r="D114" s="37"/>
      <c r="E114" s="37"/>
      <c r="F114" s="37"/>
      <c r="G114" s="37"/>
      <c r="H114" s="37"/>
      <c r="I114" s="37"/>
      <c r="J114" s="37"/>
      <c r="K114" s="39"/>
      <c r="L114" s="39"/>
      <c r="M114" s="37"/>
      <c r="N114" s="39"/>
      <c r="O114" s="39"/>
      <c r="P114" s="37"/>
      <c r="Q114" s="39"/>
      <c r="R114" s="39"/>
      <c r="S114" s="37"/>
      <c r="T114" s="39"/>
      <c r="U114" s="39"/>
      <c r="V114" s="37"/>
      <c r="W114" s="39"/>
      <c r="X114" s="39"/>
      <c r="Y114" s="37"/>
      <c r="Z114" s="39"/>
      <c r="AA114" s="39"/>
      <c r="AB114" s="37"/>
      <c r="AC114" s="39"/>
      <c r="AD114" s="39"/>
      <c r="AE114" s="37"/>
      <c r="AF114" s="39"/>
      <c r="AG114" s="39"/>
      <c r="AH114" s="37"/>
      <c r="AI114" s="39"/>
      <c r="AJ114" s="39"/>
      <c r="AK114" s="37"/>
      <c r="AL114" s="39"/>
      <c r="AM114" s="39"/>
      <c r="AN114" s="37"/>
      <c r="AO114" s="39"/>
      <c r="AP114" s="39"/>
      <c r="AQ114" s="37"/>
      <c r="AR114" s="39"/>
      <c r="AS114" s="39"/>
    </row>
    <row r="115" spans="1:45" x14ac:dyDescent="0.45">
      <c r="A115" s="37"/>
      <c r="B115" s="37"/>
      <c r="C115" s="37"/>
      <c r="D115" s="37"/>
      <c r="E115" s="37"/>
      <c r="F115" s="37"/>
      <c r="G115" s="37"/>
      <c r="H115" s="37"/>
      <c r="I115" s="37"/>
      <c r="J115" s="37"/>
      <c r="K115" s="39"/>
      <c r="L115" s="39"/>
      <c r="M115" s="37"/>
      <c r="N115" s="39"/>
      <c r="O115" s="39"/>
      <c r="P115" s="37"/>
      <c r="Q115" s="39"/>
      <c r="R115" s="39"/>
      <c r="S115" s="37"/>
      <c r="T115" s="39"/>
      <c r="U115" s="39"/>
      <c r="V115" s="37"/>
      <c r="W115" s="39"/>
      <c r="X115" s="39"/>
      <c r="Y115" s="37"/>
      <c r="Z115" s="39"/>
      <c r="AA115" s="39"/>
      <c r="AB115" s="37"/>
      <c r="AC115" s="39"/>
      <c r="AD115" s="39"/>
      <c r="AE115" s="37"/>
      <c r="AF115" s="39"/>
      <c r="AG115" s="39"/>
      <c r="AH115" s="37"/>
      <c r="AI115" s="39"/>
      <c r="AJ115" s="39"/>
      <c r="AK115" s="37"/>
      <c r="AL115" s="39"/>
      <c r="AM115" s="39"/>
      <c r="AN115" s="37"/>
      <c r="AO115" s="39"/>
      <c r="AP115" s="39"/>
      <c r="AQ115" s="37"/>
      <c r="AR115" s="39"/>
      <c r="AS115" s="39"/>
    </row>
    <row r="116" spans="1:45" x14ac:dyDescent="0.45">
      <c r="A116" s="37"/>
      <c r="B116" s="37"/>
      <c r="C116" s="37"/>
      <c r="D116" s="37"/>
      <c r="E116" s="37"/>
      <c r="F116" s="37"/>
      <c r="G116" s="37"/>
      <c r="H116" s="37"/>
      <c r="I116" s="37"/>
      <c r="J116" s="37"/>
      <c r="K116" s="39"/>
      <c r="L116" s="39"/>
      <c r="M116" s="37"/>
      <c r="N116" s="39"/>
      <c r="O116" s="39"/>
      <c r="P116" s="37"/>
      <c r="Q116" s="39"/>
      <c r="R116" s="39"/>
      <c r="S116" s="37"/>
      <c r="T116" s="39"/>
      <c r="U116" s="39"/>
      <c r="V116" s="37"/>
      <c r="W116" s="39"/>
      <c r="X116" s="39"/>
      <c r="Y116" s="37"/>
      <c r="Z116" s="39"/>
      <c r="AA116" s="39"/>
      <c r="AB116" s="37"/>
      <c r="AC116" s="39"/>
      <c r="AD116" s="39"/>
      <c r="AE116" s="37"/>
      <c r="AF116" s="39"/>
      <c r="AG116" s="39"/>
      <c r="AH116" s="37"/>
      <c r="AI116" s="39"/>
      <c r="AJ116" s="39"/>
      <c r="AK116" s="37"/>
      <c r="AL116" s="39"/>
      <c r="AM116" s="39"/>
      <c r="AN116" s="37"/>
      <c r="AO116" s="39"/>
      <c r="AP116" s="39"/>
      <c r="AQ116" s="37"/>
      <c r="AR116" s="39"/>
      <c r="AS116" s="39"/>
    </row>
    <row r="117" spans="1:45" x14ac:dyDescent="0.45">
      <c r="A117" s="37"/>
      <c r="B117" s="37"/>
      <c r="C117" s="37"/>
      <c r="D117" s="37"/>
      <c r="E117" s="37"/>
      <c r="F117" s="37"/>
      <c r="G117" s="37"/>
      <c r="H117" s="37"/>
      <c r="I117" s="37"/>
      <c r="J117" s="37"/>
      <c r="K117" s="39"/>
      <c r="L117" s="39"/>
      <c r="M117" s="37"/>
      <c r="N117" s="39"/>
      <c r="O117" s="39"/>
      <c r="P117" s="37"/>
      <c r="Q117" s="39"/>
      <c r="R117" s="39"/>
      <c r="S117" s="37"/>
      <c r="T117" s="39"/>
      <c r="U117" s="39"/>
      <c r="V117" s="37"/>
      <c r="W117" s="39"/>
      <c r="X117" s="39"/>
      <c r="Y117" s="37"/>
      <c r="Z117" s="39"/>
      <c r="AA117" s="39"/>
      <c r="AB117" s="37"/>
      <c r="AC117" s="39"/>
      <c r="AD117" s="39"/>
      <c r="AE117" s="37"/>
      <c r="AF117" s="39"/>
      <c r="AG117" s="39"/>
      <c r="AH117" s="37"/>
      <c r="AI117" s="39"/>
      <c r="AJ117" s="39"/>
      <c r="AK117" s="37"/>
      <c r="AL117" s="39"/>
      <c r="AM117" s="39"/>
      <c r="AN117" s="37"/>
      <c r="AO117" s="39"/>
      <c r="AP117" s="39"/>
      <c r="AQ117" s="37"/>
      <c r="AR117" s="39"/>
      <c r="AS117" s="39"/>
    </row>
    <row r="118" spans="1:45" x14ac:dyDescent="0.45">
      <c r="A118" s="37"/>
      <c r="B118" s="37"/>
      <c r="C118" s="37"/>
      <c r="D118" s="37"/>
      <c r="E118" s="37"/>
      <c r="F118" s="37"/>
      <c r="G118" s="37"/>
      <c r="H118" s="37"/>
      <c r="I118" s="37"/>
      <c r="J118" s="37"/>
      <c r="K118" s="39"/>
      <c r="L118" s="39"/>
      <c r="M118" s="37"/>
      <c r="N118" s="39"/>
      <c r="O118" s="39"/>
      <c r="P118" s="37"/>
      <c r="Q118" s="39"/>
      <c r="R118" s="39"/>
      <c r="S118" s="37"/>
      <c r="T118" s="39"/>
      <c r="U118" s="39"/>
      <c r="V118" s="37"/>
      <c r="W118" s="39"/>
      <c r="X118" s="39"/>
      <c r="Y118" s="37"/>
      <c r="Z118" s="39"/>
      <c r="AA118" s="39"/>
      <c r="AB118" s="37"/>
      <c r="AC118" s="39"/>
      <c r="AD118" s="39"/>
      <c r="AE118" s="37"/>
      <c r="AF118" s="39"/>
      <c r="AG118" s="39"/>
      <c r="AH118" s="37"/>
      <c r="AI118" s="39"/>
      <c r="AJ118" s="39"/>
      <c r="AK118" s="37"/>
      <c r="AL118" s="39"/>
      <c r="AM118" s="39"/>
      <c r="AN118" s="37"/>
      <c r="AO118" s="39"/>
      <c r="AP118" s="39"/>
      <c r="AQ118" s="37"/>
      <c r="AR118" s="39"/>
      <c r="AS118" s="39"/>
    </row>
    <row r="119" spans="1:45" x14ac:dyDescent="0.45">
      <c r="A119" s="37"/>
      <c r="B119" s="37"/>
      <c r="C119" s="37"/>
      <c r="D119" s="37"/>
      <c r="E119" s="37"/>
      <c r="F119" s="37"/>
      <c r="G119" s="37"/>
      <c r="H119" s="37"/>
      <c r="I119" s="37"/>
      <c r="J119" s="37"/>
      <c r="K119" s="39"/>
      <c r="L119" s="39"/>
      <c r="M119" s="37"/>
      <c r="N119" s="39"/>
      <c r="O119" s="39"/>
      <c r="P119" s="37"/>
      <c r="Q119" s="39"/>
      <c r="R119" s="39"/>
      <c r="S119" s="37"/>
      <c r="T119" s="39"/>
      <c r="U119" s="39"/>
      <c r="V119" s="37"/>
      <c r="W119" s="39"/>
      <c r="X119" s="39"/>
      <c r="Y119" s="37"/>
      <c r="Z119" s="39"/>
      <c r="AA119" s="39"/>
      <c r="AB119" s="37"/>
      <c r="AC119" s="39"/>
      <c r="AD119" s="39"/>
      <c r="AE119" s="37"/>
      <c r="AF119" s="39"/>
      <c r="AG119" s="39"/>
      <c r="AH119" s="37"/>
      <c r="AI119" s="39"/>
      <c r="AJ119" s="39"/>
      <c r="AK119" s="37"/>
      <c r="AL119" s="39"/>
      <c r="AM119" s="39"/>
      <c r="AN119" s="37"/>
      <c r="AO119" s="39"/>
      <c r="AP119" s="39"/>
      <c r="AQ119" s="37"/>
      <c r="AR119" s="39"/>
      <c r="AS119" s="39"/>
    </row>
    <row r="120" spans="1:45" x14ac:dyDescent="0.45">
      <c r="A120" s="37"/>
      <c r="B120" s="37"/>
      <c r="C120" s="37"/>
      <c r="D120" s="37"/>
      <c r="E120" s="37"/>
      <c r="F120" s="37"/>
      <c r="G120" s="37"/>
      <c r="H120" s="37"/>
      <c r="I120" s="37"/>
      <c r="J120" s="37"/>
      <c r="K120" s="39"/>
      <c r="L120" s="39"/>
      <c r="M120" s="37"/>
      <c r="N120" s="39"/>
      <c r="O120" s="39"/>
      <c r="P120" s="37"/>
      <c r="Q120" s="39"/>
      <c r="R120" s="39"/>
      <c r="S120" s="37"/>
      <c r="T120" s="39"/>
      <c r="U120" s="39"/>
      <c r="V120" s="37"/>
      <c r="W120" s="39"/>
      <c r="X120" s="39"/>
      <c r="Y120" s="37"/>
      <c r="Z120" s="39"/>
      <c r="AA120" s="39"/>
      <c r="AB120" s="37"/>
      <c r="AC120" s="39"/>
      <c r="AD120" s="39"/>
      <c r="AE120" s="37"/>
      <c r="AF120" s="39"/>
      <c r="AG120" s="39"/>
      <c r="AH120" s="37"/>
      <c r="AI120" s="39"/>
      <c r="AJ120" s="39"/>
      <c r="AK120" s="37"/>
      <c r="AL120" s="39"/>
      <c r="AM120" s="39"/>
      <c r="AN120" s="37"/>
      <c r="AO120" s="39"/>
      <c r="AP120" s="39"/>
      <c r="AQ120" s="37"/>
      <c r="AR120" s="39"/>
      <c r="AS120" s="39"/>
    </row>
    <row r="121" spans="1:45" x14ac:dyDescent="0.45">
      <c r="A121" s="37"/>
      <c r="B121" s="37"/>
      <c r="C121" s="37"/>
      <c r="D121" s="37"/>
      <c r="E121" s="37"/>
      <c r="F121" s="37"/>
      <c r="G121" s="37"/>
      <c r="H121" s="37"/>
      <c r="I121" s="37"/>
      <c r="J121" s="37"/>
      <c r="K121" s="39"/>
      <c r="L121" s="39"/>
      <c r="M121" s="37"/>
      <c r="N121" s="39"/>
      <c r="O121" s="39"/>
      <c r="P121" s="37"/>
      <c r="Q121" s="39"/>
      <c r="R121" s="39"/>
      <c r="S121" s="37"/>
      <c r="T121" s="39"/>
      <c r="U121" s="39"/>
      <c r="V121" s="37"/>
      <c r="W121" s="39"/>
      <c r="X121" s="39"/>
      <c r="Y121" s="37"/>
      <c r="Z121" s="39"/>
      <c r="AA121" s="39"/>
      <c r="AB121" s="37"/>
      <c r="AC121" s="39"/>
      <c r="AD121" s="39"/>
      <c r="AE121" s="37"/>
      <c r="AF121" s="39"/>
      <c r="AG121" s="39"/>
      <c r="AH121" s="37"/>
      <c r="AI121" s="39"/>
      <c r="AJ121" s="39"/>
      <c r="AK121" s="37"/>
      <c r="AL121" s="39"/>
      <c r="AM121" s="39"/>
      <c r="AN121" s="37"/>
      <c r="AO121" s="39"/>
      <c r="AP121" s="39"/>
      <c r="AQ121" s="37"/>
      <c r="AR121" s="39"/>
      <c r="AS121" s="39"/>
    </row>
    <row r="122" spans="1:45" x14ac:dyDescent="0.45">
      <c r="A122" s="37"/>
      <c r="B122" s="37"/>
      <c r="C122" s="37"/>
      <c r="D122" s="37"/>
      <c r="E122" s="37"/>
      <c r="F122" s="37"/>
      <c r="G122" s="37"/>
      <c r="H122" s="37"/>
      <c r="I122" s="37"/>
      <c r="J122" s="37"/>
      <c r="K122" s="39"/>
      <c r="L122" s="39"/>
      <c r="M122" s="37"/>
      <c r="N122" s="39"/>
      <c r="O122" s="39"/>
      <c r="P122" s="37"/>
      <c r="Q122" s="39"/>
      <c r="R122" s="39"/>
      <c r="S122" s="37"/>
      <c r="T122" s="39"/>
      <c r="U122" s="39"/>
      <c r="V122" s="37"/>
      <c r="W122" s="39"/>
      <c r="X122" s="39"/>
      <c r="Y122" s="37"/>
      <c r="Z122" s="39"/>
      <c r="AA122" s="39"/>
      <c r="AB122" s="37"/>
      <c r="AC122" s="39"/>
      <c r="AD122" s="39"/>
      <c r="AE122" s="37"/>
      <c r="AF122" s="39"/>
      <c r="AG122" s="39"/>
      <c r="AH122" s="37"/>
      <c r="AI122" s="39"/>
      <c r="AJ122" s="39"/>
      <c r="AK122" s="37"/>
      <c r="AL122" s="39"/>
      <c r="AM122" s="39"/>
      <c r="AN122" s="37"/>
      <c r="AO122" s="39"/>
      <c r="AP122" s="39"/>
      <c r="AQ122" s="37"/>
      <c r="AR122" s="39"/>
      <c r="AS122" s="39"/>
    </row>
    <row r="123" spans="1:45" x14ac:dyDescent="0.45">
      <c r="A123" s="37"/>
      <c r="B123" s="37"/>
      <c r="C123" s="37"/>
      <c r="D123" s="37"/>
      <c r="E123" s="37"/>
      <c r="F123" s="37"/>
      <c r="G123" s="37"/>
      <c r="H123" s="37"/>
      <c r="I123" s="37"/>
      <c r="J123" s="37"/>
      <c r="K123" s="39"/>
      <c r="L123" s="39"/>
      <c r="M123" s="37"/>
      <c r="N123" s="39"/>
      <c r="O123" s="39"/>
      <c r="P123" s="37"/>
      <c r="Q123" s="39"/>
      <c r="R123" s="39"/>
      <c r="S123" s="37"/>
      <c r="T123" s="39"/>
      <c r="U123" s="39"/>
      <c r="V123" s="37"/>
      <c r="W123" s="39"/>
      <c r="X123" s="39"/>
      <c r="Y123" s="37"/>
      <c r="Z123" s="39"/>
      <c r="AA123" s="39"/>
      <c r="AB123" s="37"/>
      <c r="AC123" s="39"/>
      <c r="AD123" s="39"/>
      <c r="AE123" s="37"/>
      <c r="AF123" s="39"/>
      <c r="AG123" s="39"/>
      <c r="AH123" s="37"/>
      <c r="AI123" s="39"/>
      <c r="AJ123" s="39"/>
      <c r="AK123" s="37"/>
      <c r="AL123" s="39"/>
      <c r="AM123" s="39"/>
      <c r="AN123" s="37"/>
      <c r="AO123" s="39"/>
      <c r="AP123" s="39"/>
      <c r="AQ123" s="37"/>
      <c r="AR123" s="39"/>
      <c r="AS123" s="39"/>
    </row>
    <row r="124" spans="1:45" x14ac:dyDescent="0.45">
      <c r="A124" s="37"/>
      <c r="B124" s="37"/>
      <c r="C124" s="37"/>
      <c r="D124" s="37"/>
      <c r="E124" s="37"/>
      <c r="F124" s="37"/>
      <c r="G124" s="37"/>
      <c r="H124" s="37"/>
      <c r="I124" s="37"/>
      <c r="J124" s="37"/>
      <c r="K124" s="39"/>
      <c r="L124" s="39"/>
      <c r="M124" s="37"/>
      <c r="N124" s="39"/>
      <c r="O124" s="39"/>
      <c r="P124" s="37"/>
      <c r="Q124" s="39"/>
      <c r="R124" s="39"/>
      <c r="S124" s="37"/>
      <c r="T124" s="39"/>
      <c r="U124" s="39"/>
      <c r="V124" s="37"/>
      <c r="W124" s="39"/>
      <c r="X124" s="39"/>
      <c r="Y124" s="37"/>
      <c r="Z124" s="39"/>
      <c r="AA124" s="39"/>
      <c r="AB124" s="37"/>
      <c r="AC124" s="39"/>
      <c r="AD124" s="39"/>
      <c r="AE124" s="37"/>
      <c r="AF124" s="39"/>
      <c r="AG124" s="39"/>
      <c r="AH124" s="37"/>
      <c r="AI124" s="39"/>
      <c r="AJ124" s="39"/>
      <c r="AK124" s="37"/>
      <c r="AL124" s="39"/>
      <c r="AM124" s="39"/>
      <c r="AN124" s="37"/>
      <c r="AO124" s="39"/>
      <c r="AP124" s="39"/>
      <c r="AQ124" s="37"/>
      <c r="AR124" s="39"/>
      <c r="AS124" s="39"/>
    </row>
    <row r="125" spans="1:45" x14ac:dyDescent="0.45">
      <c r="A125" s="37"/>
      <c r="B125" s="37"/>
      <c r="C125" s="37"/>
      <c r="D125" s="37"/>
      <c r="E125" s="37"/>
      <c r="F125" s="37"/>
      <c r="G125" s="37"/>
      <c r="H125" s="37"/>
      <c r="I125" s="37"/>
      <c r="J125" s="37"/>
      <c r="K125" s="39"/>
      <c r="L125" s="39"/>
      <c r="M125" s="37"/>
      <c r="N125" s="39"/>
      <c r="O125" s="39"/>
      <c r="P125" s="37"/>
      <c r="Q125" s="39"/>
      <c r="R125" s="39"/>
      <c r="S125" s="37"/>
      <c r="T125" s="39"/>
      <c r="U125" s="39"/>
      <c r="V125" s="37"/>
      <c r="W125" s="39"/>
      <c r="X125" s="39"/>
      <c r="Y125" s="37"/>
      <c r="Z125" s="39"/>
      <c r="AA125" s="39"/>
      <c r="AB125" s="37"/>
      <c r="AC125" s="39"/>
      <c r="AD125" s="39"/>
      <c r="AE125" s="37"/>
      <c r="AF125" s="39"/>
      <c r="AG125" s="39"/>
      <c r="AH125" s="37"/>
      <c r="AI125" s="39"/>
      <c r="AJ125" s="39"/>
      <c r="AK125" s="37"/>
      <c r="AL125" s="39"/>
      <c r="AM125" s="39"/>
      <c r="AN125" s="37"/>
      <c r="AO125" s="39"/>
      <c r="AP125" s="39"/>
      <c r="AQ125" s="37"/>
      <c r="AR125" s="39"/>
      <c r="AS125" s="39"/>
    </row>
    <row r="126" spans="1:45" x14ac:dyDescent="0.45">
      <c r="A126" s="37"/>
      <c r="B126" s="37"/>
      <c r="C126" s="37"/>
      <c r="D126" s="37"/>
      <c r="E126" s="37"/>
      <c r="F126" s="37"/>
      <c r="G126" s="37"/>
      <c r="H126" s="37"/>
      <c r="I126" s="37"/>
      <c r="J126" s="37"/>
      <c r="K126" s="39"/>
      <c r="L126" s="39"/>
      <c r="M126" s="37"/>
      <c r="N126" s="39"/>
      <c r="O126" s="39"/>
      <c r="P126" s="37"/>
      <c r="Q126" s="39"/>
      <c r="R126" s="39"/>
      <c r="S126" s="37"/>
      <c r="T126" s="39"/>
      <c r="U126" s="39"/>
      <c r="V126" s="37"/>
      <c r="W126" s="39"/>
      <c r="X126" s="39"/>
      <c r="Y126" s="37"/>
      <c r="Z126" s="39"/>
      <c r="AA126" s="39"/>
      <c r="AB126" s="37"/>
      <c r="AC126" s="39"/>
      <c r="AD126" s="39"/>
      <c r="AE126" s="37"/>
      <c r="AF126" s="39"/>
      <c r="AG126" s="39"/>
      <c r="AH126" s="37"/>
      <c r="AI126" s="39"/>
      <c r="AJ126" s="39"/>
      <c r="AK126" s="37"/>
      <c r="AL126" s="39"/>
      <c r="AM126" s="39"/>
      <c r="AN126" s="37"/>
      <c r="AO126" s="39"/>
      <c r="AP126" s="39"/>
      <c r="AQ126" s="37"/>
      <c r="AR126" s="39"/>
      <c r="AS126" s="39"/>
    </row>
    <row r="127" spans="1:45" x14ac:dyDescent="0.45">
      <c r="A127" s="37"/>
      <c r="B127" s="37"/>
      <c r="C127" s="37"/>
      <c r="D127" s="37"/>
      <c r="E127" s="37"/>
      <c r="F127" s="37"/>
      <c r="G127" s="37"/>
      <c r="H127" s="37"/>
      <c r="I127" s="37"/>
      <c r="J127" s="37"/>
      <c r="K127" s="39"/>
      <c r="L127" s="39"/>
      <c r="M127" s="37"/>
      <c r="N127" s="39"/>
      <c r="O127" s="39"/>
      <c r="P127" s="37"/>
      <c r="Q127" s="39"/>
      <c r="R127" s="39"/>
      <c r="S127" s="37"/>
      <c r="T127" s="39"/>
      <c r="U127" s="39"/>
      <c r="V127" s="37"/>
      <c r="W127" s="39"/>
      <c r="X127" s="39"/>
      <c r="Y127" s="37"/>
      <c r="Z127" s="39"/>
      <c r="AA127" s="39"/>
      <c r="AB127" s="37"/>
      <c r="AC127" s="39"/>
      <c r="AD127" s="39"/>
      <c r="AE127" s="37"/>
      <c r="AF127" s="39"/>
      <c r="AG127" s="39"/>
      <c r="AH127" s="37"/>
      <c r="AI127" s="39"/>
      <c r="AJ127" s="39"/>
      <c r="AK127" s="37"/>
      <c r="AL127" s="39"/>
      <c r="AM127" s="39"/>
      <c r="AN127" s="37"/>
      <c r="AO127" s="39"/>
      <c r="AP127" s="39"/>
      <c r="AQ127" s="37"/>
      <c r="AR127" s="39"/>
      <c r="AS127" s="39"/>
    </row>
    <row r="128" spans="1:45" x14ac:dyDescent="0.45">
      <c r="A128" s="37"/>
      <c r="B128" s="37"/>
      <c r="C128" s="37"/>
      <c r="D128" s="37"/>
      <c r="E128" s="37"/>
      <c r="F128" s="37"/>
      <c r="G128" s="37"/>
      <c r="H128" s="37"/>
      <c r="I128" s="37"/>
      <c r="J128" s="37"/>
      <c r="K128" s="39"/>
      <c r="L128" s="39"/>
      <c r="M128" s="37"/>
      <c r="N128" s="39"/>
      <c r="O128" s="39"/>
      <c r="P128" s="37"/>
      <c r="Q128" s="39"/>
      <c r="R128" s="39"/>
      <c r="S128" s="37"/>
      <c r="T128" s="39"/>
      <c r="U128" s="39"/>
      <c r="V128" s="37"/>
      <c r="W128" s="39"/>
      <c r="X128" s="39"/>
      <c r="Y128" s="37"/>
      <c r="Z128" s="39"/>
      <c r="AA128" s="39"/>
      <c r="AB128" s="37"/>
      <c r="AC128" s="39"/>
      <c r="AD128" s="39"/>
      <c r="AE128" s="37"/>
      <c r="AF128" s="39"/>
      <c r="AG128" s="39"/>
      <c r="AH128" s="37"/>
      <c r="AI128" s="39"/>
      <c r="AJ128" s="39"/>
      <c r="AK128" s="37"/>
      <c r="AL128" s="39"/>
      <c r="AM128" s="39"/>
      <c r="AN128" s="37"/>
      <c r="AO128" s="39"/>
      <c r="AP128" s="39"/>
      <c r="AQ128" s="37"/>
      <c r="AR128" s="39"/>
      <c r="AS128" s="39"/>
    </row>
    <row r="129" spans="1:45" x14ac:dyDescent="0.45">
      <c r="A129" s="37"/>
      <c r="B129" s="37"/>
      <c r="C129" s="37"/>
      <c r="D129" s="37"/>
      <c r="E129" s="37"/>
      <c r="F129" s="37"/>
      <c r="G129" s="37"/>
      <c r="H129" s="37"/>
      <c r="I129" s="37"/>
      <c r="J129" s="37"/>
      <c r="K129" s="39"/>
      <c r="L129" s="39"/>
      <c r="M129" s="37"/>
      <c r="N129" s="39"/>
      <c r="O129" s="39"/>
      <c r="P129" s="37"/>
      <c r="Q129" s="39"/>
      <c r="R129" s="39"/>
      <c r="S129" s="37"/>
      <c r="T129" s="39"/>
      <c r="U129" s="39"/>
      <c r="V129" s="37"/>
      <c r="W129" s="39"/>
      <c r="X129" s="39"/>
      <c r="Y129" s="37"/>
      <c r="Z129" s="39"/>
      <c r="AA129" s="39"/>
      <c r="AB129" s="37"/>
      <c r="AC129" s="39"/>
      <c r="AD129" s="39"/>
      <c r="AE129" s="37"/>
      <c r="AF129" s="39"/>
      <c r="AG129" s="39"/>
      <c r="AH129" s="37"/>
      <c r="AI129" s="39"/>
      <c r="AJ129" s="39"/>
      <c r="AK129" s="37"/>
      <c r="AL129" s="39"/>
      <c r="AM129" s="39"/>
      <c r="AN129" s="37"/>
      <c r="AO129" s="39"/>
      <c r="AP129" s="39"/>
      <c r="AQ129" s="37"/>
      <c r="AR129" s="39"/>
      <c r="AS129" s="39"/>
    </row>
    <row r="130" spans="1:45" x14ac:dyDescent="0.45">
      <c r="A130" s="37"/>
      <c r="B130" s="37"/>
      <c r="C130" s="37"/>
      <c r="D130" s="37"/>
      <c r="E130" s="37"/>
      <c r="F130" s="37"/>
      <c r="G130" s="37"/>
      <c r="H130" s="37"/>
      <c r="I130" s="37"/>
      <c r="J130" s="37"/>
      <c r="K130" s="39"/>
      <c r="L130" s="39"/>
      <c r="M130" s="37"/>
      <c r="N130" s="39"/>
      <c r="O130" s="39"/>
      <c r="P130" s="37"/>
      <c r="Q130" s="39"/>
      <c r="R130" s="39"/>
      <c r="S130" s="37"/>
      <c r="T130" s="39"/>
      <c r="U130" s="39"/>
      <c r="V130" s="37"/>
      <c r="W130" s="39"/>
      <c r="X130" s="39"/>
      <c r="Y130" s="37"/>
      <c r="Z130" s="39"/>
      <c r="AA130" s="39"/>
      <c r="AB130" s="37"/>
      <c r="AC130" s="39"/>
      <c r="AD130" s="39"/>
      <c r="AE130" s="37"/>
      <c r="AF130" s="39"/>
      <c r="AG130" s="39"/>
      <c r="AH130" s="37"/>
      <c r="AI130" s="39"/>
      <c r="AJ130" s="39"/>
      <c r="AK130" s="37"/>
      <c r="AL130" s="39"/>
      <c r="AM130" s="39"/>
      <c r="AN130" s="37"/>
      <c r="AO130" s="39"/>
      <c r="AP130" s="39"/>
      <c r="AQ130" s="37"/>
      <c r="AR130" s="39"/>
      <c r="AS130" s="39"/>
    </row>
    <row r="131" spans="1:45" x14ac:dyDescent="0.45">
      <c r="A131" s="37"/>
      <c r="B131" s="37"/>
      <c r="C131" s="37"/>
      <c r="D131" s="37"/>
      <c r="E131" s="37"/>
      <c r="F131" s="37"/>
      <c r="G131" s="37"/>
      <c r="H131" s="37"/>
      <c r="I131" s="37"/>
      <c r="J131" s="37"/>
      <c r="K131" s="39"/>
      <c r="L131" s="39"/>
      <c r="M131" s="37"/>
      <c r="N131" s="39"/>
      <c r="O131" s="39"/>
      <c r="P131" s="37"/>
      <c r="Q131" s="39"/>
      <c r="R131" s="39"/>
      <c r="S131" s="37"/>
      <c r="T131" s="39"/>
      <c r="U131" s="39"/>
      <c r="V131" s="37"/>
      <c r="W131" s="39"/>
      <c r="X131" s="39"/>
      <c r="Y131" s="37"/>
      <c r="Z131" s="39"/>
      <c r="AA131" s="39"/>
      <c r="AB131" s="37"/>
      <c r="AC131" s="39"/>
      <c r="AD131" s="39"/>
      <c r="AE131" s="37"/>
      <c r="AF131" s="39"/>
      <c r="AG131" s="39"/>
      <c r="AH131" s="37"/>
      <c r="AI131" s="39"/>
      <c r="AJ131" s="39"/>
      <c r="AK131" s="37"/>
      <c r="AL131" s="39"/>
      <c r="AM131" s="39"/>
      <c r="AN131" s="37"/>
      <c r="AO131" s="39"/>
      <c r="AP131" s="39"/>
      <c r="AQ131" s="37"/>
      <c r="AR131" s="39"/>
      <c r="AS131" s="39"/>
    </row>
    <row r="132" spans="1:45" x14ac:dyDescent="0.45">
      <c r="A132" s="37"/>
      <c r="B132" s="37"/>
      <c r="C132" s="37"/>
      <c r="D132" s="37"/>
      <c r="E132" s="37"/>
      <c r="F132" s="37"/>
      <c r="G132" s="37"/>
      <c r="H132" s="37"/>
      <c r="I132" s="37"/>
      <c r="J132" s="37"/>
      <c r="K132" s="39"/>
      <c r="L132" s="39"/>
      <c r="M132" s="37"/>
      <c r="N132" s="39"/>
      <c r="O132" s="39"/>
      <c r="P132" s="37"/>
      <c r="Q132" s="39"/>
      <c r="R132" s="39"/>
      <c r="S132" s="37"/>
      <c r="T132" s="39"/>
      <c r="U132" s="39"/>
      <c r="V132" s="37"/>
      <c r="W132" s="39"/>
      <c r="X132" s="39"/>
      <c r="Y132" s="37"/>
      <c r="Z132" s="39"/>
      <c r="AA132" s="39"/>
      <c r="AB132" s="37"/>
      <c r="AC132" s="39"/>
      <c r="AD132" s="39"/>
      <c r="AE132" s="37"/>
      <c r="AF132" s="39"/>
      <c r="AG132" s="39"/>
      <c r="AH132" s="37"/>
      <c r="AI132" s="39"/>
      <c r="AJ132" s="39"/>
      <c r="AK132" s="37"/>
      <c r="AL132" s="39"/>
      <c r="AM132" s="39"/>
      <c r="AN132" s="37"/>
      <c r="AO132" s="39"/>
      <c r="AP132" s="39"/>
      <c r="AQ132" s="37"/>
      <c r="AR132" s="39"/>
      <c r="AS132" s="39"/>
    </row>
    <row r="133" spans="1:45" x14ac:dyDescent="0.45">
      <c r="A133" s="37"/>
      <c r="B133" s="37"/>
      <c r="C133" s="37"/>
      <c r="D133" s="37"/>
      <c r="E133" s="37"/>
      <c r="F133" s="37"/>
      <c r="G133" s="37"/>
      <c r="H133" s="37"/>
      <c r="I133" s="37"/>
      <c r="J133" s="37"/>
      <c r="K133" s="39"/>
      <c r="L133" s="39"/>
      <c r="M133" s="37"/>
      <c r="N133" s="39"/>
      <c r="O133" s="39"/>
      <c r="P133" s="37"/>
      <c r="Q133" s="39"/>
      <c r="R133" s="39"/>
      <c r="S133" s="37"/>
      <c r="T133" s="39"/>
      <c r="U133" s="39"/>
      <c r="V133" s="37"/>
      <c r="W133" s="39"/>
      <c r="X133" s="39"/>
      <c r="Y133" s="37"/>
      <c r="Z133" s="39"/>
      <c r="AA133" s="39"/>
      <c r="AB133" s="37"/>
      <c r="AC133" s="39"/>
      <c r="AD133" s="39"/>
      <c r="AE133" s="37"/>
      <c r="AF133" s="39"/>
      <c r="AG133" s="39"/>
      <c r="AH133" s="37"/>
      <c r="AI133" s="39"/>
      <c r="AJ133" s="39"/>
      <c r="AK133" s="37"/>
      <c r="AL133" s="39"/>
      <c r="AM133" s="39"/>
      <c r="AN133" s="37"/>
      <c r="AO133" s="39"/>
      <c r="AP133" s="39"/>
      <c r="AQ133" s="37"/>
      <c r="AR133" s="39"/>
      <c r="AS133" s="39"/>
    </row>
    <row r="134" spans="1:45" x14ac:dyDescent="0.45">
      <c r="A134" s="37"/>
      <c r="B134" s="37"/>
      <c r="C134" s="37"/>
      <c r="D134" s="37"/>
      <c r="E134" s="37"/>
      <c r="F134" s="37"/>
      <c r="G134" s="37"/>
      <c r="H134" s="37"/>
      <c r="I134" s="37"/>
      <c r="J134" s="37"/>
      <c r="K134" s="39"/>
      <c r="L134" s="39"/>
      <c r="M134" s="37"/>
      <c r="N134" s="39"/>
      <c r="O134" s="39"/>
      <c r="P134" s="37"/>
      <c r="Q134" s="39"/>
      <c r="R134" s="39"/>
      <c r="S134" s="37"/>
      <c r="T134" s="39"/>
      <c r="U134" s="39"/>
      <c r="V134" s="37"/>
      <c r="W134" s="39"/>
      <c r="X134" s="39"/>
      <c r="Y134" s="37"/>
      <c r="Z134" s="39"/>
      <c r="AA134" s="39"/>
      <c r="AB134" s="37"/>
      <c r="AC134" s="39"/>
      <c r="AD134" s="39"/>
      <c r="AE134" s="37"/>
      <c r="AF134" s="39"/>
      <c r="AG134" s="39"/>
      <c r="AH134" s="37"/>
      <c r="AI134" s="39"/>
      <c r="AJ134" s="39"/>
      <c r="AK134" s="37"/>
      <c r="AL134" s="39"/>
      <c r="AM134" s="39"/>
      <c r="AN134" s="37"/>
      <c r="AO134" s="39"/>
      <c r="AP134" s="39"/>
      <c r="AQ134" s="37"/>
      <c r="AR134" s="39"/>
      <c r="AS134" s="39"/>
    </row>
    <row r="135" spans="1:45" x14ac:dyDescent="0.45">
      <c r="A135" s="37"/>
      <c r="B135" s="37"/>
      <c r="C135" s="37"/>
      <c r="D135" s="37"/>
      <c r="E135" s="37"/>
      <c r="F135" s="37"/>
      <c r="G135" s="37"/>
      <c r="H135" s="37"/>
      <c r="I135" s="37"/>
      <c r="J135" s="37"/>
      <c r="K135" s="39"/>
      <c r="L135" s="39"/>
      <c r="M135" s="37"/>
      <c r="N135" s="39"/>
      <c r="O135" s="39"/>
      <c r="P135" s="37"/>
      <c r="Q135" s="39"/>
      <c r="R135" s="39"/>
      <c r="S135" s="37"/>
      <c r="T135" s="39"/>
      <c r="U135" s="39"/>
      <c r="V135" s="37"/>
      <c r="W135" s="39"/>
      <c r="X135" s="39"/>
      <c r="Y135" s="37"/>
      <c r="Z135" s="39"/>
      <c r="AA135" s="39"/>
      <c r="AB135" s="37"/>
      <c r="AC135" s="39"/>
      <c r="AD135" s="39"/>
      <c r="AE135" s="37"/>
      <c r="AF135" s="39"/>
      <c r="AG135" s="39"/>
      <c r="AH135" s="37"/>
      <c r="AI135" s="39"/>
      <c r="AJ135" s="39"/>
      <c r="AK135" s="37"/>
      <c r="AL135" s="39"/>
      <c r="AM135" s="39"/>
      <c r="AN135" s="37"/>
      <c r="AO135" s="39"/>
      <c r="AP135" s="39"/>
      <c r="AQ135" s="37"/>
      <c r="AR135" s="39"/>
      <c r="AS135" s="39"/>
    </row>
    <row r="136" spans="1:45" x14ac:dyDescent="0.45">
      <c r="A136" s="37"/>
      <c r="B136" s="37"/>
      <c r="C136" s="37"/>
      <c r="D136" s="37"/>
      <c r="E136" s="37"/>
      <c r="F136" s="37"/>
      <c r="G136" s="37"/>
      <c r="H136" s="37"/>
      <c r="I136" s="37"/>
      <c r="J136" s="37"/>
      <c r="K136" s="39"/>
      <c r="L136" s="39"/>
      <c r="M136" s="37"/>
      <c r="N136" s="39"/>
      <c r="O136" s="39"/>
      <c r="P136" s="37"/>
      <c r="Q136" s="39"/>
      <c r="R136" s="39"/>
      <c r="S136" s="37"/>
      <c r="T136" s="39"/>
      <c r="U136" s="39"/>
      <c r="V136" s="37"/>
      <c r="W136" s="39"/>
      <c r="X136" s="39"/>
      <c r="Y136" s="37"/>
      <c r="Z136" s="39"/>
      <c r="AA136" s="39"/>
      <c r="AB136" s="37"/>
      <c r="AC136" s="39"/>
      <c r="AD136" s="39"/>
      <c r="AE136" s="37"/>
      <c r="AF136" s="39"/>
      <c r="AG136" s="39"/>
      <c r="AH136" s="37"/>
      <c r="AI136" s="39"/>
      <c r="AJ136" s="39"/>
      <c r="AK136" s="37"/>
      <c r="AL136" s="39"/>
      <c r="AM136" s="39"/>
      <c r="AN136" s="37"/>
      <c r="AO136" s="39"/>
      <c r="AP136" s="39"/>
      <c r="AQ136" s="37"/>
      <c r="AR136" s="39"/>
      <c r="AS136" s="39"/>
    </row>
    <row r="137" spans="1:45" x14ac:dyDescent="0.45">
      <c r="A137" s="37"/>
      <c r="B137" s="37"/>
      <c r="C137" s="37"/>
      <c r="D137" s="37"/>
      <c r="E137" s="37"/>
      <c r="F137" s="37"/>
      <c r="G137" s="37"/>
      <c r="H137" s="37"/>
      <c r="I137" s="37"/>
      <c r="J137" s="37"/>
      <c r="K137" s="39"/>
      <c r="L137" s="39"/>
      <c r="M137" s="37"/>
      <c r="N137" s="39"/>
      <c r="O137" s="39"/>
      <c r="P137" s="37"/>
      <c r="Q137" s="39"/>
      <c r="R137" s="39"/>
      <c r="S137" s="37"/>
      <c r="T137" s="39"/>
      <c r="U137" s="39"/>
      <c r="V137" s="37"/>
      <c r="W137" s="39"/>
      <c r="X137" s="39"/>
      <c r="Y137" s="37"/>
      <c r="Z137" s="39"/>
      <c r="AA137" s="39"/>
      <c r="AB137" s="37"/>
      <c r="AC137" s="39"/>
      <c r="AD137" s="39"/>
      <c r="AE137" s="37"/>
      <c r="AF137" s="39"/>
      <c r="AG137" s="39"/>
      <c r="AH137" s="37"/>
      <c r="AI137" s="39"/>
      <c r="AJ137" s="39"/>
      <c r="AK137" s="37"/>
      <c r="AL137" s="39"/>
      <c r="AM137" s="39"/>
      <c r="AN137" s="37"/>
      <c r="AO137" s="39"/>
      <c r="AP137" s="39"/>
      <c r="AQ137" s="37"/>
      <c r="AR137" s="39"/>
      <c r="AS137" s="39"/>
    </row>
    <row r="138" spans="1:45" x14ac:dyDescent="0.45">
      <c r="A138" s="37"/>
      <c r="B138" s="37"/>
      <c r="C138" s="37"/>
      <c r="D138" s="37"/>
      <c r="E138" s="37"/>
      <c r="F138" s="37"/>
      <c r="G138" s="37"/>
      <c r="H138" s="37"/>
      <c r="I138" s="37"/>
      <c r="J138" s="37"/>
      <c r="K138" s="39"/>
      <c r="L138" s="39"/>
      <c r="M138" s="37"/>
      <c r="N138" s="39"/>
      <c r="O138" s="39"/>
      <c r="P138" s="37"/>
      <c r="Q138" s="39"/>
      <c r="R138" s="39"/>
      <c r="S138" s="37"/>
      <c r="T138" s="39"/>
      <c r="U138" s="39"/>
      <c r="V138" s="37"/>
      <c r="W138" s="39"/>
      <c r="X138" s="39"/>
      <c r="Y138" s="37"/>
      <c r="Z138" s="39"/>
      <c r="AA138" s="39"/>
      <c r="AB138" s="37"/>
      <c r="AC138" s="39"/>
      <c r="AD138" s="39"/>
      <c r="AE138" s="37"/>
      <c r="AF138" s="39"/>
      <c r="AG138" s="39"/>
      <c r="AH138" s="37"/>
      <c r="AI138" s="39"/>
      <c r="AJ138" s="39"/>
      <c r="AK138" s="37"/>
      <c r="AL138" s="39"/>
      <c r="AM138" s="39"/>
      <c r="AN138" s="37"/>
      <c r="AO138" s="39"/>
      <c r="AP138" s="39"/>
      <c r="AQ138" s="37"/>
      <c r="AR138" s="39"/>
      <c r="AS138" s="39"/>
    </row>
    <row r="139" spans="1:45" x14ac:dyDescent="0.45">
      <c r="A139" s="37"/>
      <c r="B139" s="37"/>
      <c r="C139" s="37"/>
      <c r="D139" s="37"/>
      <c r="E139" s="37"/>
      <c r="F139" s="37"/>
      <c r="G139" s="37"/>
      <c r="H139" s="37"/>
      <c r="I139" s="37"/>
      <c r="J139" s="37"/>
      <c r="K139" s="39"/>
      <c r="L139" s="39"/>
      <c r="M139" s="37"/>
      <c r="N139" s="39"/>
      <c r="O139" s="39"/>
      <c r="P139" s="37"/>
      <c r="Q139" s="39"/>
      <c r="R139" s="39"/>
      <c r="S139" s="37"/>
      <c r="T139" s="39"/>
      <c r="U139" s="39"/>
      <c r="V139" s="37"/>
      <c r="W139" s="39"/>
      <c r="X139" s="39"/>
      <c r="Y139" s="37"/>
      <c r="Z139" s="39"/>
      <c r="AA139" s="39"/>
      <c r="AB139" s="37"/>
      <c r="AC139" s="39"/>
      <c r="AD139" s="39"/>
      <c r="AE139" s="37"/>
      <c r="AF139" s="39"/>
      <c r="AG139" s="39"/>
      <c r="AH139" s="37"/>
      <c r="AI139" s="39"/>
      <c r="AJ139" s="39"/>
      <c r="AK139" s="37"/>
      <c r="AL139" s="39"/>
      <c r="AM139" s="39"/>
      <c r="AN139" s="37"/>
      <c r="AO139" s="39"/>
      <c r="AP139" s="39"/>
      <c r="AQ139" s="37"/>
      <c r="AR139" s="39"/>
      <c r="AS139" s="39"/>
    </row>
    <row r="140" spans="1:45" x14ac:dyDescent="0.45">
      <c r="A140" s="37"/>
      <c r="B140" s="37"/>
      <c r="C140" s="37"/>
      <c r="D140" s="37"/>
      <c r="E140" s="37"/>
      <c r="F140" s="37"/>
      <c r="G140" s="37"/>
      <c r="H140" s="37"/>
      <c r="I140" s="37"/>
      <c r="J140" s="37"/>
      <c r="K140" s="39"/>
      <c r="L140" s="39"/>
      <c r="M140" s="37"/>
      <c r="N140" s="39"/>
      <c r="O140" s="39"/>
      <c r="P140" s="37"/>
      <c r="Q140" s="39"/>
      <c r="R140" s="39"/>
      <c r="S140" s="37"/>
      <c r="T140" s="39"/>
      <c r="U140" s="39"/>
      <c r="V140" s="37"/>
      <c r="W140" s="39"/>
      <c r="X140" s="39"/>
      <c r="Y140" s="37"/>
      <c r="Z140" s="39"/>
      <c r="AA140" s="39"/>
      <c r="AB140" s="37"/>
      <c r="AC140" s="39"/>
      <c r="AD140" s="39"/>
      <c r="AE140" s="37"/>
      <c r="AF140" s="39"/>
      <c r="AG140" s="39"/>
      <c r="AH140" s="37"/>
      <c r="AI140" s="39"/>
      <c r="AJ140" s="39"/>
      <c r="AK140" s="37"/>
      <c r="AL140" s="39"/>
      <c r="AM140" s="39"/>
      <c r="AN140" s="37"/>
      <c r="AO140" s="39"/>
      <c r="AP140" s="39"/>
      <c r="AQ140" s="37"/>
      <c r="AR140" s="39"/>
      <c r="AS140" s="39"/>
    </row>
    <row r="141" spans="1:45" x14ac:dyDescent="0.45">
      <c r="A141" s="37"/>
      <c r="B141" s="37"/>
      <c r="C141" s="37"/>
      <c r="D141" s="37"/>
      <c r="E141" s="37"/>
      <c r="F141" s="37"/>
      <c r="G141" s="37"/>
      <c r="H141" s="37"/>
      <c r="I141" s="37"/>
      <c r="J141" s="37"/>
      <c r="K141" s="39"/>
      <c r="L141" s="39"/>
      <c r="M141" s="37"/>
      <c r="N141" s="39"/>
      <c r="O141" s="39"/>
      <c r="P141" s="37"/>
      <c r="Q141" s="39"/>
      <c r="R141" s="39"/>
      <c r="S141" s="37"/>
      <c r="T141" s="39"/>
      <c r="U141" s="39"/>
      <c r="V141" s="37"/>
      <c r="W141" s="39"/>
      <c r="X141" s="39"/>
      <c r="Y141" s="37"/>
      <c r="Z141" s="39"/>
      <c r="AA141" s="39"/>
      <c r="AB141" s="37"/>
      <c r="AC141" s="39"/>
      <c r="AD141" s="39"/>
      <c r="AE141" s="37"/>
      <c r="AF141" s="39"/>
      <c r="AG141" s="39"/>
      <c r="AH141" s="37"/>
      <c r="AI141" s="39"/>
      <c r="AJ141" s="39"/>
      <c r="AK141" s="37"/>
      <c r="AL141" s="39"/>
      <c r="AM141" s="39"/>
      <c r="AN141" s="37"/>
      <c r="AO141" s="39"/>
      <c r="AP141" s="39"/>
      <c r="AQ141" s="37"/>
      <c r="AR141" s="39"/>
      <c r="AS141" s="39"/>
    </row>
    <row r="142" spans="1:45" x14ac:dyDescent="0.45">
      <c r="A142" s="37"/>
      <c r="B142" s="37"/>
      <c r="C142" s="37"/>
      <c r="D142" s="37"/>
      <c r="E142" s="37"/>
      <c r="F142" s="37"/>
      <c r="G142" s="37"/>
      <c r="H142" s="37"/>
      <c r="I142" s="37"/>
      <c r="J142" s="37"/>
      <c r="K142" s="39"/>
      <c r="L142" s="39"/>
      <c r="M142" s="37"/>
      <c r="N142" s="39"/>
      <c r="O142" s="39"/>
      <c r="P142" s="37"/>
      <c r="Q142" s="39"/>
      <c r="R142" s="39"/>
      <c r="S142" s="37"/>
      <c r="T142" s="39"/>
      <c r="U142" s="39"/>
      <c r="V142" s="37"/>
      <c r="W142" s="39"/>
      <c r="X142" s="39"/>
      <c r="Y142" s="37"/>
      <c r="Z142" s="39"/>
      <c r="AA142" s="39"/>
      <c r="AB142" s="37"/>
      <c r="AC142" s="39"/>
      <c r="AD142" s="39"/>
      <c r="AE142" s="37"/>
      <c r="AF142" s="39"/>
      <c r="AG142" s="39"/>
      <c r="AH142" s="37"/>
      <c r="AI142" s="39"/>
      <c r="AJ142" s="39"/>
      <c r="AK142" s="37"/>
      <c r="AL142" s="39"/>
      <c r="AM142" s="39"/>
      <c r="AN142" s="37"/>
      <c r="AO142" s="39"/>
      <c r="AP142" s="39"/>
      <c r="AQ142" s="37"/>
      <c r="AR142" s="39"/>
      <c r="AS142" s="39"/>
    </row>
    <row r="143" spans="1:45" x14ac:dyDescent="0.45">
      <c r="A143" s="37"/>
      <c r="B143" s="37"/>
      <c r="C143" s="37"/>
      <c r="D143" s="37"/>
      <c r="E143" s="37"/>
      <c r="F143" s="37"/>
      <c r="G143" s="37"/>
      <c r="H143" s="37"/>
      <c r="I143" s="37"/>
      <c r="J143" s="37"/>
      <c r="K143" s="39"/>
      <c r="L143" s="39"/>
      <c r="M143" s="37"/>
      <c r="N143" s="39"/>
      <c r="O143" s="39"/>
      <c r="P143" s="37"/>
      <c r="Q143" s="39"/>
      <c r="R143" s="39"/>
      <c r="S143" s="37"/>
      <c r="T143" s="39"/>
      <c r="U143" s="39"/>
      <c r="V143" s="37"/>
      <c r="W143" s="39"/>
      <c r="X143" s="39"/>
      <c r="Y143" s="37"/>
      <c r="Z143" s="39"/>
      <c r="AA143" s="39"/>
      <c r="AB143" s="37"/>
      <c r="AC143" s="39"/>
      <c r="AD143" s="39"/>
      <c r="AE143" s="37"/>
      <c r="AF143" s="39"/>
      <c r="AG143" s="39"/>
      <c r="AH143" s="37"/>
      <c r="AI143" s="39"/>
      <c r="AJ143" s="39"/>
      <c r="AK143" s="37"/>
      <c r="AL143" s="39"/>
      <c r="AM143" s="39"/>
      <c r="AN143" s="37"/>
      <c r="AO143" s="39"/>
      <c r="AP143" s="39"/>
      <c r="AQ143" s="37"/>
      <c r="AR143" s="39"/>
      <c r="AS143" s="39"/>
    </row>
    <row r="144" spans="1:45" x14ac:dyDescent="0.45">
      <c r="A144" s="37"/>
      <c r="B144" s="37"/>
      <c r="C144" s="37"/>
      <c r="D144" s="37"/>
      <c r="E144" s="37"/>
      <c r="F144" s="37"/>
      <c r="G144" s="37"/>
      <c r="H144" s="37"/>
      <c r="I144" s="37"/>
      <c r="J144" s="37"/>
      <c r="K144" s="39"/>
      <c r="L144" s="39"/>
      <c r="M144" s="37"/>
      <c r="N144" s="39"/>
      <c r="O144" s="39"/>
      <c r="P144" s="37"/>
      <c r="Q144" s="39"/>
      <c r="R144" s="39"/>
      <c r="S144" s="37"/>
      <c r="T144" s="39"/>
      <c r="U144" s="39"/>
      <c r="V144" s="37"/>
      <c r="W144" s="39"/>
      <c r="X144" s="39"/>
      <c r="Y144" s="37"/>
      <c r="Z144" s="39"/>
      <c r="AA144" s="39"/>
      <c r="AB144" s="37"/>
      <c r="AC144" s="39"/>
      <c r="AD144" s="39"/>
      <c r="AE144" s="37"/>
      <c r="AF144" s="39"/>
      <c r="AG144" s="39"/>
      <c r="AH144" s="37"/>
      <c r="AI144" s="39"/>
      <c r="AJ144" s="39"/>
      <c r="AK144" s="37"/>
      <c r="AL144" s="39"/>
      <c r="AM144" s="39"/>
      <c r="AN144" s="37"/>
      <c r="AO144" s="39"/>
      <c r="AP144" s="39"/>
      <c r="AQ144" s="37"/>
      <c r="AR144" s="39"/>
      <c r="AS144" s="39"/>
    </row>
    <row r="145" spans="1:45" x14ac:dyDescent="0.45">
      <c r="A145" s="37"/>
      <c r="B145" s="37"/>
      <c r="C145" s="37"/>
      <c r="D145" s="37"/>
      <c r="E145" s="37"/>
      <c r="F145" s="37"/>
      <c r="G145" s="37"/>
      <c r="H145" s="37"/>
      <c r="I145" s="37"/>
      <c r="J145" s="37"/>
      <c r="K145" s="39"/>
      <c r="L145" s="39"/>
      <c r="M145" s="37"/>
      <c r="N145" s="39"/>
      <c r="O145" s="39"/>
      <c r="P145" s="37"/>
      <c r="Q145" s="39"/>
      <c r="R145" s="39"/>
      <c r="S145" s="37"/>
      <c r="T145" s="39"/>
      <c r="U145" s="39"/>
      <c r="V145" s="37"/>
      <c r="W145" s="39"/>
      <c r="X145" s="39"/>
      <c r="Y145" s="37"/>
      <c r="Z145" s="39"/>
      <c r="AA145" s="39"/>
      <c r="AB145" s="37"/>
      <c r="AC145" s="39"/>
      <c r="AD145" s="39"/>
      <c r="AE145" s="37"/>
      <c r="AF145" s="39"/>
      <c r="AG145" s="39"/>
      <c r="AH145" s="37"/>
      <c r="AI145" s="39"/>
      <c r="AJ145" s="39"/>
      <c r="AK145" s="37"/>
      <c r="AL145" s="39"/>
      <c r="AM145" s="39"/>
      <c r="AN145" s="37"/>
      <c r="AO145" s="39"/>
      <c r="AP145" s="39"/>
      <c r="AQ145" s="37"/>
      <c r="AR145" s="39"/>
      <c r="AS145" s="39"/>
    </row>
    <row r="146" spans="1:45" x14ac:dyDescent="0.45">
      <c r="A146" s="37"/>
      <c r="B146" s="37"/>
      <c r="C146" s="37"/>
      <c r="D146" s="37"/>
      <c r="E146" s="37"/>
      <c r="F146" s="37"/>
      <c r="G146" s="37"/>
      <c r="H146" s="37"/>
      <c r="I146" s="37"/>
      <c r="J146" s="37"/>
      <c r="K146" s="39"/>
      <c r="L146" s="39"/>
      <c r="M146" s="37"/>
      <c r="N146" s="39"/>
      <c r="O146" s="39"/>
      <c r="P146" s="37"/>
      <c r="Q146" s="39"/>
      <c r="R146" s="39"/>
      <c r="S146" s="37"/>
      <c r="T146" s="39"/>
      <c r="U146" s="39"/>
      <c r="V146" s="37"/>
      <c r="W146" s="39"/>
      <c r="X146" s="39"/>
      <c r="Y146" s="37"/>
      <c r="Z146" s="39"/>
      <c r="AA146" s="39"/>
      <c r="AB146" s="37"/>
      <c r="AC146" s="39"/>
      <c r="AD146" s="39"/>
      <c r="AE146" s="37"/>
      <c r="AF146" s="39"/>
      <c r="AG146" s="39"/>
      <c r="AH146" s="37"/>
      <c r="AI146" s="39"/>
      <c r="AJ146" s="39"/>
      <c r="AK146" s="37"/>
      <c r="AL146" s="39"/>
      <c r="AM146" s="39"/>
      <c r="AN146" s="37"/>
      <c r="AO146" s="39"/>
      <c r="AP146" s="39"/>
      <c r="AQ146" s="37"/>
      <c r="AR146" s="39"/>
      <c r="AS146" s="39"/>
    </row>
    <row r="147" spans="1:45" x14ac:dyDescent="0.45">
      <c r="A147" s="37"/>
      <c r="B147" s="37"/>
      <c r="C147" s="37"/>
      <c r="D147" s="37"/>
      <c r="E147" s="37"/>
      <c r="F147" s="37"/>
      <c r="G147" s="37"/>
      <c r="H147" s="37"/>
      <c r="I147" s="37"/>
      <c r="J147" s="37"/>
      <c r="K147" s="39"/>
      <c r="L147" s="39"/>
      <c r="M147" s="37"/>
      <c r="N147" s="39"/>
      <c r="O147" s="39"/>
      <c r="P147" s="37"/>
      <c r="Q147" s="39"/>
      <c r="R147" s="39"/>
      <c r="S147" s="37"/>
      <c r="T147" s="39"/>
      <c r="U147" s="39"/>
      <c r="V147" s="37"/>
      <c r="W147" s="39"/>
      <c r="X147" s="39"/>
      <c r="Y147" s="37"/>
      <c r="Z147" s="39"/>
      <c r="AA147" s="39"/>
      <c r="AB147" s="37"/>
      <c r="AC147" s="39"/>
      <c r="AD147" s="39"/>
      <c r="AE147" s="37"/>
      <c r="AF147" s="39"/>
      <c r="AG147" s="39"/>
      <c r="AH147" s="37"/>
      <c r="AI147" s="39"/>
      <c r="AJ147" s="39"/>
      <c r="AK147" s="37"/>
      <c r="AL147" s="39"/>
      <c r="AM147" s="39"/>
      <c r="AN147" s="37"/>
      <c r="AO147" s="39"/>
      <c r="AP147" s="39"/>
      <c r="AQ147" s="37"/>
      <c r="AR147" s="39"/>
      <c r="AS147" s="39"/>
    </row>
    <row r="148" spans="1:45" x14ac:dyDescent="0.45">
      <c r="A148" s="37"/>
      <c r="B148" s="37"/>
      <c r="C148" s="37"/>
      <c r="D148" s="37"/>
      <c r="E148" s="37"/>
      <c r="F148" s="37"/>
      <c r="G148" s="37"/>
      <c r="H148" s="37"/>
      <c r="I148" s="37"/>
      <c r="J148" s="37"/>
      <c r="K148" s="39"/>
      <c r="L148" s="39"/>
      <c r="M148" s="37"/>
      <c r="N148" s="39"/>
      <c r="O148" s="39"/>
      <c r="P148" s="37"/>
      <c r="Q148" s="39"/>
      <c r="R148" s="39"/>
      <c r="S148" s="37"/>
      <c r="T148" s="39"/>
      <c r="U148" s="39"/>
      <c r="V148" s="37"/>
      <c r="W148" s="39"/>
      <c r="X148" s="39"/>
      <c r="Y148" s="37"/>
      <c r="Z148" s="39"/>
      <c r="AA148" s="39"/>
      <c r="AB148" s="37"/>
      <c r="AC148" s="39"/>
      <c r="AD148" s="39"/>
      <c r="AE148" s="37"/>
      <c r="AF148" s="39"/>
      <c r="AG148" s="39"/>
      <c r="AH148" s="37"/>
      <c r="AI148" s="39"/>
      <c r="AJ148" s="39"/>
      <c r="AK148" s="37"/>
      <c r="AL148" s="39"/>
      <c r="AM148" s="39"/>
      <c r="AN148" s="37"/>
      <c r="AO148" s="39"/>
      <c r="AP148" s="39"/>
      <c r="AQ148" s="37"/>
      <c r="AR148" s="39"/>
      <c r="AS148" s="39"/>
    </row>
    <row r="149" spans="1:45" x14ac:dyDescent="0.45">
      <c r="A149" s="37"/>
      <c r="B149" s="37"/>
      <c r="C149" s="37"/>
      <c r="D149" s="37"/>
      <c r="E149" s="37"/>
      <c r="F149" s="37"/>
      <c r="G149" s="37"/>
      <c r="H149" s="37"/>
      <c r="I149" s="37"/>
      <c r="J149" s="37"/>
      <c r="K149" s="39"/>
      <c r="L149" s="39"/>
      <c r="M149" s="37"/>
      <c r="N149" s="39"/>
      <c r="O149" s="39"/>
      <c r="P149" s="37"/>
      <c r="Q149" s="39"/>
      <c r="R149" s="39"/>
      <c r="S149" s="37"/>
      <c r="T149" s="39"/>
      <c r="U149" s="39"/>
      <c r="V149" s="37"/>
      <c r="W149" s="39"/>
      <c r="X149" s="39"/>
      <c r="Y149" s="37"/>
      <c r="Z149" s="39"/>
      <c r="AA149" s="39"/>
      <c r="AB149" s="37"/>
      <c r="AC149" s="39"/>
      <c r="AD149" s="39"/>
      <c r="AE149" s="37"/>
      <c r="AF149" s="39"/>
      <c r="AG149" s="39"/>
      <c r="AH149" s="37"/>
      <c r="AI149" s="39"/>
      <c r="AJ149" s="39"/>
      <c r="AK149" s="37"/>
      <c r="AL149" s="39"/>
      <c r="AM149" s="39"/>
      <c r="AN149" s="37"/>
      <c r="AO149" s="39"/>
      <c r="AP149" s="39"/>
      <c r="AQ149" s="37"/>
      <c r="AR149" s="39"/>
      <c r="AS149" s="39"/>
    </row>
    <row r="150" spans="1:45" x14ac:dyDescent="0.45">
      <c r="A150" s="37"/>
      <c r="B150" s="37"/>
      <c r="C150" s="37"/>
      <c r="D150" s="37"/>
      <c r="E150" s="37"/>
      <c r="F150" s="37"/>
      <c r="G150" s="37"/>
      <c r="H150" s="37"/>
      <c r="I150" s="37"/>
      <c r="J150" s="37"/>
      <c r="K150" s="39"/>
      <c r="L150" s="39"/>
      <c r="M150" s="37"/>
      <c r="N150" s="39"/>
      <c r="O150" s="39"/>
      <c r="P150" s="37"/>
      <c r="Q150" s="39"/>
      <c r="R150" s="39"/>
      <c r="S150" s="37"/>
      <c r="T150" s="39"/>
      <c r="U150" s="39"/>
      <c r="V150" s="37"/>
      <c r="W150" s="39"/>
      <c r="X150" s="39"/>
      <c r="Y150" s="37"/>
      <c r="Z150" s="39"/>
      <c r="AA150" s="39"/>
      <c r="AB150" s="37"/>
      <c r="AC150" s="39"/>
      <c r="AD150" s="39"/>
      <c r="AE150" s="37"/>
      <c r="AF150" s="39"/>
      <c r="AG150" s="39"/>
      <c r="AH150" s="37"/>
      <c r="AI150" s="39"/>
      <c r="AJ150" s="39"/>
      <c r="AK150" s="37"/>
      <c r="AL150" s="39"/>
      <c r="AM150" s="39"/>
      <c r="AN150" s="37"/>
      <c r="AO150" s="39"/>
      <c r="AP150" s="39"/>
      <c r="AQ150" s="37"/>
      <c r="AR150" s="39"/>
      <c r="AS150" s="39"/>
    </row>
    <row r="151" spans="1:45" x14ac:dyDescent="0.45">
      <c r="A151" s="37"/>
      <c r="B151" s="37"/>
      <c r="C151" s="37"/>
      <c r="D151" s="37"/>
      <c r="E151" s="37"/>
      <c r="F151" s="37"/>
      <c r="G151" s="37"/>
      <c r="H151" s="37"/>
      <c r="I151" s="37"/>
      <c r="J151" s="37"/>
      <c r="K151" s="39"/>
      <c r="L151" s="39"/>
      <c r="M151" s="37"/>
      <c r="N151" s="39"/>
      <c r="O151" s="39"/>
      <c r="P151" s="37"/>
      <c r="Q151" s="39"/>
      <c r="R151" s="39"/>
      <c r="S151" s="37"/>
      <c r="T151" s="39"/>
      <c r="U151" s="39"/>
      <c r="V151" s="37"/>
      <c r="W151" s="39"/>
      <c r="X151" s="39"/>
      <c r="Y151" s="37"/>
      <c r="Z151" s="39"/>
      <c r="AA151" s="39"/>
      <c r="AB151" s="37"/>
      <c r="AC151" s="39"/>
      <c r="AD151" s="39"/>
      <c r="AE151" s="37"/>
      <c r="AF151" s="39"/>
      <c r="AG151" s="39"/>
      <c r="AH151" s="37"/>
      <c r="AI151" s="39"/>
      <c r="AJ151" s="39"/>
      <c r="AK151" s="37"/>
      <c r="AL151" s="39"/>
      <c r="AM151" s="39"/>
      <c r="AN151" s="37"/>
      <c r="AO151" s="39"/>
      <c r="AP151" s="39"/>
      <c r="AQ151" s="37"/>
      <c r="AR151" s="39"/>
      <c r="AS151" s="39"/>
    </row>
    <row r="152" spans="1:45" x14ac:dyDescent="0.45">
      <c r="A152" s="37"/>
      <c r="B152" s="37"/>
      <c r="C152" s="37"/>
      <c r="D152" s="37"/>
      <c r="E152" s="37"/>
      <c r="F152" s="37"/>
      <c r="G152" s="37"/>
      <c r="H152" s="37"/>
      <c r="I152" s="37"/>
      <c r="J152" s="37"/>
      <c r="K152" s="39"/>
      <c r="L152" s="39"/>
      <c r="M152" s="37"/>
      <c r="N152" s="39"/>
      <c r="O152" s="39"/>
      <c r="P152" s="37"/>
      <c r="Q152" s="39"/>
      <c r="R152" s="39"/>
      <c r="S152" s="37"/>
      <c r="T152" s="39"/>
      <c r="U152" s="39"/>
      <c r="V152" s="37"/>
      <c r="W152" s="39"/>
      <c r="X152" s="39"/>
      <c r="Y152" s="37"/>
      <c r="Z152" s="39"/>
      <c r="AA152" s="39"/>
      <c r="AB152" s="37"/>
      <c r="AC152" s="39"/>
      <c r="AD152" s="39"/>
      <c r="AE152" s="37"/>
      <c r="AF152" s="39"/>
      <c r="AG152" s="39"/>
      <c r="AH152" s="37"/>
      <c r="AI152" s="39"/>
      <c r="AJ152" s="39"/>
      <c r="AK152" s="37"/>
      <c r="AL152" s="39"/>
      <c r="AM152" s="39"/>
      <c r="AN152" s="37"/>
      <c r="AO152" s="39"/>
      <c r="AP152" s="39"/>
      <c r="AQ152" s="37"/>
      <c r="AR152" s="39"/>
      <c r="AS152" s="39"/>
    </row>
    <row r="153" spans="1:45" x14ac:dyDescent="0.45">
      <c r="A153" s="37"/>
      <c r="B153" s="37"/>
      <c r="C153" s="37"/>
      <c r="D153" s="37"/>
      <c r="E153" s="37"/>
      <c r="F153" s="37"/>
      <c r="G153" s="37"/>
      <c r="H153" s="37"/>
      <c r="I153" s="37"/>
      <c r="J153" s="37"/>
      <c r="K153" s="39"/>
      <c r="L153" s="39"/>
      <c r="M153" s="37"/>
      <c r="N153" s="39"/>
      <c r="O153" s="39"/>
      <c r="P153" s="37"/>
      <c r="Q153" s="39"/>
      <c r="R153" s="39"/>
      <c r="S153" s="37"/>
      <c r="T153" s="39"/>
      <c r="U153" s="39"/>
      <c r="V153" s="37"/>
      <c r="W153" s="39"/>
      <c r="X153" s="39"/>
      <c r="Y153" s="37"/>
      <c r="Z153" s="39"/>
      <c r="AA153" s="39"/>
      <c r="AB153" s="37"/>
      <c r="AC153" s="39"/>
      <c r="AD153" s="39"/>
      <c r="AE153" s="37"/>
      <c r="AF153" s="39"/>
      <c r="AG153" s="39"/>
      <c r="AH153" s="37"/>
      <c r="AI153" s="39"/>
      <c r="AJ153" s="39"/>
      <c r="AK153" s="37"/>
      <c r="AL153" s="39"/>
      <c r="AM153" s="39"/>
      <c r="AN153" s="37"/>
      <c r="AO153" s="39"/>
      <c r="AP153" s="39"/>
      <c r="AQ153" s="37"/>
      <c r="AR153" s="39"/>
      <c r="AS153" s="39"/>
    </row>
    <row r="154" spans="1:45" x14ac:dyDescent="0.45">
      <c r="A154" s="37"/>
      <c r="B154" s="37"/>
      <c r="C154" s="37"/>
      <c r="D154" s="37"/>
      <c r="E154" s="37"/>
      <c r="F154" s="37"/>
      <c r="G154" s="37"/>
      <c r="H154" s="37"/>
      <c r="I154" s="37"/>
      <c r="J154" s="37"/>
      <c r="K154" s="39"/>
      <c r="L154" s="39"/>
      <c r="M154" s="37"/>
      <c r="N154" s="39"/>
      <c r="O154" s="39"/>
      <c r="P154" s="37"/>
      <c r="Q154" s="39"/>
      <c r="R154" s="39"/>
      <c r="S154" s="37"/>
      <c r="T154" s="39"/>
      <c r="U154" s="39"/>
      <c r="V154" s="37"/>
      <c r="W154" s="39"/>
      <c r="X154" s="39"/>
      <c r="Y154" s="37"/>
      <c r="Z154" s="39"/>
      <c r="AA154" s="39"/>
      <c r="AB154" s="37"/>
      <c r="AC154" s="39"/>
      <c r="AD154" s="39"/>
      <c r="AE154" s="37"/>
      <c r="AF154" s="39"/>
      <c r="AG154" s="39"/>
      <c r="AH154" s="37"/>
      <c r="AI154" s="39"/>
      <c r="AJ154" s="39"/>
      <c r="AK154" s="37"/>
      <c r="AL154" s="39"/>
      <c r="AM154" s="39"/>
      <c r="AN154" s="37"/>
      <c r="AO154" s="39"/>
      <c r="AP154" s="39"/>
      <c r="AQ154" s="37"/>
      <c r="AR154" s="39"/>
      <c r="AS154" s="39"/>
    </row>
    <row r="155" spans="1:45" x14ac:dyDescent="0.45">
      <c r="A155" s="37"/>
      <c r="B155" s="37"/>
      <c r="C155" s="37"/>
      <c r="D155" s="37"/>
      <c r="E155" s="37"/>
      <c r="F155" s="37"/>
      <c r="G155" s="37"/>
      <c r="H155" s="37"/>
      <c r="I155" s="37"/>
      <c r="J155" s="37"/>
      <c r="K155" s="39"/>
      <c r="L155" s="39"/>
      <c r="M155" s="37"/>
      <c r="N155" s="39"/>
      <c r="O155" s="39"/>
      <c r="P155" s="37"/>
      <c r="Q155" s="39"/>
      <c r="R155" s="39"/>
      <c r="S155" s="37"/>
      <c r="T155" s="39"/>
      <c r="U155" s="39"/>
      <c r="V155" s="37"/>
      <c r="W155" s="39"/>
      <c r="X155" s="39"/>
      <c r="Y155" s="37"/>
      <c r="Z155" s="39"/>
      <c r="AA155" s="39"/>
      <c r="AB155" s="37"/>
      <c r="AC155" s="39"/>
      <c r="AD155" s="39"/>
      <c r="AE155" s="37"/>
      <c r="AF155" s="39"/>
      <c r="AG155" s="39"/>
      <c r="AH155" s="37"/>
      <c r="AI155" s="39"/>
      <c r="AJ155" s="39"/>
      <c r="AK155" s="37"/>
      <c r="AL155" s="39"/>
      <c r="AM155" s="39"/>
      <c r="AN155" s="37"/>
      <c r="AO155" s="39"/>
      <c r="AP155" s="39"/>
      <c r="AQ155" s="37"/>
      <c r="AR155" s="39"/>
      <c r="AS155" s="39"/>
    </row>
    <row r="156" spans="1:45" x14ac:dyDescent="0.45">
      <c r="A156" s="37"/>
      <c r="B156" s="37"/>
      <c r="C156" s="37"/>
      <c r="D156" s="37"/>
      <c r="E156" s="37"/>
      <c r="F156" s="37"/>
      <c r="G156" s="37"/>
      <c r="H156" s="37"/>
      <c r="I156" s="37"/>
      <c r="J156" s="37"/>
      <c r="K156" s="39"/>
      <c r="L156" s="39"/>
      <c r="M156" s="37"/>
      <c r="N156" s="39"/>
      <c r="O156" s="39"/>
      <c r="P156" s="37"/>
      <c r="Q156" s="39"/>
      <c r="R156" s="39"/>
      <c r="S156" s="37"/>
      <c r="T156" s="39"/>
      <c r="U156" s="39"/>
      <c r="V156" s="37"/>
      <c r="W156" s="39"/>
      <c r="X156" s="39"/>
      <c r="Y156" s="37"/>
      <c r="Z156" s="39"/>
      <c r="AA156" s="39"/>
      <c r="AB156" s="37"/>
      <c r="AC156" s="39"/>
      <c r="AD156" s="39"/>
      <c r="AE156" s="37"/>
      <c r="AF156" s="39"/>
      <c r="AG156" s="39"/>
      <c r="AH156" s="37"/>
      <c r="AI156" s="39"/>
      <c r="AJ156" s="39"/>
      <c r="AK156" s="37"/>
      <c r="AL156" s="39"/>
      <c r="AM156" s="39"/>
      <c r="AN156" s="37"/>
      <c r="AO156" s="39"/>
      <c r="AP156" s="39"/>
      <c r="AQ156" s="37"/>
      <c r="AR156" s="39"/>
      <c r="AS156" s="39"/>
    </row>
    <row r="157" spans="1:45" x14ac:dyDescent="0.45">
      <c r="A157" s="37"/>
      <c r="B157" s="37"/>
      <c r="C157" s="37"/>
      <c r="D157" s="37"/>
      <c r="E157" s="37"/>
      <c r="F157" s="37"/>
      <c r="G157" s="37"/>
      <c r="H157" s="37"/>
      <c r="I157" s="37"/>
      <c r="J157" s="37"/>
      <c r="K157" s="39"/>
      <c r="L157" s="39"/>
      <c r="M157" s="37"/>
      <c r="N157" s="39"/>
      <c r="O157" s="39"/>
      <c r="P157" s="37"/>
      <c r="Q157" s="39"/>
      <c r="R157" s="39"/>
      <c r="S157" s="37"/>
      <c r="T157" s="39"/>
      <c r="U157" s="39"/>
      <c r="V157" s="37"/>
      <c r="W157" s="39"/>
      <c r="X157" s="39"/>
      <c r="Y157" s="37"/>
      <c r="Z157" s="39"/>
      <c r="AA157" s="39"/>
      <c r="AB157" s="37"/>
      <c r="AC157" s="39"/>
      <c r="AD157" s="39"/>
      <c r="AE157" s="37"/>
      <c r="AF157" s="39"/>
      <c r="AG157" s="39"/>
      <c r="AH157" s="37"/>
      <c r="AI157" s="39"/>
      <c r="AJ157" s="39"/>
      <c r="AK157" s="37"/>
      <c r="AL157" s="39"/>
      <c r="AM157" s="39"/>
      <c r="AN157" s="37"/>
      <c r="AO157" s="39"/>
      <c r="AP157" s="39"/>
      <c r="AQ157" s="37"/>
      <c r="AR157" s="39"/>
      <c r="AS157" s="39"/>
    </row>
    <row r="158" spans="1:45" x14ac:dyDescent="0.45">
      <c r="A158" s="37"/>
      <c r="B158" s="37"/>
      <c r="C158" s="37"/>
      <c r="D158" s="37"/>
      <c r="E158" s="37"/>
      <c r="F158" s="37"/>
      <c r="G158" s="37"/>
      <c r="H158" s="37"/>
      <c r="I158" s="37"/>
      <c r="J158" s="37"/>
      <c r="K158" s="39"/>
      <c r="L158" s="39"/>
      <c r="M158" s="37"/>
      <c r="N158" s="39"/>
      <c r="O158" s="39"/>
      <c r="P158" s="37"/>
      <c r="Q158" s="39"/>
      <c r="R158" s="39"/>
      <c r="S158" s="37"/>
      <c r="T158" s="39"/>
      <c r="U158" s="39"/>
      <c r="V158" s="37"/>
      <c r="W158" s="39"/>
      <c r="X158" s="39"/>
      <c r="Y158" s="37"/>
      <c r="Z158" s="39"/>
      <c r="AA158" s="39"/>
      <c r="AB158" s="37"/>
      <c r="AC158" s="39"/>
      <c r="AD158" s="39"/>
      <c r="AE158" s="37"/>
      <c r="AF158" s="39"/>
      <c r="AG158" s="39"/>
      <c r="AH158" s="37"/>
      <c r="AI158" s="39"/>
      <c r="AJ158" s="39"/>
      <c r="AK158" s="37"/>
      <c r="AL158" s="39"/>
      <c r="AM158" s="39"/>
      <c r="AN158" s="37"/>
      <c r="AO158" s="39"/>
      <c r="AP158" s="39"/>
      <c r="AQ158" s="37"/>
      <c r="AR158" s="39"/>
      <c r="AS158" s="39"/>
    </row>
    <row r="159" spans="1:45" x14ac:dyDescent="0.45">
      <c r="A159" s="37"/>
      <c r="B159" s="37"/>
      <c r="C159" s="37"/>
      <c r="D159" s="37"/>
      <c r="E159" s="37"/>
      <c r="F159" s="37"/>
      <c r="G159" s="37"/>
      <c r="H159" s="37"/>
      <c r="I159" s="37"/>
      <c r="J159" s="37"/>
      <c r="K159" s="39"/>
      <c r="L159" s="39"/>
      <c r="M159" s="37"/>
      <c r="N159" s="39"/>
      <c r="O159" s="39"/>
      <c r="P159" s="37"/>
      <c r="Q159" s="39"/>
      <c r="R159" s="39"/>
      <c r="S159" s="37"/>
      <c r="T159" s="39"/>
      <c r="U159" s="39"/>
      <c r="V159" s="37"/>
      <c r="W159" s="39"/>
      <c r="X159" s="39"/>
      <c r="Y159" s="37"/>
      <c r="Z159" s="39"/>
      <c r="AA159" s="39"/>
      <c r="AB159" s="37"/>
      <c r="AC159" s="39"/>
      <c r="AD159" s="39"/>
      <c r="AE159" s="37"/>
      <c r="AF159" s="39"/>
      <c r="AG159" s="39"/>
      <c r="AH159" s="37"/>
      <c r="AI159" s="39"/>
      <c r="AJ159" s="39"/>
      <c r="AK159" s="37"/>
      <c r="AL159" s="39"/>
      <c r="AM159" s="39"/>
      <c r="AN159" s="37"/>
      <c r="AO159" s="39"/>
      <c r="AP159" s="39"/>
      <c r="AQ159" s="37"/>
      <c r="AR159" s="39"/>
      <c r="AS159" s="39"/>
    </row>
    <row r="160" spans="1:45" x14ac:dyDescent="0.45">
      <c r="A160" s="37"/>
      <c r="B160" s="37"/>
      <c r="C160" s="37"/>
      <c r="D160" s="37"/>
      <c r="E160" s="37"/>
      <c r="F160" s="37"/>
      <c r="G160" s="37"/>
      <c r="H160" s="37"/>
      <c r="I160" s="37"/>
      <c r="J160" s="37"/>
      <c r="K160" s="39"/>
      <c r="L160" s="39"/>
      <c r="M160" s="37"/>
      <c r="N160" s="39"/>
      <c r="O160" s="39"/>
      <c r="P160" s="37"/>
      <c r="Q160" s="39"/>
      <c r="R160" s="39"/>
      <c r="S160" s="37"/>
      <c r="T160" s="39"/>
      <c r="U160" s="39"/>
      <c r="V160" s="37"/>
      <c r="W160" s="39"/>
      <c r="X160" s="39"/>
      <c r="Y160" s="37"/>
      <c r="Z160" s="39"/>
      <c r="AA160" s="39"/>
      <c r="AB160" s="37"/>
      <c r="AC160" s="39"/>
      <c r="AD160" s="39"/>
      <c r="AE160" s="37"/>
      <c r="AF160" s="39"/>
      <c r="AG160" s="39"/>
      <c r="AH160" s="37"/>
      <c r="AI160" s="39"/>
      <c r="AJ160" s="39"/>
      <c r="AK160" s="37"/>
      <c r="AL160" s="39"/>
      <c r="AM160" s="39"/>
      <c r="AN160" s="37"/>
      <c r="AO160" s="39"/>
      <c r="AP160" s="39"/>
      <c r="AQ160" s="37"/>
      <c r="AR160" s="39"/>
      <c r="AS160" s="39"/>
    </row>
    <row r="161" spans="1:45" x14ac:dyDescent="0.45">
      <c r="A161" s="37"/>
      <c r="B161" s="37"/>
      <c r="C161" s="37"/>
      <c r="D161" s="37"/>
      <c r="E161" s="37"/>
      <c r="F161" s="37"/>
      <c r="G161" s="37"/>
      <c r="H161" s="37"/>
      <c r="I161" s="37"/>
      <c r="J161" s="37"/>
      <c r="K161" s="39"/>
      <c r="L161" s="39"/>
      <c r="M161" s="37"/>
      <c r="N161" s="39"/>
      <c r="O161" s="39"/>
      <c r="P161" s="37"/>
      <c r="Q161" s="39"/>
      <c r="R161" s="39"/>
      <c r="S161" s="37"/>
      <c r="T161" s="39"/>
      <c r="U161" s="39"/>
      <c r="V161" s="37"/>
      <c r="W161" s="39"/>
      <c r="X161" s="39"/>
      <c r="Y161" s="37"/>
      <c r="Z161" s="39"/>
      <c r="AA161" s="39"/>
      <c r="AB161" s="37"/>
      <c r="AC161" s="39"/>
      <c r="AD161" s="39"/>
      <c r="AE161" s="37"/>
      <c r="AF161" s="39"/>
      <c r="AG161" s="39"/>
      <c r="AH161" s="37"/>
      <c r="AI161" s="39"/>
      <c r="AJ161" s="39"/>
      <c r="AK161" s="37"/>
      <c r="AL161" s="39"/>
      <c r="AM161" s="39"/>
      <c r="AN161" s="37"/>
      <c r="AO161" s="39"/>
      <c r="AP161" s="39"/>
      <c r="AQ161" s="37"/>
      <c r="AR161" s="39"/>
      <c r="AS161" s="39"/>
    </row>
    <row r="162" spans="1:45" x14ac:dyDescent="0.45">
      <c r="A162" s="37"/>
      <c r="B162" s="37"/>
      <c r="C162" s="37"/>
      <c r="D162" s="37"/>
      <c r="E162" s="37"/>
      <c r="F162" s="37"/>
      <c r="G162" s="37"/>
      <c r="H162" s="37"/>
      <c r="I162" s="37"/>
      <c r="J162" s="37"/>
      <c r="K162" s="39"/>
      <c r="L162" s="39"/>
      <c r="M162" s="37"/>
      <c r="N162" s="39"/>
      <c r="O162" s="39"/>
      <c r="P162" s="37"/>
      <c r="Q162" s="39"/>
      <c r="R162" s="39"/>
      <c r="S162" s="37"/>
      <c r="T162" s="39"/>
      <c r="U162" s="39"/>
      <c r="V162" s="37"/>
      <c r="W162" s="39"/>
      <c r="X162" s="39"/>
      <c r="Y162" s="37"/>
      <c r="Z162" s="39"/>
      <c r="AA162" s="39"/>
      <c r="AB162" s="37"/>
      <c r="AC162" s="39"/>
      <c r="AD162" s="39"/>
      <c r="AE162" s="37"/>
      <c r="AF162" s="39"/>
      <c r="AG162" s="39"/>
      <c r="AH162" s="37"/>
      <c r="AI162" s="39"/>
      <c r="AJ162" s="39"/>
      <c r="AK162" s="37"/>
      <c r="AL162" s="39"/>
      <c r="AM162" s="39"/>
      <c r="AN162" s="37"/>
      <c r="AO162" s="39"/>
      <c r="AP162" s="39"/>
      <c r="AQ162" s="37"/>
      <c r="AR162" s="39"/>
      <c r="AS162" s="39"/>
    </row>
    <row r="163" spans="1:45" x14ac:dyDescent="0.45">
      <c r="A163" s="37"/>
      <c r="B163" s="37"/>
      <c r="C163" s="37"/>
      <c r="D163" s="37"/>
      <c r="E163" s="37"/>
      <c r="F163" s="37"/>
      <c r="G163" s="37"/>
      <c r="H163" s="37"/>
      <c r="I163" s="37"/>
      <c r="J163" s="37"/>
      <c r="K163" s="39"/>
      <c r="L163" s="39"/>
      <c r="M163" s="37"/>
      <c r="N163" s="39"/>
      <c r="O163" s="39"/>
      <c r="P163" s="37"/>
      <c r="Q163" s="39"/>
      <c r="R163" s="39"/>
      <c r="S163" s="37"/>
      <c r="T163" s="39"/>
      <c r="U163" s="39"/>
      <c r="V163" s="37"/>
      <c r="W163" s="39"/>
      <c r="X163" s="39"/>
      <c r="Y163" s="37"/>
      <c r="Z163" s="39"/>
      <c r="AA163" s="39"/>
      <c r="AB163" s="37"/>
      <c r="AC163" s="39"/>
      <c r="AD163" s="39"/>
      <c r="AE163" s="37"/>
      <c r="AF163" s="39"/>
      <c r="AG163" s="39"/>
      <c r="AH163" s="37"/>
      <c r="AI163" s="39"/>
      <c r="AJ163" s="39"/>
      <c r="AK163" s="37"/>
      <c r="AL163" s="39"/>
      <c r="AM163" s="39"/>
      <c r="AN163" s="37"/>
      <c r="AO163" s="39"/>
      <c r="AP163" s="39"/>
      <c r="AQ163" s="37"/>
      <c r="AR163" s="39"/>
      <c r="AS163" s="39"/>
    </row>
    <row r="164" spans="1:45" x14ac:dyDescent="0.45">
      <c r="A164" s="37"/>
      <c r="B164" s="37"/>
      <c r="C164" s="37"/>
      <c r="D164" s="37"/>
      <c r="E164" s="37"/>
      <c r="F164" s="37"/>
      <c r="G164" s="37"/>
      <c r="H164" s="37"/>
      <c r="I164" s="37"/>
      <c r="J164" s="37"/>
      <c r="K164" s="39"/>
      <c r="L164" s="39"/>
      <c r="M164" s="37"/>
      <c r="N164" s="39"/>
      <c r="O164" s="39"/>
      <c r="P164" s="37"/>
      <c r="Q164" s="39"/>
      <c r="R164" s="39"/>
      <c r="S164" s="37"/>
      <c r="T164" s="39"/>
      <c r="U164" s="39"/>
      <c r="V164" s="37"/>
      <c r="W164" s="39"/>
      <c r="X164" s="39"/>
      <c r="Y164" s="37"/>
      <c r="Z164" s="39"/>
      <c r="AA164" s="39"/>
      <c r="AB164" s="37"/>
      <c r="AC164" s="39"/>
      <c r="AD164" s="39"/>
      <c r="AE164" s="37"/>
      <c r="AF164" s="39"/>
      <c r="AG164" s="39"/>
      <c r="AH164" s="37"/>
      <c r="AI164" s="39"/>
      <c r="AJ164" s="39"/>
      <c r="AK164" s="37"/>
      <c r="AL164" s="39"/>
      <c r="AM164" s="39"/>
      <c r="AN164" s="37"/>
      <c r="AO164" s="39"/>
      <c r="AP164" s="39"/>
      <c r="AQ164" s="37"/>
      <c r="AR164" s="39"/>
      <c r="AS164" s="39"/>
    </row>
    <row r="165" spans="1:45" x14ac:dyDescent="0.45">
      <c r="A165" s="37"/>
      <c r="B165" s="37"/>
      <c r="C165" s="37"/>
      <c r="D165" s="37"/>
      <c r="E165" s="37"/>
      <c r="F165" s="37"/>
      <c r="G165" s="37"/>
      <c r="H165" s="37"/>
      <c r="I165" s="37"/>
      <c r="J165" s="37"/>
      <c r="K165" s="39"/>
      <c r="L165" s="39"/>
      <c r="M165" s="37"/>
      <c r="N165" s="39"/>
      <c r="O165" s="39"/>
      <c r="P165" s="37"/>
      <c r="Q165" s="39"/>
      <c r="R165" s="39"/>
      <c r="S165" s="37"/>
      <c r="T165" s="39"/>
      <c r="U165" s="39"/>
      <c r="V165" s="37"/>
      <c r="W165" s="39"/>
      <c r="X165" s="39"/>
      <c r="Y165" s="37"/>
      <c r="Z165" s="39"/>
      <c r="AA165" s="39"/>
      <c r="AB165" s="37"/>
      <c r="AC165" s="39"/>
      <c r="AD165" s="39"/>
      <c r="AE165" s="37"/>
      <c r="AF165" s="39"/>
      <c r="AG165" s="39"/>
      <c r="AH165" s="37"/>
      <c r="AI165" s="39"/>
      <c r="AJ165" s="39"/>
      <c r="AK165" s="37"/>
      <c r="AL165" s="39"/>
      <c r="AM165" s="39"/>
      <c r="AN165" s="37"/>
      <c r="AO165" s="39"/>
      <c r="AP165" s="39"/>
      <c r="AQ165" s="37"/>
      <c r="AR165" s="39"/>
      <c r="AS165" s="39"/>
    </row>
    <row r="166" spans="1:45" x14ac:dyDescent="0.45">
      <c r="A166" s="37"/>
      <c r="B166" s="37"/>
      <c r="C166" s="37"/>
      <c r="D166" s="37"/>
      <c r="E166" s="37"/>
      <c r="F166" s="37"/>
      <c r="G166" s="37"/>
      <c r="H166" s="37"/>
      <c r="I166" s="37"/>
      <c r="J166" s="37"/>
      <c r="K166" s="39"/>
      <c r="L166" s="39"/>
      <c r="M166" s="37"/>
      <c r="N166" s="39"/>
      <c r="O166" s="39"/>
      <c r="P166" s="37"/>
      <c r="Q166" s="39"/>
      <c r="R166" s="39"/>
      <c r="S166" s="37"/>
      <c r="T166" s="39"/>
      <c r="U166" s="39"/>
      <c r="V166" s="37"/>
      <c r="W166" s="39"/>
      <c r="X166" s="39"/>
      <c r="Y166" s="37"/>
      <c r="Z166" s="39"/>
      <c r="AA166" s="39"/>
      <c r="AB166" s="37"/>
      <c r="AC166" s="39"/>
      <c r="AD166" s="39"/>
      <c r="AE166" s="37"/>
      <c r="AF166" s="39"/>
      <c r="AG166" s="39"/>
      <c r="AH166" s="37"/>
      <c r="AI166" s="39"/>
      <c r="AJ166" s="39"/>
      <c r="AK166" s="37"/>
      <c r="AL166" s="39"/>
      <c r="AM166" s="39"/>
      <c r="AN166" s="37"/>
      <c r="AO166" s="39"/>
      <c r="AP166" s="39"/>
      <c r="AQ166" s="37"/>
      <c r="AR166" s="39"/>
      <c r="AS166" s="39"/>
    </row>
    <row r="167" spans="1:45" x14ac:dyDescent="0.45">
      <c r="A167" s="37"/>
      <c r="B167" s="37"/>
      <c r="C167" s="37"/>
      <c r="D167" s="37"/>
      <c r="E167" s="37"/>
      <c r="F167" s="37"/>
      <c r="G167" s="37"/>
      <c r="H167" s="37"/>
      <c r="I167" s="37"/>
      <c r="J167" s="37"/>
      <c r="K167" s="39"/>
      <c r="L167" s="39"/>
      <c r="M167" s="37"/>
      <c r="N167" s="39"/>
      <c r="O167" s="39"/>
      <c r="P167" s="37"/>
      <c r="Q167" s="39"/>
      <c r="R167" s="39"/>
      <c r="S167" s="37"/>
      <c r="T167" s="39"/>
      <c r="U167" s="39"/>
      <c r="V167" s="37"/>
      <c r="W167" s="39"/>
      <c r="X167" s="39"/>
      <c r="Y167" s="37"/>
      <c r="Z167" s="39"/>
      <c r="AA167" s="39"/>
      <c r="AB167" s="37"/>
      <c r="AC167" s="39"/>
      <c r="AD167" s="39"/>
      <c r="AE167" s="37"/>
      <c r="AF167" s="39"/>
      <c r="AG167" s="39"/>
      <c r="AH167" s="37"/>
      <c r="AI167" s="39"/>
      <c r="AJ167" s="39"/>
      <c r="AK167" s="37"/>
      <c r="AL167" s="39"/>
      <c r="AM167" s="39"/>
      <c r="AN167" s="37"/>
      <c r="AO167" s="39"/>
      <c r="AP167" s="39"/>
      <c r="AQ167" s="37"/>
      <c r="AR167" s="39"/>
      <c r="AS167" s="39"/>
    </row>
    <row r="168" spans="1:45" x14ac:dyDescent="0.45">
      <c r="A168" s="37"/>
      <c r="B168" s="37"/>
      <c r="C168" s="37"/>
      <c r="D168" s="37"/>
      <c r="E168" s="37"/>
      <c r="F168" s="37"/>
      <c r="G168" s="37"/>
      <c r="H168" s="37"/>
      <c r="I168" s="37"/>
      <c r="J168" s="37"/>
      <c r="K168" s="39"/>
      <c r="L168" s="39"/>
      <c r="M168" s="37"/>
      <c r="N168" s="39"/>
      <c r="O168" s="39"/>
      <c r="P168" s="37"/>
      <c r="Q168" s="39"/>
      <c r="R168" s="39"/>
      <c r="S168" s="37"/>
      <c r="T168" s="39"/>
      <c r="U168" s="39"/>
      <c r="V168" s="37"/>
      <c r="W168" s="39"/>
      <c r="X168" s="39"/>
      <c r="Y168" s="37"/>
      <c r="Z168" s="39"/>
      <c r="AA168" s="39"/>
      <c r="AB168" s="37"/>
      <c r="AC168" s="39"/>
      <c r="AD168" s="39"/>
      <c r="AE168" s="37"/>
      <c r="AF168" s="39"/>
      <c r="AG168" s="39"/>
      <c r="AH168" s="37"/>
      <c r="AI168" s="39"/>
      <c r="AJ168" s="39"/>
      <c r="AK168" s="37"/>
      <c r="AL168" s="39"/>
      <c r="AM168" s="39"/>
      <c r="AN168" s="37"/>
      <c r="AO168" s="39"/>
      <c r="AP168" s="39"/>
      <c r="AQ168" s="37"/>
      <c r="AR168" s="39"/>
      <c r="AS168" s="39"/>
    </row>
    <row r="169" spans="1:45" x14ac:dyDescent="0.45">
      <c r="A169" s="37"/>
      <c r="B169" s="37"/>
      <c r="C169" s="37"/>
      <c r="D169" s="37"/>
      <c r="E169" s="37"/>
      <c r="F169" s="37"/>
      <c r="G169" s="37"/>
      <c r="H169" s="37"/>
      <c r="I169" s="37"/>
      <c r="J169" s="37"/>
      <c r="K169" s="39"/>
      <c r="L169" s="39"/>
      <c r="M169" s="37"/>
      <c r="N169" s="39"/>
      <c r="O169" s="39"/>
      <c r="P169" s="37"/>
      <c r="Q169" s="39"/>
      <c r="R169" s="39"/>
      <c r="S169" s="37"/>
      <c r="T169" s="39"/>
      <c r="U169" s="39"/>
      <c r="V169" s="37"/>
      <c r="W169" s="39"/>
      <c r="X169" s="39"/>
      <c r="Y169" s="37"/>
      <c r="Z169" s="39"/>
      <c r="AA169" s="39"/>
      <c r="AB169" s="37"/>
      <c r="AC169" s="39"/>
      <c r="AD169" s="39"/>
      <c r="AE169" s="37"/>
      <c r="AF169" s="39"/>
      <c r="AG169" s="39"/>
      <c r="AH169" s="37"/>
      <c r="AI169" s="39"/>
      <c r="AJ169" s="39"/>
      <c r="AK169" s="37"/>
      <c r="AL169" s="39"/>
      <c r="AM169" s="39"/>
      <c r="AN169" s="37"/>
      <c r="AO169" s="39"/>
      <c r="AP169" s="39"/>
      <c r="AQ169" s="37"/>
      <c r="AR169" s="39"/>
      <c r="AS169" s="39"/>
    </row>
    <row r="170" spans="1:45" x14ac:dyDescent="0.45">
      <c r="A170" s="37"/>
      <c r="B170" s="37"/>
      <c r="C170" s="37"/>
      <c r="D170" s="37"/>
      <c r="E170" s="37"/>
      <c r="F170" s="37"/>
      <c r="G170" s="37"/>
      <c r="H170" s="37"/>
      <c r="I170" s="37"/>
      <c r="J170" s="37"/>
      <c r="K170" s="39"/>
      <c r="L170" s="39"/>
      <c r="M170" s="37"/>
      <c r="N170" s="39"/>
      <c r="O170" s="39"/>
      <c r="P170" s="37"/>
      <c r="Q170" s="39"/>
      <c r="R170" s="39"/>
      <c r="S170" s="37"/>
      <c r="T170" s="39"/>
      <c r="U170" s="39"/>
      <c r="V170" s="37"/>
      <c r="W170" s="39"/>
      <c r="X170" s="39"/>
      <c r="Y170" s="37"/>
      <c r="Z170" s="39"/>
      <c r="AA170" s="39"/>
      <c r="AB170" s="37"/>
      <c r="AC170" s="39"/>
      <c r="AD170" s="39"/>
      <c r="AE170" s="37"/>
      <c r="AF170" s="39"/>
      <c r="AG170" s="39"/>
      <c r="AH170" s="37"/>
      <c r="AI170" s="39"/>
      <c r="AJ170" s="39"/>
      <c r="AK170" s="37"/>
      <c r="AL170" s="39"/>
      <c r="AM170" s="39"/>
      <c r="AN170" s="37"/>
      <c r="AO170" s="39"/>
      <c r="AP170" s="39"/>
      <c r="AQ170" s="37"/>
      <c r="AR170" s="39"/>
      <c r="AS170" s="39"/>
    </row>
    <row r="171" spans="1:45" x14ac:dyDescent="0.45">
      <c r="A171" s="37"/>
      <c r="B171" s="37"/>
      <c r="C171" s="37"/>
      <c r="D171" s="37"/>
      <c r="E171" s="37"/>
      <c r="F171" s="37"/>
      <c r="G171" s="37"/>
      <c r="H171" s="37"/>
      <c r="I171" s="37"/>
      <c r="J171" s="37"/>
      <c r="K171" s="39"/>
      <c r="L171" s="39"/>
      <c r="M171" s="37"/>
      <c r="N171" s="39"/>
      <c r="O171" s="39"/>
      <c r="P171" s="37"/>
      <c r="Q171" s="39"/>
      <c r="R171" s="39"/>
      <c r="S171" s="37"/>
      <c r="T171" s="39"/>
      <c r="U171" s="39"/>
      <c r="V171" s="37"/>
      <c r="W171" s="39"/>
      <c r="X171" s="39"/>
      <c r="Y171" s="37"/>
      <c r="Z171" s="39"/>
      <c r="AA171" s="39"/>
      <c r="AB171" s="37"/>
      <c r="AC171" s="39"/>
      <c r="AD171" s="39"/>
      <c r="AE171" s="37"/>
      <c r="AF171" s="39"/>
      <c r="AG171" s="39"/>
      <c r="AH171" s="37"/>
      <c r="AI171" s="39"/>
      <c r="AJ171" s="39"/>
      <c r="AK171" s="37"/>
      <c r="AL171" s="39"/>
      <c r="AM171" s="39"/>
      <c r="AN171" s="37"/>
      <c r="AO171" s="39"/>
      <c r="AP171" s="39"/>
      <c r="AQ171" s="37"/>
      <c r="AR171" s="39"/>
      <c r="AS171" s="39"/>
    </row>
    <row r="172" spans="1:45" x14ac:dyDescent="0.45">
      <c r="A172" s="37"/>
      <c r="B172" s="37"/>
      <c r="C172" s="37"/>
      <c r="D172" s="37"/>
      <c r="E172" s="37"/>
      <c r="F172" s="37"/>
      <c r="G172" s="37"/>
      <c r="H172" s="37"/>
      <c r="I172" s="37"/>
      <c r="J172" s="37"/>
      <c r="K172" s="39"/>
      <c r="L172" s="39"/>
      <c r="M172" s="37"/>
      <c r="N172" s="39"/>
      <c r="O172" s="39"/>
      <c r="P172" s="37"/>
      <c r="Q172" s="39"/>
      <c r="R172" s="39"/>
      <c r="S172" s="37"/>
      <c r="T172" s="39"/>
      <c r="U172" s="39"/>
      <c r="V172" s="37"/>
      <c r="W172" s="39"/>
      <c r="X172" s="39"/>
      <c r="Y172" s="37"/>
      <c r="Z172" s="39"/>
      <c r="AA172" s="39"/>
      <c r="AB172" s="37"/>
      <c r="AC172" s="39"/>
      <c r="AD172" s="39"/>
      <c r="AE172" s="37"/>
      <c r="AF172" s="39"/>
      <c r="AG172" s="39"/>
      <c r="AH172" s="37"/>
      <c r="AI172" s="39"/>
      <c r="AJ172" s="39"/>
      <c r="AK172" s="37"/>
      <c r="AL172" s="39"/>
      <c r="AM172" s="39"/>
      <c r="AN172" s="37"/>
      <c r="AO172" s="39"/>
      <c r="AP172" s="39"/>
      <c r="AQ172" s="37"/>
      <c r="AR172" s="39"/>
      <c r="AS172" s="39"/>
    </row>
    <row r="173" spans="1:45" x14ac:dyDescent="0.45">
      <c r="A173" s="37"/>
      <c r="B173" s="37"/>
      <c r="C173" s="37"/>
      <c r="D173" s="37"/>
      <c r="E173" s="37"/>
      <c r="F173" s="37"/>
      <c r="G173" s="37"/>
      <c r="H173" s="37"/>
      <c r="I173" s="37"/>
      <c r="J173" s="37"/>
      <c r="K173" s="39"/>
      <c r="L173" s="39"/>
      <c r="M173" s="37"/>
      <c r="N173" s="39"/>
      <c r="O173" s="39"/>
      <c r="P173" s="37"/>
      <c r="Q173" s="39"/>
      <c r="R173" s="39"/>
      <c r="S173" s="37"/>
      <c r="T173" s="39"/>
      <c r="U173" s="39"/>
      <c r="V173" s="37"/>
      <c r="W173" s="39"/>
      <c r="X173" s="39"/>
      <c r="Y173" s="37"/>
      <c r="Z173" s="39"/>
      <c r="AA173" s="39"/>
      <c r="AB173" s="37"/>
      <c r="AC173" s="39"/>
      <c r="AD173" s="39"/>
      <c r="AE173" s="37"/>
      <c r="AF173" s="39"/>
      <c r="AG173" s="39"/>
      <c r="AH173" s="37"/>
      <c r="AI173" s="39"/>
      <c r="AJ173" s="39"/>
      <c r="AK173" s="37"/>
      <c r="AL173" s="39"/>
      <c r="AM173" s="39"/>
      <c r="AN173" s="37"/>
      <c r="AO173" s="39"/>
      <c r="AP173" s="39"/>
      <c r="AQ173" s="37"/>
      <c r="AR173" s="39"/>
      <c r="AS173" s="39"/>
    </row>
    <row r="174" spans="1:45" x14ac:dyDescent="0.45">
      <c r="A174" s="37"/>
      <c r="B174" s="37"/>
      <c r="C174" s="37"/>
      <c r="D174" s="37"/>
      <c r="E174" s="37"/>
      <c r="F174" s="37"/>
      <c r="G174" s="37"/>
      <c r="H174" s="37"/>
      <c r="I174" s="37"/>
      <c r="J174" s="37"/>
      <c r="K174" s="39"/>
      <c r="L174" s="39"/>
      <c r="M174" s="37"/>
      <c r="N174" s="39"/>
      <c r="O174" s="39"/>
      <c r="P174" s="37"/>
      <c r="Q174" s="39"/>
      <c r="R174" s="39"/>
      <c r="S174" s="37"/>
      <c r="T174" s="39"/>
      <c r="U174" s="39"/>
      <c r="V174" s="37"/>
      <c r="W174" s="39"/>
      <c r="X174" s="39"/>
      <c r="Y174" s="37"/>
      <c r="Z174" s="39"/>
      <c r="AA174" s="39"/>
      <c r="AB174" s="37"/>
      <c r="AC174" s="39"/>
      <c r="AD174" s="39"/>
      <c r="AE174" s="37"/>
      <c r="AF174" s="39"/>
      <c r="AG174" s="39"/>
      <c r="AH174" s="37"/>
      <c r="AI174" s="39"/>
      <c r="AJ174" s="39"/>
      <c r="AK174" s="37"/>
      <c r="AL174" s="39"/>
      <c r="AM174" s="39"/>
      <c r="AN174" s="37"/>
      <c r="AO174" s="39"/>
      <c r="AP174" s="39"/>
      <c r="AQ174" s="37"/>
      <c r="AR174" s="39"/>
      <c r="AS174" s="39"/>
    </row>
    <row r="175" spans="1:45" x14ac:dyDescent="0.45">
      <c r="A175" s="37"/>
      <c r="B175" s="37"/>
      <c r="C175" s="37"/>
      <c r="D175" s="37"/>
      <c r="E175" s="37"/>
      <c r="F175" s="37"/>
      <c r="G175" s="37"/>
      <c r="H175" s="37"/>
      <c r="I175" s="37"/>
      <c r="J175" s="37"/>
      <c r="K175" s="39"/>
      <c r="L175" s="39"/>
      <c r="M175" s="37"/>
      <c r="N175" s="39"/>
      <c r="O175" s="39"/>
      <c r="P175" s="37"/>
      <c r="Q175" s="39"/>
      <c r="R175" s="39"/>
      <c r="S175" s="37"/>
      <c r="T175" s="39"/>
      <c r="U175" s="39"/>
      <c r="V175" s="37"/>
      <c r="W175" s="39"/>
      <c r="X175" s="39"/>
      <c r="Y175" s="37"/>
      <c r="Z175" s="39"/>
      <c r="AA175" s="39"/>
      <c r="AB175" s="37"/>
      <c r="AC175" s="39"/>
      <c r="AD175" s="39"/>
      <c r="AE175" s="37"/>
      <c r="AF175" s="39"/>
      <c r="AG175" s="39"/>
      <c r="AH175" s="37"/>
      <c r="AI175" s="39"/>
      <c r="AJ175" s="39"/>
      <c r="AK175" s="37"/>
      <c r="AL175" s="39"/>
      <c r="AM175" s="39"/>
      <c r="AN175" s="37"/>
      <c r="AO175" s="39"/>
      <c r="AP175" s="39"/>
      <c r="AQ175" s="37"/>
      <c r="AR175" s="39"/>
      <c r="AS175" s="39"/>
    </row>
    <row r="176" spans="1:45" x14ac:dyDescent="0.45">
      <c r="A176" s="37"/>
      <c r="B176" s="37"/>
      <c r="C176" s="37"/>
      <c r="D176" s="37"/>
      <c r="E176" s="37"/>
      <c r="F176" s="37"/>
      <c r="G176" s="37"/>
      <c r="H176" s="37"/>
      <c r="I176" s="37"/>
      <c r="J176" s="37"/>
      <c r="K176" s="39"/>
      <c r="L176" s="39"/>
      <c r="M176" s="37"/>
      <c r="N176" s="39"/>
      <c r="O176" s="39"/>
      <c r="P176" s="37"/>
      <c r="Q176" s="39"/>
      <c r="R176" s="39"/>
      <c r="S176" s="37"/>
      <c r="T176" s="39"/>
      <c r="U176" s="39"/>
      <c r="V176" s="37"/>
      <c r="W176" s="39"/>
      <c r="X176" s="39"/>
      <c r="Y176" s="37"/>
      <c r="Z176" s="39"/>
      <c r="AA176" s="39"/>
      <c r="AB176" s="37"/>
      <c r="AC176" s="39"/>
      <c r="AD176" s="39"/>
      <c r="AE176" s="37"/>
      <c r="AF176" s="39"/>
      <c r="AG176" s="39"/>
      <c r="AH176" s="37"/>
      <c r="AI176" s="39"/>
      <c r="AJ176" s="39"/>
      <c r="AK176" s="37"/>
      <c r="AL176" s="39"/>
      <c r="AM176" s="39"/>
      <c r="AN176" s="37"/>
      <c r="AO176" s="39"/>
      <c r="AP176" s="39"/>
      <c r="AQ176" s="37"/>
      <c r="AR176" s="39"/>
      <c r="AS176" s="39"/>
    </row>
    <row r="177" spans="1:45" x14ac:dyDescent="0.45">
      <c r="A177" s="37"/>
      <c r="B177" s="37"/>
      <c r="C177" s="37"/>
      <c r="D177" s="37"/>
      <c r="E177" s="37"/>
      <c r="F177" s="37"/>
      <c r="G177" s="37"/>
      <c r="H177" s="37"/>
      <c r="I177" s="37"/>
      <c r="J177" s="37"/>
      <c r="K177" s="39"/>
      <c r="L177" s="39"/>
      <c r="M177" s="37"/>
      <c r="N177" s="39"/>
      <c r="O177" s="39"/>
      <c r="P177" s="37"/>
      <c r="Q177" s="39"/>
      <c r="R177" s="39"/>
      <c r="S177" s="37"/>
      <c r="T177" s="39"/>
      <c r="U177" s="39"/>
      <c r="V177" s="37"/>
      <c r="W177" s="39"/>
      <c r="X177" s="39"/>
      <c r="Y177" s="37"/>
      <c r="Z177" s="39"/>
      <c r="AA177" s="39"/>
      <c r="AB177" s="37"/>
      <c r="AC177" s="39"/>
      <c r="AD177" s="39"/>
      <c r="AE177" s="37"/>
      <c r="AF177" s="39"/>
      <c r="AG177" s="39"/>
      <c r="AH177" s="37"/>
      <c r="AI177" s="39"/>
      <c r="AJ177" s="39"/>
      <c r="AK177" s="37"/>
      <c r="AL177" s="39"/>
      <c r="AM177" s="39"/>
      <c r="AN177" s="37"/>
      <c r="AO177" s="39"/>
      <c r="AP177" s="39"/>
      <c r="AQ177" s="37"/>
      <c r="AR177" s="39"/>
      <c r="AS177" s="39"/>
    </row>
    <row r="178" spans="1:45" x14ac:dyDescent="0.45">
      <c r="A178" s="37"/>
      <c r="B178" s="37"/>
      <c r="C178" s="37"/>
      <c r="D178" s="37"/>
      <c r="E178" s="37"/>
      <c r="F178" s="37"/>
      <c r="G178" s="37"/>
      <c r="H178" s="37"/>
      <c r="I178" s="37"/>
      <c r="J178" s="37"/>
      <c r="K178" s="39"/>
      <c r="L178" s="39"/>
      <c r="M178" s="37"/>
      <c r="N178" s="39"/>
      <c r="O178" s="39"/>
      <c r="P178" s="37"/>
      <c r="Q178" s="39"/>
      <c r="R178" s="39"/>
      <c r="S178" s="37"/>
      <c r="T178" s="39"/>
      <c r="U178" s="39"/>
      <c r="V178" s="37"/>
      <c r="W178" s="39"/>
      <c r="X178" s="39"/>
      <c r="Y178" s="37"/>
      <c r="Z178" s="39"/>
      <c r="AA178" s="39"/>
      <c r="AB178" s="37"/>
      <c r="AC178" s="39"/>
      <c r="AD178" s="39"/>
      <c r="AE178" s="37"/>
      <c r="AF178" s="39"/>
      <c r="AG178" s="39"/>
      <c r="AH178" s="37"/>
      <c r="AI178" s="39"/>
      <c r="AJ178" s="39"/>
      <c r="AK178" s="37"/>
      <c r="AL178" s="39"/>
      <c r="AM178" s="39"/>
      <c r="AN178" s="37"/>
      <c r="AO178" s="39"/>
      <c r="AP178" s="39"/>
      <c r="AQ178" s="37"/>
      <c r="AR178" s="39"/>
      <c r="AS178" s="39"/>
    </row>
    <row r="179" spans="1:45" x14ac:dyDescent="0.45">
      <c r="A179" s="37"/>
      <c r="B179" s="37"/>
      <c r="C179" s="37"/>
      <c r="D179" s="37"/>
      <c r="E179" s="37"/>
      <c r="F179" s="37"/>
      <c r="G179" s="37"/>
      <c r="H179" s="37"/>
      <c r="I179" s="37"/>
      <c r="J179" s="37"/>
      <c r="K179" s="39"/>
      <c r="L179" s="39"/>
      <c r="M179" s="37"/>
      <c r="N179" s="39"/>
      <c r="O179" s="39"/>
      <c r="P179" s="37"/>
      <c r="Q179" s="39"/>
      <c r="R179" s="39"/>
      <c r="S179" s="37"/>
      <c r="T179" s="39"/>
      <c r="U179" s="39"/>
      <c r="V179" s="37"/>
      <c r="W179" s="39"/>
      <c r="X179" s="39"/>
      <c r="Y179" s="37"/>
      <c r="Z179" s="39"/>
      <c r="AA179" s="39"/>
      <c r="AB179" s="37"/>
      <c r="AC179" s="39"/>
      <c r="AD179" s="39"/>
      <c r="AE179" s="37"/>
      <c r="AF179" s="39"/>
      <c r="AG179" s="39"/>
      <c r="AH179" s="37"/>
      <c r="AI179" s="39"/>
      <c r="AJ179" s="39"/>
      <c r="AK179" s="37"/>
      <c r="AL179" s="39"/>
      <c r="AM179" s="39"/>
      <c r="AN179" s="37"/>
      <c r="AO179" s="39"/>
      <c r="AP179" s="39"/>
      <c r="AQ179" s="37"/>
      <c r="AR179" s="39"/>
      <c r="AS179" s="39"/>
    </row>
    <row r="180" spans="1:45" x14ac:dyDescent="0.45">
      <c r="A180" s="37"/>
      <c r="B180" s="37"/>
      <c r="C180" s="37"/>
      <c r="D180" s="37"/>
      <c r="E180" s="37"/>
      <c r="F180" s="37"/>
      <c r="G180" s="37"/>
      <c r="H180" s="37"/>
      <c r="I180" s="37"/>
      <c r="J180" s="37"/>
      <c r="K180" s="39"/>
      <c r="L180" s="39"/>
      <c r="M180" s="37"/>
      <c r="N180" s="39"/>
      <c r="O180" s="39"/>
      <c r="P180" s="37"/>
      <c r="Q180" s="39"/>
      <c r="R180" s="39"/>
      <c r="S180" s="37"/>
      <c r="T180" s="39"/>
      <c r="U180" s="39"/>
      <c r="V180" s="37"/>
      <c r="W180" s="39"/>
      <c r="X180" s="39"/>
      <c r="Y180" s="37"/>
      <c r="Z180" s="39"/>
      <c r="AA180" s="39"/>
      <c r="AB180" s="37"/>
      <c r="AC180" s="39"/>
      <c r="AD180" s="39"/>
      <c r="AE180" s="37"/>
      <c r="AF180" s="39"/>
      <c r="AG180" s="39"/>
      <c r="AH180" s="37"/>
      <c r="AI180" s="39"/>
      <c r="AJ180" s="39"/>
      <c r="AK180" s="37"/>
      <c r="AL180" s="39"/>
      <c r="AM180" s="39"/>
      <c r="AN180" s="37"/>
      <c r="AO180" s="39"/>
      <c r="AP180" s="39"/>
      <c r="AQ180" s="37"/>
      <c r="AR180" s="39"/>
      <c r="AS180" s="39"/>
    </row>
    <row r="181" spans="1:45" x14ac:dyDescent="0.45">
      <c r="A181" s="37"/>
      <c r="B181" s="37"/>
      <c r="C181" s="37"/>
      <c r="D181" s="37"/>
      <c r="E181" s="37"/>
      <c r="F181" s="37"/>
      <c r="G181" s="37"/>
      <c r="H181" s="37"/>
      <c r="I181" s="37"/>
      <c r="J181" s="37"/>
      <c r="K181" s="39"/>
      <c r="L181" s="39"/>
      <c r="M181" s="37"/>
      <c r="N181" s="39"/>
      <c r="O181" s="39"/>
      <c r="P181" s="37"/>
      <c r="Q181" s="39"/>
      <c r="R181" s="39"/>
      <c r="S181" s="37"/>
      <c r="T181" s="39"/>
      <c r="U181" s="39"/>
      <c r="V181" s="37"/>
      <c r="W181" s="39"/>
      <c r="X181" s="39"/>
      <c r="Y181" s="37"/>
      <c r="Z181" s="39"/>
      <c r="AA181" s="39"/>
      <c r="AB181" s="37"/>
      <c r="AC181" s="39"/>
      <c r="AD181" s="39"/>
      <c r="AE181" s="37"/>
      <c r="AF181" s="39"/>
      <c r="AG181" s="39"/>
      <c r="AH181" s="37"/>
      <c r="AI181" s="39"/>
      <c r="AJ181" s="39"/>
      <c r="AK181" s="37"/>
      <c r="AL181" s="39"/>
      <c r="AM181" s="39"/>
      <c r="AN181" s="37"/>
      <c r="AO181" s="39"/>
      <c r="AP181" s="39"/>
      <c r="AQ181" s="37"/>
      <c r="AR181" s="39"/>
      <c r="AS181" s="39"/>
    </row>
    <row r="182" spans="1:45" x14ac:dyDescent="0.45">
      <c r="A182" s="37"/>
      <c r="B182" s="37"/>
      <c r="C182" s="37"/>
      <c r="D182" s="37"/>
      <c r="E182" s="37"/>
      <c r="F182" s="37"/>
      <c r="G182" s="37"/>
      <c r="H182" s="37"/>
      <c r="I182" s="37"/>
      <c r="J182" s="37"/>
      <c r="K182" s="39"/>
      <c r="L182" s="39"/>
      <c r="M182" s="37"/>
      <c r="N182" s="39"/>
      <c r="O182" s="39"/>
      <c r="P182" s="37"/>
      <c r="Q182" s="39"/>
      <c r="R182" s="39"/>
      <c r="S182" s="37"/>
      <c r="T182" s="39"/>
      <c r="U182" s="39"/>
      <c r="V182" s="37"/>
      <c r="W182" s="39"/>
      <c r="X182" s="39"/>
      <c r="Y182" s="37"/>
      <c r="Z182" s="39"/>
      <c r="AA182" s="39"/>
      <c r="AB182" s="37"/>
      <c r="AC182" s="39"/>
      <c r="AD182" s="39"/>
      <c r="AE182" s="37"/>
      <c r="AF182" s="39"/>
      <c r="AG182" s="39"/>
      <c r="AH182" s="37"/>
      <c r="AI182" s="39"/>
      <c r="AJ182" s="39"/>
      <c r="AK182" s="37"/>
      <c r="AL182" s="39"/>
      <c r="AM182" s="39"/>
      <c r="AN182" s="37"/>
      <c r="AO182" s="39"/>
      <c r="AP182" s="39"/>
      <c r="AQ182" s="37"/>
      <c r="AR182" s="39"/>
      <c r="AS182" s="39"/>
    </row>
    <row r="183" spans="1:45" x14ac:dyDescent="0.45">
      <c r="A183" s="37"/>
      <c r="B183" s="37"/>
      <c r="C183" s="37"/>
      <c r="D183" s="37"/>
      <c r="E183" s="37"/>
      <c r="F183" s="37"/>
      <c r="G183" s="37"/>
      <c r="H183" s="37"/>
      <c r="I183" s="37"/>
      <c r="J183" s="37"/>
      <c r="K183" s="39"/>
      <c r="L183" s="39"/>
      <c r="M183" s="37"/>
      <c r="N183" s="39"/>
      <c r="O183" s="39"/>
      <c r="P183" s="37"/>
      <c r="Q183" s="39"/>
      <c r="R183" s="39"/>
      <c r="S183" s="37"/>
      <c r="T183" s="39"/>
      <c r="U183" s="39"/>
      <c r="V183" s="37"/>
      <c r="W183" s="39"/>
      <c r="X183" s="39"/>
      <c r="Y183" s="37"/>
      <c r="Z183" s="39"/>
      <c r="AA183" s="39"/>
      <c r="AB183" s="37"/>
      <c r="AC183" s="39"/>
      <c r="AD183" s="39"/>
      <c r="AE183" s="37"/>
      <c r="AF183" s="39"/>
      <c r="AG183" s="39"/>
      <c r="AH183" s="37"/>
      <c r="AI183" s="39"/>
      <c r="AJ183" s="39"/>
      <c r="AK183" s="37"/>
      <c r="AL183" s="39"/>
      <c r="AM183" s="39"/>
      <c r="AN183" s="37"/>
      <c r="AO183" s="39"/>
      <c r="AP183" s="39"/>
      <c r="AQ183" s="37"/>
      <c r="AR183" s="39"/>
      <c r="AS183" s="39"/>
    </row>
    <row r="184" spans="1:45" x14ac:dyDescent="0.45">
      <c r="A184" s="37"/>
      <c r="B184" s="37"/>
      <c r="C184" s="37"/>
      <c r="D184" s="37"/>
      <c r="E184" s="37"/>
      <c r="F184" s="37"/>
      <c r="G184" s="37"/>
      <c r="H184" s="37"/>
      <c r="I184" s="37"/>
      <c r="J184" s="37"/>
      <c r="K184" s="39"/>
      <c r="L184" s="39"/>
      <c r="M184" s="37"/>
      <c r="N184" s="39"/>
      <c r="O184" s="39"/>
      <c r="P184" s="37"/>
      <c r="Q184" s="39"/>
      <c r="R184" s="39"/>
      <c r="S184" s="37"/>
      <c r="T184" s="39"/>
      <c r="U184" s="39"/>
      <c r="V184" s="37"/>
      <c r="W184" s="39"/>
      <c r="X184" s="39"/>
      <c r="Y184" s="37"/>
      <c r="Z184" s="39"/>
      <c r="AA184" s="39"/>
      <c r="AB184" s="37"/>
      <c r="AC184" s="39"/>
      <c r="AD184" s="39"/>
      <c r="AE184" s="37"/>
      <c r="AF184" s="39"/>
      <c r="AG184" s="39"/>
      <c r="AH184" s="37"/>
      <c r="AI184" s="39"/>
      <c r="AJ184" s="39"/>
      <c r="AK184" s="37"/>
      <c r="AL184" s="39"/>
      <c r="AM184" s="39"/>
      <c r="AN184" s="37"/>
      <c r="AO184" s="39"/>
      <c r="AP184" s="39"/>
      <c r="AQ184" s="37"/>
      <c r="AR184" s="39"/>
      <c r="AS184" s="39"/>
    </row>
    <row r="185" spans="1:45" x14ac:dyDescent="0.45">
      <c r="A185" s="37"/>
      <c r="B185" s="37"/>
      <c r="C185" s="37"/>
      <c r="D185" s="37"/>
      <c r="E185" s="37"/>
      <c r="F185" s="37"/>
      <c r="G185" s="37"/>
      <c r="H185" s="37"/>
      <c r="I185" s="37"/>
      <c r="J185" s="37"/>
      <c r="K185" s="39"/>
      <c r="L185" s="39"/>
      <c r="M185" s="37"/>
      <c r="N185" s="39"/>
      <c r="O185" s="39"/>
      <c r="P185" s="37"/>
      <c r="Q185" s="39"/>
      <c r="R185" s="39"/>
      <c r="S185" s="37"/>
      <c r="T185" s="39"/>
      <c r="U185" s="39"/>
      <c r="V185" s="37"/>
      <c r="W185" s="39"/>
      <c r="X185" s="39"/>
      <c r="Y185" s="37"/>
      <c r="Z185" s="39"/>
      <c r="AA185" s="39"/>
      <c r="AB185" s="37"/>
      <c r="AC185" s="39"/>
      <c r="AD185" s="39"/>
      <c r="AE185" s="37"/>
      <c r="AF185" s="39"/>
      <c r="AG185" s="39"/>
      <c r="AH185" s="37"/>
      <c r="AI185" s="39"/>
      <c r="AJ185" s="39"/>
      <c r="AK185" s="37"/>
      <c r="AL185" s="39"/>
      <c r="AM185" s="39"/>
      <c r="AN185" s="37"/>
      <c r="AO185" s="39"/>
      <c r="AP185" s="39"/>
      <c r="AQ185" s="37"/>
      <c r="AR185" s="39"/>
      <c r="AS185" s="39"/>
    </row>
    <row r="186" spans="1:45" x14ac:dyDescent="0.45">
      <c r="A186" s="37"/>
      <c r="B186" s="37"/>
      <c r="C186" s="37"/>
      <c r="D186" s="37"/>
      <c r="E186" s="37"/>
      <c r="F186" s="37"/>
      <c r="G186" s="37"/>
      <c r="H186" s="37"/>
      <c r="I186" s="37"/>
      <c r="J186" s="37"/>
      <c r="K186" s="39"/>
      <c r="L186" s="39"/>
      <c r="M186" s="37"/>
      <c r="N186" s="39"/>
      <c r="O186" s="39"/>
      <c r="P186" s="37"/>
      <c r="Q186" s="39"/>
      <c r="R186" s="39"/>
      <c r="S186" s="37"/>
      <c r="T186" s="39"/>
      <c r="U186" s="39"/>
      <c r="V186" s="37"/>
      <c r="W186" s="39"/>
      <c r="X186" s="39"/>
      <c r="Y186" s="37"/>
      <c r="Z186" s="39"/>
      <c r="AA186" s="39"/>
      <c r="AB186" s="37"/>
      <c r="AC186" s="39"/>
      <c r="AD186" s="39"/>
      <c r="AE186" s="37"/>
      <c r="AF186" s="39"/>
      <c r="AG186" s="39"/>
      <c r="AH186" s="37"/>
      <c r="AI186" s="39"/>
      <c r="AJ186" s="39"/>
      <c r="AK186" s="37"/>
      <c r="AL186" s="39"/>
      <c r="AM186" s="39"/>
      <c r="AN186" s="37"/>
      <c r="AO186" s="39"/>
      <c r="AP186" s="39"/>
      <c r="AQ186" s="37"/>
      <c r="AR186" s="39"/>
      <c r="AS186" s="39"/>
    </row>
    <row r="187" spans="1:45" x14ac:dyDescent="0.45">
      <c r="A187" s="37"/>
      <c r="B187" s="37"/>
      <c r="C187" s="37"/>
      <c r="D187" s="37"/>
      <c r="E187" s="37"/>
      <c r="F187" s="37"/>
      <c r="G187" s="37"/>
      <c r="H187" s="37"/>
      <c r="I187" s="37"/>
      <c r="J187" s="37"/>
      <c r="K187" s="39"/>
      <c r="L187" s="39"/>
      <c r="M187" s="37"/>
      <c r="N187" s="39"/>
      <c r="O187" s="39"/>
      <c r="P187" s="37"/>
      <c r="Q187" s="39"/>
      <c r="R187" s="39"/>
      <c r="S187" s="37"/>
      <c r="T187" s="39"/>
      <c r="U187" s="39"/>
      <c r="V187" s="37"/>
      <c r="W187" s="39"/>
      <c r="X187" s="39"/>
      <c r="Y187" s="37"/>
      <c r="Z187" s="39"/>
      <c r="AA187" s="39"/>
      <c r="AB187" s="37"/>
      <c r="AC187" s="39"/>
      <c r="AD187" s="39"/>
      <c r="AE187" s="37"/>
      <c r="AF187" s="39"/>
      <c r="AG187" s="39"/>
      <c r="AH187" s="37"/>
      <c r="AI187" s="39"/>
      <c r="AJ187" s="39"/>
      <c r="AK187" s="37"/>
      <c r="AL187" s="39"/>
      <c r="AM187" s="39"/>
      <c r="AN187" s="37"/>
      <c r="AO187" s="39"/>
      <c r="AP187" s="39"/>
      <c r="AQ187" s="37"/>
      <c r="AR187" s="39"/>
      <c r="AS187" s="39"/>
    </row>
    <row r="188" spans="1:45" x14ac:dyDescent="0.45">
      <c r="A188" s="37"/>
      <c r="B188" s="37"/>
      <c r="C188" s="37"/>
      <c r="D188" s="37"/>
      <c r="E188" s="37"/>
      <c r="F188" s="37"/>
      <c r="G188" s="37"/>
      <c r="H188" s="37"/>
      <c r="I188" s="37"/>
      <c r="J188" s="37"/>
      <c r="K188" s="39"/>
      <c r="L188" s="39"/>
      <c r="M188" s="37"/>
      <c r="N188" s="39"/>
      <c r="O188" s="39"/>
      <c r="P188" s="37"/>
      <c r="Q188" s="39"/>
      <c r="R188" s="39"/>
      <c r="S188" s="37"/>
      <c r="T188" s="39"/>
      <c r="U188" s="39"/>
      <c r="V188" s="37"/>
      <c r="W188" s="39"/>
      <c r="X188" s="39"/>
      <c r="Y188" s="37"/>
      <c r="Z188" s="39"/>
      <c r="AA188" s="39"/>
      <c r="AB188" s="37"/>
      <c r="AC188" s="39"/>
      <c r="AD188" s="39"/>
      <c r="AE188" s="37"/>
      <c r="AF188" s="39"/>
      <c r="AG188" s="39"/>
      <c r="AH188" s="37"/>
      <c r="AI188" s="39"/>
      <c r="AJ188" s="39"/>
      <c r="AK188" s="37"/>
      <c r="AL188" s="39"/>
      <c r="AM188" s="39"/>
      <c r="AN188" s="37"/>
      <c r="AO188" s="39"/>
      <c r="AP188" s="39"/>
      <c r="AQ188" s="37"/>
      <c r="AR188" s="39"/>
      <c r="AS188" s="39"/>
    </row>
    <row r="189" spans="1:45" x14ac:dyDescent="0.45">
      <c r="A189" s="37"/>
      <c r="B189" s="37"/>
      <c r="C189" s="37"/>
      <c r="D189" s="37"/>
      <c r="E189" s="37"/>
      <c r="F189" s="37"/>
      <c r="G189" s="37"/>
      <c r="H189" s="37"/>
      <c r="I189" s="37"/>
      <c r="J189" s="37"/>
      <c r="K189" s="39"/>
      <c r="L189" s="39"/>
      <c r="M189" s="37"/>
      <c r="N189" s="39"/>
      <c r="O189" s="39"/>
      <c r="P189" s="37"/>
      <c r="Q189" s="39"/>
      <c r="R189" s="39"/>
      <c r="S189" s="37"/>
      <c r="T189" s="39"/>
      <c r="U189" s="39"/>
      <c r="V189" s="37"/>
      <c r="W189" s="39"/>
      <c r="X189" s="39"/>
      <c r="Y189" s="37"/>
      <c r="Z189" s="39"/>
      <c r="AA189" s="39"/>
      <c r="AB189" s="37"/>
      <c r="AC189" s="39"/>
      <c r="AD189" s="39"/>
      <c r="AE189" s="37"/>
      <c r="AF189" s="39"/>
      <c r="AG189" s="39"/>
      <c r="AH189" s="37"/>
      <c r="AI189" s="39"/>
      <c r="AJ189" s="39"/>
      <c r="AK189" s="37"/>
      <c r="AL189" s="39"/>
      <c r="AM189" s="39"/>
      <c r="AN189" s="37"/>
      <c r="AO189" s="39"/>
      <c r="AP189" s="39"/>
      <c r="AQ189" s="37"/>
      <c r="AR189" s="39"/>
      <c r="AS189" s="39"/>
    </row>
    <row r="190" spans="1:45" x14ac:dyDescent="0.45">
      <c r="A190" s="37"/>
      <c r="B190" s="37"/>
      <c r="C190" s="37"/>
      <c r="D190" s="37"/>
      <c r="E190" s="37"/>
      <c r="F190" s="37"/>
      <c r="G190" s="37"/>
      <c r="H190" s="37"/>
      <c r="I190" s="37"/>
      <c r="J190" s="37"/>
      <c r="K190" s="39"/>
      <c r="L190" s="39"/>
      <c r="M190" s="37"/>
      <c r="N190" s="39"/>
      <c r="O190" s="39"/>
      <c r="P190" s="37"/>
      <c r="Q190" s="39"/>
      <c r="R190" s="39"/>
      <c r="S190" s="37"/>
      <c r="T190" s="39"/>
      <c r="U190" s="39"/>
      <c r="V190" s="37"/>
      <c r="W190" s="39"/>
      <c r="X190" s="39"/>
      <c r="Y190" s="37"/>
      <c r="Z190" s="39"/>
      <c r="AA190" s="39"/>
      <c r="AB190" s="37"/>
      <c r="AC190" s="39"/>
      <c r="AD190" s="39"/>
      <c r="AE190" s="37"/>
      <c r="AF190" s="39"/>
      <c r="AG190" s="39"/>
      <c r="AH190" s="37"/>
      <c r="AI190" s="39"/>
      <c r="AJ190" s="39"/>
      <c r="AK190" s="37"/>
      <c r="AL190" s="39"/>
      <c r="AM190" s="39"/>
      <c r="AN190" s="37"/>
      <c r="AO190" s="39"/>
      <c r="AP190" s="39"/>
      <c r="AQ190" s="37"/>
      <c r="AR190" s="39"/>
      <c r="AS190" s="39"/>
    </row>
    <row r="191" spans="1:45" x14ac:dyDescent="0.45">
      <c r="A191" s="37"/>
      <c r="B191" s="37"/>
      <c r="C191" s="37"/>
      <c r="D191" s="37"/>
      <c r="E191" s="37"/>
      <c r="F191" s="37"/>
      <c r="G191" s="37"/>
      <c r="H191" s="37"/>
      <c r="I191" s="37"/>
      <c r="J191" s="37"/>
      <c r="K191" s="39"/>
      <c r="L191" s="39"/>
      <c r="M191" s="37"/>
      <c r="N191" s="39"/>
      <c r="O191" s="39"/>
      <c r="P191" s="37"/>
      <c r="Q191" s="39"/>
      <c r="R191" s="39"/>
      <c r="S191" s="37"/>
      <c r="T191" s="39"/>
      <c r="U191" s="39"/>
      <c r="V191" s="37"/>
      <c r="W191" s="39"/>
      <c r="X191" s="39"/>
      <c r="Y191" s="37"/>
      <c r="Z191" s="39"/>
      <c r="AA191" s="39"/>
      <c r="AB191" s="37"/>
      <c r="AC191" s="39"/>
      <c r="AD191" s="39"/>
      <c r="AE191" s="37"/>
      <c r="AF191" s="39"/>
      <c r="AG191" s="39"/>
      <c r="AH191" s="37"/>
      <c r="AI191" s="39"/>
      <c r="AJ191" s="39"/>
      <c r="AK191" s="37"/>
      <c r="AL191" s="39"/>
      <c r="AM191" s="39"/>
      <c r="AN191" s="37"/>
      <c r="AO191" s="39"/>
      <c r="AP191" s="39"/>
      <c r="AQ191" s="37"/>
      <c r="AR191" s="39"/>
      <c r="AS191" s="39"/>
    </row>
  </sheetData>
  <mergeCells count="7">
    <mergeCell ref="D54:I54"/>
    <mergeCell ref="D4:I4"/>
    <mergeCell ref="A1:A2"/>
    <mergeCell ref="B1:B2"/>
    <mergeCell ref="C1:C2"/>
    <mergeCell ref="D1:D2"/>
    <mergeCell ref="E1:F2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C1F16-5AE6-42A7-A1DA-05089F8ACE72}">
  <sheetPr>
    <tabColor theme="9" tint="-0.249977111117893"/>
  </sheetPr>
  <dimension ref="A1:I84"/>
  <sheetViews>
    <sheetView workbookViewId="0">
      <pane ySplit="1" topLeftCell="A2" activePane="bottomLeft" state="frozen"/>
      <selection pane="bottomLeft" activeCell="I15" sqref="I15"/>
    </sheetView>
  </sheetViews>
  <sheetFormatPr defaultColWidth="9" defaultRowHeight="17" x14ac:dyDescent="0.45"/>
  <cols>
    <col min="1" max="1" width="10.75" style="37" customWidth="1"/>
    <col min="2" max="2" width="16.83203125" style="494" customWidth="1"/>
    <col min="3" max="3" width="15" style="37" customWidth="1"/>
    <col min="4" max="4" width="16.83203125" style="37" customWidth="1"/>
    <col min="5" max="5" width="12.75" style="37" customWidth="1"/>
    <col min="6" max="6" width="16.25" style="37" customWidth="1"/>
    <col min="7" max="7" width="8.58203125"/>
    <col min="8" max="8" width="9" style="37"/>
    <col min="9" max="9" width="10.5" style="37" customWidth="1"/>
    <col min="10" max="16384" width="9" style="37"/>
  </cols>
  <sheetData>
    <row r="1" spans="1:9" x14ac:dyDescent="0.45">
      <c r="A1" s="485" t="s">
        <v>533</v>
      </c>
      <c r="B1" s="492" t="s">
        <v>534</v>
      </c>
      <c r="C1" s="488" t="s">
        <v>592</v>
      </c>
      <c r="D1" s="488" t="s">
        <v>593</v>
      </c>
      <c r="E1" s="495" t="s">
        <v>694</v>
      </c>
      <c r="F1" s="485" t="s">
        <v>591</v>
      </c>
      <c r="G1" s="37"/>
      <c r="I1" s="486"/>
    </row>
    <row r="2" spans="1:9" x14ac:dyDescent="0.45">
      <c r="A2" s="489" t="s">
        <v>247</v>
      </c>
      <c r="B2" s="489" t="s">
        <v>279</v>
      </c>
      <c r="C2" s="489" t="s">
        <v>624</v>
      </c>
      <c r="D2" s="489" t="s">
        <v>597</v>
      </c>
      <c r="E2" s="489" t="s">
        <v>595</v>
      </c>
      <c r="F2" s="491">
        <f t="shared" ref="F2:F33" si="0">DATEDIF(C2, D2, "M") + 1</f>
        <v>32</v>
      </c>
      <c r="G2" s="37"/>
      <c r="I2" s="486"/>
    </row>
    <row r="3" spans="1:9" x14ac:dyDescent="0.45">
      <c r="A3" s="489" t="s">
        <v>222</v>
      </c>
      <c r="B3" s="489" t="s">
        <v>621</v>
      </c>
      <c r="C3" s="489" t="s">
        <v>622</v>
      </c>
      <c r="D3" s="489" t="s">
        <v>597</v>
      </c>
      <c r="E3" s="489" t="s">
        <v>595</v>
      </c>
      <c r="F3" s="491">
        <f t="shared" si="0"/>
        <v>31</v>
      </c>
      <c r="G3" s="37"/>
      <c r="I3" s="486"/>
    </row>
    <row r="4" spans="1:9" x14ac:dyDescent="0.45">
      <c r="A4" s="489" t="s">
        <v>232</v>
      </c>
      <c r="B4" s="489" t="s">
        <v>629</v>
      </c>
      <c r="C4" s="489" t="s">
        <v>622</v>
      </c>
      <c r="D4" s="489" t="s">
        <v>597</v>
      </c>
      <c r="E4" s="489" t="s">
        <v>595</v>
      </c>
      <c r="F4" s="491">
        <f t="shared" si="0"/>
        <v>31</v>
      </c>
      <c r="G4" s="37"/>
      <c r="I4" s="486"/>
    </row>
    <row r="5" spans="1:9" x14ac:dyDescent="0.45">
      <c r="A5" s="489" t="s">
        <v>231</v>
      </c>
      <c r="B5" s="489" t="s">
        <v>650</v>
      </c>
      <c r="C5" s="489" t="s">
        <v>651</v>
      </c>
      <c r="D5" s="489" t="s">
        <v>597</v>
      </c>
      <c r="E5" s="489" t="s">
        <v>595</v>
      </c>
      <c r="F5" s="491">
        <f t="shared" si="0"/>
        <v>30</v>
      </c>
      <c r="G5" s="37"/>
      <c r="I5" s="486"/>
    </row>
    <row r="6" spans="1:9" x14ac:dyDescent="0.45">
      <c r="A6" s="489" t="s">
        <v>235</v>
      </c>
      <c r="B6" s="489" t="s">
        <v>633</v>
      </c>
      <c r="C6" s="489" t="s">
        <v>612</v>
      </c>
      <c r="D6" s="489" t="s">
        <v>597</v>
      </c>
      <c r="E6" s="489" t="s">
        <v>595</v>
      </c>
      <c r="F6" s="491">
        <f t="shared" si="0"/>
        <v>24</v>
      </c>
      <c r="G6" s="37"/>
      <c r="I6" s="486"/>
    </row>
    <row r="7" spans="1:9" x14ac:dyDescent="0.45">
      <c r="A7" s="489" t="s">
        <v>548</v>
      </c>
      <c r="B7" s="489" t="s">
        <v>646</v>
      </c>
      <c r="C7" s="489" t="s">
        <v>612</v>
      </c>
      <c r="D7" s="489" t="s">
        <v>597</v>
      </c>
      <c r="E7" s="489" t="s">
        <v>595</v>
      </c>
      <c r="F7" s="491">
        <f t="shared" si="0"/>
        <v>24</v>
      </c>
      <c r="G7" s="37"/>
      <c r="I7" s="486"/>
    </row>
    <row r="8" spans="1:9" x14ac:dyDescent="0.45">
      <c r="A8" s="489" t="s">
        <v>547</v>
      </c>
      <c r="B8" s="489" t="s">
        <v>654</v>
      </c>
      <c r="C8" s="489" t="s">
        <v>612</v>
      </c>
      <c r="D8" s="489" t="s">
        <v>597</v>
      </c>
      <c r="E8" s="489" t="s">
        <v>595</v>
      </c>
      <c r="F8" s="491">
        <f t="shared" si="0"/>
        <v>24</v>
      </c>
      <c r="G8" s="37"/>
      <c r="I8" s="486"/>
    </row>
    <row r="9" spans="1:9" x14ac:dyDescent="0.45">
      <c r="A9" s="489" t="s">
        <v>237</v>
      </c>
      <c r="B9" s="489" t="s">
        <v>666</v>
      </c>
      <c r="C9" s="489" t="s">
        <v>612</v>
      </c>
      <c r="D9" s="489" t="s">
        <v>597</v>
      </c>
      <c r="E9" s="489" t="s">
        <v>595</v>
      </c>
      <c r="F9" s="491">
        <f t="shared" si="0"/>
        <v>24</v>
      </c>
      <c r="G9" s="37"/>
      <c r="I9" s="486"/>
    </row>
    <row r="10" spans="1:9" x14ac:dyDescent="0.45">
      <c r="A10" s="489" t="s">
        <v>542</v>
      </c>
      <c r="B10" s="489" t="s">
        <v>670</v>
      </c>
      <c r="C10" s="489" t="s">
        <v>612</v>
      </c>
      <c r="D10" s="489" t="s">
        <v>597</v>
      </c>
      <c r="E10" s="489" t="s">
        <v>595</v>
      </c>
      <c r="F10" s="491">
        <f t="shared" si="0"/>
        <v>24</v>
      </c>
      <c r="G10" s="37"/>
      <c r="I10" s="486"/>
    </row>
    <row r="11" spans="1:9" x14ac:dyDescent="0.45">
      <c r="A11" s="489" t="s">
        <v>546</v>
      </c>
      <c r="B11" s="489" t="s">
        <v>652</v>
      </c>
      <c r="C11" s="489" t="s">
        <v>614</v>
      </c>
      <c r="D11" s="489" t="s">
        <v>597</v>
      </c>
      <c r="E11" s="489" t="s">
        <v>595</v>
      </c>
      <c r="F11" s="491">
        <f t="shared" si="0"/>
        <v>23</v>
      </c>
      <c r="G11" s="37"/>
      <c r="I11" s="486"/>
    </row>
    <row r="12" spans="1:9" x14ac:dyDescent="0.45">
      <c r="A12" s="489" t="s">
        <v>561</v>
      </c>
      <c r="B12" s="489" t="s">
        <v>680</v>
      </c>
      <c r="C12" s="489" t="s">
        <v>609</v>
      </c>
      <c r="D12" s="489" t="s">
        <v>597</v>
      </c>
      <c r="E12" s="489" t="s">
        <v>595</v>
      </c>
      <c r="F12" s="491">
        <f t="shared" si="0"/>
        <v>19</v>
      </c>
      <c r="G12" s="37"/>
      <c r="I12" s="486"/>
    </row>
    <row r="13" spans="1:9" x14ac:dyDescent="0.45">
      <c r="A13" s="489" t="s">
        <v>564</v>
      </c>
      <c r="B13" s="489" t="s">
        <v>641</v>
      </c>
      <c r="C13" s="489" t="s">
        <v>613</v>
      </c>
      <c r="D13" s="489" t="s">
        <v>597</v>
      </c>
      <c r="E13" s="489" t="s">
        <v>595</v>
      </c>
      <c r="F13" s="491">
        <f t="shared" si="0"/>
        <v>18</v>
      </c>
      <c r="G13" s="37"/>
      <c r="I13" s="486"/>
    </row>
    <row r="14" spans="1:9" x14ac:dyDescent="0.45">
      <c r="A14" s="489" t="s">
        <v>568</v>
      </c>
      <c r="B14" s="489" t="s">
        <v>644</v>
      </c>
      <c r="C14" s="489" t="s">
        <v>604</v>
      </c>
      <c r="D14" s="489" t="s">
        <v>597</v>
      </c>
      <c r="E14" s="489" t="s">
        <v>595</v>
      </c>
      <c r="F14" s="491">
        <f t="shared" si="0"/>
        <v>16</v>
      </c>
      <c r="G14" s="37"/>
      <c r="I14" s="486"/>
    </row>
    <row r="15" spans="1:9" x14ac:dyDescent="0.45">
      <c r="A15" s="489" t="s">
        <v>566</v>
      </c>
      <c r="B15" s="489" t="s">
        <v>653</v>
      </c>
      <c r="C15" s="490">
        <v>45566</v>
      </c>
      <c r="D15" s="489" t="s">
        <v>597</v>
      </c>
      <c r="E15" s="489" t="s">
        <v>595</v>
      </c>
      <c r="F15" s="491">
        <f t="shared" si="0"/>
        <v>15</v>
      </c>
      <c r="G15" s="37"/>
      <c r="I15" s="486"/>
    </row>
    <row r="16" spans="1:9" x14ac:dyDescent="0.45">
      <c r="A16" s="489" t="s">
        <v>569</v>
      </c>
      <c r="B16" s="489" t="s">
        <v>673</v>
      </c>
      <c r="C16" s="489" t="s">
        <v>606</v>
      </c>
      <c r="D16" s="489" t="s">
        <v>597</v>
      </c>
      <c r="E16" s="489" t="s">
        <v>595</v>
      </c>
      <c r="F16" s="491">
        <f t="shared" si="0"/>
        <v>15</v>
      </c>
      <c r="G16" s="37"/>
      <c r="I16" s="486"/>
    </row>
    <row r="17" spans="1:9" x14ac:dyDescent="0.45">
      <c r="A17" s="489" t="s">
        <v>571</v>
      </c>
      <c r="B17" s="489" t="s">
        <v>663</v>
      </c>
      <c r="C17" s="489" t="s">
        <v>602</v>
      </c>
      <c r="D17" s="489" t="s">
        <v>597</v>
      </c>
      <c r="E17" s="489" t="s">
        <v>595</v>
      </c>
      <c r="F17" s="491">
        <f t="shared" si="0"/>
        <v>12</v>
      </c>
      <c r="G17" s="37"/>
      <c r="I17" s="486"/>
    </row>
    <row r="18" spans="1:9" x14ac:dyDescent="0.45">
      <c r="A18" s="489" t="s">
        <v>575</v>
      </c>
      <c r="B18" s="489" t="s">
        <v>620</v>
      </c>
      <c r="C18" s="489" t="s">
        <v>598</v>
      </c>
      <c r="D18" s="489" t="s">
        <v>597</v>
      </c>
      <c r="E18" s="489" t="s">
        <v>595</v>
      </c>
      <c r="F18" s="491">
        <f t="shared" si="0"/>
        <v>10</v>
      </c>
      <c r="G18" s="37"/>
      <c r="I18" s="486"/>
    </row>
    <row r="19" spans="1:9" x14ac:dyDescent="0.45">
      <c r="A19" s="489" t="s">
        <v>572</v>
      </c>
      <c r="B19" s="489" t="s">
        <v>691</v>
      </c>
      <c r="C19" s="489" t="s">
        <v>607</v>
      </c>
      <c r="D19" s="489" t="s">
        <v>597</v>
      </c>
      <c r="E19" s="489" t="s">
        <v>595</v>
      </c>
      <c r="F19" s="491">
        <f t="shared" si="0"/>
        <v>8</v>
      </c>
      <c r="G19" s="37"/>
      <c r="I19" s="486"/>
    </row>
    <row r="20" spans="1:9" x14ac:dyDescent="0.45">
      <c r="A20" s="489" t="s">
        <v>588</v>
      </c>
      <c r="B20" s="489" t="s">
        <v>645</v>
      </c>
      <c r="C20" s="489" t="s">
        <v>600</v>
      </c>
      <c r="D20" s="489" t="s">
        <v>597</v>
      </c>
      <c r="E20" s="489" t="s">
        <v>595</v>
      </c>
      <c r="F20" s="491">
        <f t="shared" si="0"/>
        <v>7</v>
      </c>
      <c r="G20" s="37"/>
      <c r="I20" s="486"/>
    </row>
    <row r="21" spans="1:9" x14ac:dyDescent="0.45">
      <c r="A21" s="489" t="s">
        <v>587</v>
      </c>
      <c r="B21" s="489"/>
      <c r="C21" s="489" t="s">
        <v>596</v>
      </c>
      <c r="D21" s="489" t="s">
        <v>597</v>
      </c>
      <c r="E21" s="489" t="s">
        <v>595</v>
      </c>
      <c r="F21" s="491">
        <f t="shared" si="0"/>
        <v>3</v>
      </c>
      <c r="G21" s="37"/>
      <c r="I21" s="486"/>
    </row>
    <row r="22" spans="1:9" x14ac:dyDescent="0.45">
      <c r="A22" s="489" t="s">
        <v>574</v>
      </c>
      <c r="B22" s="489"/>
      <c r="C22" s="489" t="s">
        <v>596</v>
      </c>
      <c r="D22" s="489" t="s">
        <v>597</v>
      </c>
      <c r="E22" s="489" t="s">
        <v>595</v>
      </c>
      <c r="F22" s="491">
        <f t="shared" si="0"/>
        <v>3</v>
      </c>
      <c r="G22" s="37"/>
      <c r="I22" s="486"/>
    </row>
    <row r="23" spans="1:9" x14ac:dyDescent="0.45">
      <c r="A23" s="489" t="s">
        <v>580</v>
      </c>
      <c r="B23" s="489"/>
      <c r="C23" s="489" t="s">
        <v>597</v>
      </c>
      <c r="D23" s="489" t="s">
        <v>597</v>
      </c>
      <c r="E23" s="489" t="s">
        <v>595</v>
      </c>
      <c r="F23" s="491">
        <f t="shared" si="0"/>
        <v>1</v>
      </c>
      <c r="G23" s="37"/>
      <c r="I23" s="486"/>
    </row>
    <row r="24" spans="1:9" x14ac:dyDescent="0.45">
      <c r="A24" s="489" t="s">
        <v>570</v>
      </c>
      <c r="B24" s="489"/>
      <c r="C24" s="489" t="s">
        <v>597</v>
      </c>
      <c r="D24" s="489" t="s">
        <v>597</v>
      </c>
      <c r="E24" s="489" t="s">
        <v>595</v>
      </c>
      <c r="F24" s="491">
        <f t="shared" si="0"/>
        <v>1</v>
      </c>
      <c r="G24" s="37"/>
      <c r="I24" s="486"/>
    </row>
    <row r="25" spans="1:9" x14ac:dyDescent="0.45">
      <c r="A25" s="489" t="s">
        <v>236</v>
      </c>
      <c r="B25" s="489" t="s">
        <v>677</v>
      </c>
      <c r="C25" s="489" t="s">
        <v>624</v>
      </c>
      <c r="D25" s="489" t="s">
        <v>616</v>
      </c>
      <c r="E25" s="489" t="s">
        <v>594</v>
      </c>
      <c r="F25" s="491">
        <f t="shared" si="0"/>
        <v>22</v>
      </c>
      <c r="G25" s="37"/>
      <c r="I25" s="486"/>
    </row>
    <row r="26" spans="1:9" x14ac:dyDescent="0.45">
      <c r="A26" s="489" t="s">
        <v>1</v>
      </c>
      <c r="B26" s="489" t="s">
        <v>668</v>
      </c>
      <c r="C26" s="489" t="s">
        <v>622</v>
      </c>
      <c r="D26" s="489" t="s">
        <v>610</v>
      </c>
      <c r="E26" s="489" t="s">
        <v>594</v>
      </c>
      <c r="F26" s="491">
        <f t="shared" si="0"/>
        <v>18</v>
      </c>
      <c r="G26" s="37"/>
      <c r="I26" s="486"/>
    </row>
    <row r="27" spans="1:9" x14ac:dyDescent="0.45">
      <c r="A27" s="489" t="s">
        <v>659</v>
      </c>
      <c r="B27" s="489" t="s">
        <v>660</v>
      </c>
      <c r="C27" s="489" t="s">
        <v>651</v>
      </c>
      <c r="D27" s="489" t="s">
        <v>610</v>
      </c>
      <c r="E27" s="489" t="s">
        <v>594</v>
      </c>
      <c r="F27" s="491">
        <f t="shared" si="0"/>
        <v>17</v>
      </c>
      <c r="G27" s="37"/>
      <c r="I27" s="486"/>
    </row>
    <row r="28" spans="1:9" x14ac:dyDescent="0.45">
      <c r="A28" s="489" t="s">
        <v>242</v>
      </c>
      <c r="B28" s="489" t="s">
        <v>648</v>
      </c>
      <c r="C28" s="489" t="s">
        <v>649</v>
      </c>
      <c r="D28" s="489" t="s">
        <v>610</v>
      </c>
      <c r="E28" s="489" t="s">
        <v>594</v>
      </c>
      <c r="F28" s="491">
        <f t="shared" si="0"/>
        <v>16</v>
      </c>
      <c r="G28" s="37"/>
      <c r="I28" s="486"/>
    </row>
    <row r="29" spans="1:9" x14ac:dyDescent="0.45">
      <c r="A29" s="489" t="s">
        <v>537</v>
      </c>
      <c r="B29" s="489" t="s">
        <v>672</v>
      </c>
      <c r="C29" s="489" t="s">
        <v>624</v>
      </c>
      <c r="D29" s="489" t="s">
        <v>608</v>
      </c>
      <c r="E29" s="489" t="s">
        <v>594</v>
      </c>
      <c r="F29" s="491">
        <f t="shared" si="0"/>
        <v>12</v>
      </c>
      <c r="G29" s="37"/>
      <c r="I29" s="486"/>
    </row>
    <row r="30" spans="1:9" x14ac:dyDescent="0.45">
      <c r="A30" s="489" t="s">
        <v>234</v>
      </c>
      <c r="B30" s="489" t="s">
        <v>657</v>
      </c>
      <c r="C30" s="489" t="s">
        <v>612</v>
      </c>
      <c r="D30" s="489" t="s">
        <v>611</v>
      </c>
      <c r="E30" s="489" t="s">
        <v>594</v>
      </c>
      <c r="F30" s="491">
        <f t="shared" si="0"/>
        <v>12</v>
      </c>
      <c r="G30" s="37"/>
      <c r="I30" s="486"/>
    </row>
    <row r="31" spans="1:9" x14ac:dyDescent="0.45">
      <c r="A31" s="489" t="s">
        <v>535</v>
      </c>
      <c r="B31" s="489" t="s">
        <v>688</v>
      </c>
      <c r="C31" s="489" t="s">
        <v>624</v>
      </c>
      <c r="D31" s="489" t="s">
        <v>603</v>
      </c>
      <c r="E31" s="489" t="s">
        <v>594</v>
      </c>
      <c r="F31" s="491">
        <f t="shared" si="0"/>
        <v>11</v>
      </c>
      <c r="G31" s="37"/>
      <c r="I31" s="486"/>
    </row>
    <row r="32" spans="1:9" x14ac:dyDescent="0.45">
      <c r="A32" s="489" t="s">
        <v>686</v>
      </c>
      <c r="B32" s="489" t="s">
        <v>687</v>
      </c>
      <c r="C32" s="489" t="s">
        <v>651</v>
      </c>
      <c r="D32" s="489" t="s">
        <v>617</v>
      </c>
      <c r="E32" s="489" t="s">
        <v>594</v>
      </c>
      <c r="F32" s="491">
        <f t="shared" si="0"/>
        <v>11</v>
      </c>
      <c r="G32" s="37"/>
      <c r="I32" s="486"/>
    </row>
    <row r="33" spans="1:9" x14ac:dyDescent="0.45">
      <c r="A33" s="489" t="s">
        <v>245</v>
      </c>
      <c r="B33" s="489" t="s">
        <v>685</v>
      </c>
      <c r="C33" s="489" t="s">
        <v>649</v>
      </c>
      <c r="D33" s="489" t="s">
        <v>617</v>
      </c>
      <c r="E33" s="489" t="s">
        <v>594</v>
      </c>
      <c r="F33" s="491">
        <f t="shared" si="0"/>
        <v>10</v>
      </c>
      <c r="G33" s="37"/>
      <c r="I33" s="486"/>
    </row>
    <row r="34" spans="1:9" x14ac:dyDescent="0.45">
      <c r="A34" s="489" t="s">
        <v>549</v>
      </c>
      <c r="B34" s="489" t="s">
        <v>656</v>
      </c>
      <c r="C34" s="489" t="s">
        <v>614</v>
      </c>
      <c r="D34" s="489" t="s">
        <v>610</v>
      </c>
      <c r="E34" s="489" t="s">
        <v>594</v>
      </c>
      <c r="F34" s="491">
        <f t="shared" ref="F34:F65" si="1">DATEDIF(C34, D34, "M") + 1</f>
        <v>10</v>
      </c>
      <c r="G34" s="37"/>
      <c r="I34" s="486"/>
    </row>
    <row r="35" spans="1:9" x14ac:dyDescent="0.45">
      <c r="A35" s="489" t="s">
        <v>541</v>
      </c>
      <c r="B35" s="489" t="s">
        <v>638</v>
      </c>
      <c r="C35" s="489" t="s">
        <v>608</v>
      </c>
      <c r="D35" s="489" t="s">
        <v>602</v>
      </c>
      <c r="E35" s="489" t="s">
        <v>594</v>
      </c>
      <c r="F35" s="491">
        <f t="shared" si="1"/>
        <v>10</v>
      </c>
      <c r="G35" s="37"/>
      <c r="I35" s="486"/>
    </row>
    <row r="36" spans="1:9" x14ac:dyDescent="0.45">
      <c r="A36" s="489" t="s">
        <v>536</v>
      </c>
      <c r="B36" s="489" t="s">
        <v>623</v>
      </c>
      <c r="C36" s="489" t="s">
        <v>624</v>
      </c>
      <c r="D36" s="489" t="s">
        <v>599</v>
      </c>
      <c r="E36" s="489" t="s">
        <v>594</v>
      </c>
      <c r="F36" s="491">
        <f t="shared" si="1"/>
        <v>8</v>
      </c>
      <c r="G36" s="37"/>
      <c r="I36" s="486"/>
    </row>
    <row r="37" spans="1:9" x14ac:dyDescent="0.45">
      <c r="A37" s="489" t="s">
        <v>241</v>
      </c>
      <c r="B37" s="489" t="s">
        <v>682</v>
      </c>
      <c r="C37" s="489" t="s">
        <v>612</v>
      </c>
      <c r="D37" s="489" t="s">
        <v>613</v>
      </c>
      <c r="E37" s="489" t="s">
        <v>594</v>
      </c>
      <c r="F37" s="491">
        <f t="shared" si="1"/>
        <v>7</v>
      </c>
      <c r="G37" s="37"/>
      <c r="I37" s="486"/>
    </row>
    <row r="38" spans="1:9" x14ac:dyDescent="0.45">
      <c r="A38" s="489" t="s">
        <v>159</v>
      </c>
      <c r="B38" s="489" t="s">
        <v>160</v>
      </c>
      <c r="C38" s="489" t="s">
        <v>612</v>
      </c>
      <c r="D38" s="489" t="s">
        <v>613</v>
      </c>
      <c r="E38" s="489" t="s">
        <v>594</v>
      </c>
      <c r="F38" s="491">
        <f t="shared" si="1"/>
        <v>7</v>
      </c>
      <c r="G38" s="37"/>
      <c r="I38" s="486"/>
    </row>
    <row r="39" spans="1:9" x14ac:dyDescent="0.45">
      <c r="A39" s="489" t="s">
        <v>280</v>
      </c>
      <c r="B39" s="489" t="s">
        <v>628</v>
      </c>
      <c r="C39" s="489" t="s">
        <v>603</v>
      </c>
      <c r="D39" s="489" t="s">
        <v>604</v>
      </c>
      <c r="E39" s="489" t="s">
        <v>594</v>
      </c>
      <c r="F39" s="491">
        <f t="shared" si="1"/>
        <v>7</v>
      </c>
      <c r="G39" s="37"/>
      <c r="I39" s="486"/>
    </row>
    <row r="40" spans="1:9" x14ac:dyDescent="0.45">
      <c r="A40" s="489" t="s">
        <v>539</v>
      </c>
      <c r="B40" s="489" t="s">
        <v>642</v>
      </c>
      <c r="C40" s="489" t="s">
        <v>643</v>
      </c>
      <c r="D40" s="489" t="s">
        <v>608</v>
      </c>
      <c r="E40" s="489" t="s">
        <v>594</v>
      </c>
      <c r="F40" s="491">
        <f t="shared" si="1"/>
        <v>6</v>
      </c>
      <c r="G40" s="37"/>
      <c r="I40" s="486"/>
    </row>
    <row r="41" spans="1:9" x14ac:dyDescent="0.45">
      <c r="A41" s="489" t="s">
        <v>560</v>
      </c>
      <c r="B41" s="489" t="s">
        <v>632</v>
      </c>
      <c r="C41" s="489" t="s">
        <v>609</v>
      </c>
      <c r="D41" s="489" t="s">
        <v>610</v>
      </c>
      <c r="E41" s="489" t="s">
        <v>594</v>
      </c>
      <c r="F41" s="491">
        <f t="shared" si="1"/>
        <v>6</v>
      </c>
      <c r="G41" s="37"/>
      <c r="I41" s="486"/>
    </row>
    <row r="42" spans="1:9" x14ac:dyDescent="0.45">
      <c r="A42" s="489" t="s">
        <v>418</v>
      </c>
      <c r="B42" s="489" t="s">
        <v>419</v>
      </c>
      <c r="C42" s="489" t="s">
        <v>613</v>
      </c>
      <c r="D42" s="489" t="s">
        <v>611</v>
      </c>
      <c r="E42" s="489" t="s">
        <v>594</v>
      </c>
      <c r="F42" s="491">
        <f t="shared" si="1"/>
        <v>6</v>
      </c>
      <c r="G42" s="37"/>
      <c r="I42" s="486"/>
    </row>
    <row r="43" spans="1:9" x14ac:dyDescent="0.45">
      <c r="A43" s="489" t="s">
        <v>573</v>
      </c>
      <c r="B43" s="489" t="s">
        <v>627</v>
      </c>
      <c r="C43" s="489" t="s">
        <v>602</v>
      </c>
      <c r="D43" s="489" t="s">
        <v>600</v>
      </c>
      <c r="E43" s="489" t="s">
        <v>594</v>
      </c>
      <c r="F43" s="491">
        <f t="shared" si="1"/>
        <v>6</v>
      </c>
      <c r="G43" s="37"/>
      <c r="I43" s="486"/>
    </row>
    <row r="44" spans="1:9" x14ac:dyDescent="0.45">
      <c r="A44" s="489" t="s">
        <v>544</v>
      </c>
      <c r="B44" s="489" t="s">
        <v>165</v>
      </c>
      <c r="C44" s="489" t="s">
        <v>614</v>
      </c>
      <c r="D44" s="489" t="s">
        <v>609</v>
      </c>
      <c r="E44" s="489" t="s">
        <v>594</v>
      </c>
      <c r="F44" s="491">
        <f t="shared" si="1"/>
        <v>5</v>
      </c>
      <c r="G44" s="37"/>
      <c r="I44" s="486"/>
    </row>
    <row r="45" spans="1:9" x14ac:dyDescent="0.45">
      <c r="A45" s="489" t="s">
        <v>551</v>
      </c>
      <c r="B45" s="489" t="s">
        <v>665</v>
      </c>
      <c r="C45" s="489" t="s">
        <v>603</v>
      </c>
      <c r="D45" s="489" t="s">
        <v>613</v>
      </c>
      <c r="E45" s="489" t="s">
        <v>594</v>
      </c>
      <c r="F45" s="491">
        <f t="shared" si="1"/>
        <v>5</v>
      </c>
      <c r="G45" s="37"/>
      <c r="I45" s="486"/>
    </row>
    <row r="46" spans="1:9" x14ac:dyDescent="0.45">
      <c r="A46" s="489" t="s">
        <v>552</v>
      </c>
      <c r="B46" s="489" t="s">
        <v>671</v>
      </c>
      <c r="C46" s="489" t="s">
        <v>603</v>
      </c>
      <c r="D46" s="489" t="s">
        <v>613</v>
      </c>
      <c r="E46" s="489" t="s">
        <v>594</v>
      </c>
      <c r="F46" s="491">
        <f t="shared" si="1"/>
        <v>5</v>
      </c>
      <c r="G46" s="37"/>
      <c r="I46" s="486"/>
    </row>
    <row r="47" spans="1:9" x14ac:dyDescent="0.45">
      <c r="A47" s="489" t="s">
        <v>545</v>
      </c>
      <c r="B47" s="489" t="s">
        <v>681</v>
      </c>
      <c r="C47" s="489" t="s">
        <v>603</v>
      </c>
      <c r="D47" s="489" t="s">
        <v>609</v>
      </c>
      <c r="E47" s="489" t="s">
        <v>594</v>
      </c>
      <c r="F47" s="491">
        <f t="shared" si="1"/>
        <v>4</v>
      </c>
      <c r="G47" s="37"/>
      <c r="I47" s="486"/>
    </row>
    <row r="48" spans="1:9" x14ac:dyDescent="0.45">
      <c r="A48" s="489" t="s">
        <v>543</v>
      </c>
      <c r="B48" s="489" t="s">
        <v>667</v>
      </c>
      <c r="C48" s="489" t="s">
        <v>609</v>
      </c>
      <c r="D48" s="489" t="s">
        <v>604</v>
      </c>
      <c r="E48" s="489" t="s">
        <v>594</v>
      </c>
      <c r="F48" s="491">
        <f t="shared" si="1"/>
        <v>4</v>
      </c>
      <c r="G48" s="37"/>
      <c r="I48" s="486"/>
    </row>
    <row r="49" spans="1:9" x14ac:dyDescent="0.45">
      <c r="A49" s="489" t="s">
        <v>563</v>
      </c>
      <c r="B49" s="489" t="s">
        <v>683</v>
      </c>
      <c r="C49" s="489" t="s">
        <v>619</v>
      </c>
      <c r="D49" s="489" t="s">
        <v>610</v>
      </c>
      <c r="E49" s="489" t="s">
        <v>594</v>
      </c>
      <c r="F49" s="491">
        <f t="shared" si="1"/>
        <v>4</v>
      </c>
      <c r="G49" s="37"/>
      <c r="I49" s="486"/>
    </row>
    <row r="50" spans="1:9" x14ac:dyDescent="0.45">
      <c r="A50" s="489" t="s">
        <v>565</v>
      </c>
      <c r="B50" s="489" t="s">
        <v>679</v>
      </c>
      <c r="C50" s="489" t="s">
        <v>606</v>
      </c>
      <c r="D50" s="489" t="s">
        <v>602</v>
      </c>
      <c r="E50" s="489" t="s">
        <v>594</v>
      </c>
      <c r="F50" s="491">
        <f t="shared" si="1"/>
        <v>4</v>
      </c>
      <c r="G50" s="37"/>
      <c r="I50" s="486"/>
    </row>
    <row r="51" spans="1:9" x14ac:dyDescent="0.45">
      <c r="A51" s="489" t="s">
        <v>689</v>
      </c>
      <c r="B51" s="489" t="s">
        <v>690</v>
      </c>
      <c r="C51" s="489" t="s">
        <v>606</v>
      </c>
      <c r="D51" s="489" t="s">
        <v>602</v>
      </c>
      <c r="E51" s="489" t="s">
        <v>594</v>
      </c>
      <c r="F51" s="491">
        <f t="shared" si="1"/>
        <v>4</v>
      </c>
      <c r="G51" s="37"/>
      <c r="I51" s="486"/>
    </row>
    <row r="52" spans="1:9" x14ac:dyDescent="0.45">
      <c r="A52" s="489" t="s">
        <v>240</v>
      </c>
      <c r="B52" s="489" t="s">
        <v>675</v>
      </c>
      <c r="C52" s="489" t="s">
        <v>676</v>
      </c>
      <c r="D52" s="489" t="s">
        <v>599</v>
      </c>
      <c r="E52" s="489" t="s">
        <v>594</v>
      </c>
      <c r="F52" s="491">
        <f t="shared" si="1"/>
        <v>3</v>
      </c>
      <c r="G52" s="37"/>
      <c r="I52" s="486"/>
    </row>
    <row r="53" spans="1:9" x14ac:dyDescent="0.45">
      <c r="A53" s="489" t="s">
        <v>540</v>
      </c>
      <c r="B53" s="489" t="s">
        <v>637</v>
      </c>
      <c r="C53" s="489" t="s">
        <v>608</v>
      </c>
      <c r="D53" s="489" t="s">
        <v>609</v>
      </c>
      <c r="E53" s="489" t="s">
        <v>594</v>
      </c>
      <c r="F53" s="491">
        <f t="shared" si="1"/>
        <v>3</v>
      </c>
      <c r="G53" s="37"/>
      <c r="I53" s="486"/>
    </row>
    <row r="54" spans="1:9" x14ac:dyDescent="0.45">
      <c r="A54" s="489" t="s">
        <v>557</v>
      </c>
      <c r="B54" s="489" t="s">
        <v>421</v>
      </c>
      <c r="C54" s="489" t="s">
        <v>604</v>
      </c>
      <c r="D54" s="489" t="s">
        <v>610</v>
      </c>
      <c r="E54" s="489" t="s">
        <v>594</v>
      </c>
      <c r="F54" s="491">
        <f t="shared" si="1"/>
        <v>3</v>
      </c>
      <c r="G54" s="37"/>
      <c r="I54" s="486"/>
    </row>
    <row r="55" spans="1:9" x14ac:dyDescent="0.45">
      <c r="A55" s="489" t="s">
        <v>454</v>
      </c>
      <c r="B55" s="489" t="s">
        <v>455</v>
      </c>
      <c r="C55" s="489" t="s">
        <v>606</v>
      </c>
      <c r="D55" s="489" t="s">
        <v>611</v>
      </c>
      <c r="E55" s="489" t="s">
        <v>594</v>
      </c>
      <c r="F55" s="491">
        <f t="shared" si="1"/>
        <v>3</v>
      </c>
      <c r="G55" s="37"/>
      <c r="I55" s="486"/>
    </row>
    <row r="56" spans="1:9" x14ac:dyDescent="0.45">
      <c r="A56" s="489" t="s">
        <v>567</v>
      </c>
      <c r="B56" s="489" t="s">
        <v>684</v>
      </c>
      <c r="C56" s="489" t="s">
        <v>606</v>
      </c>
      <c r="D56" s="489" t="s">
        <v>611</v>
      </c>
      <c r="E56" s="489" t="s">
        <v>594</v>
      </c>
      <c r="F56" s="491">
        <f t="shared" si="1"/>
        <v>3</v>
      </c>
      <c r="G56" s="37"/>
      <c r="I56" s="486"/>
    </row>
    <row r="57" spans="1:9" x14ac:dyDescent="0.45">
      <c r="A57" s="489" t="s">
        <v>550</v>
      </c>
      <c r="B57" s="489" t="s">
        <v>635</v>
      </c>
      <c r="C57" s="489" t="s">
        <v>603</v>
      </c>
      <c r="D57" s="489" t="s">
        <v>608</v>
      </c>
      <c r="E57" s="489" t="s">
        <v>594</v>
      </c>
      <c r="F57" s="491">
        <f t="shared" si="1"/>
        <v>2</v>
      </c>
      <c r="G57" s="37"/>
      <c r="I57" s="486"/>
    </row>
    <row r="58" spans="1:9" x14ac:dyDescent="0.45">
      <c r="A58" s="489" t="s">
        <v>577</v>
      </c>
      <c r="B58" s="489" t="s">
        <v>664</v>
      </c>
      <c r="C58" s="489" t="s">
        <v>616</v>
      </c>
      <c r="D58" s="489" t="s">
        <v>598</v>
      </c>
      <c r="E58" s="489" t="s">
        <v>594</v>
      </c>
      <c r="F58" s="491">
        <f t="shared" si="1"/>
        <v>2</v>
      </c>
      <c r="G58" s="37"/>
      <c r="I58" s="486"/>
    </row>
    <row r="59" spans="1:9" x14ac:dyDescent="0.45">
      <c r="A59" s="489" t="s">
        <v>589</v>
      </c>
      <c r="B59" s="489" t="s">
        <v>669</v>
      </c>
      <c r="C59" s="489" t="s">
        <v>598</v>
      </c>
      <c r="D59" s="489" t="s">
        <v>618</v>
      </c>
      <c r="E59" s="489" t="s">
        <v>594</v>
      </c>
      <c r="F59" s="491">
        <f t="shared" si="1"/>
        <v>2</v>
      </c>
      <c r="G59" s="37"/>
      <c r="I59" s="486"/>
    </row>
    <row r="60" spans="1:9" x14ac:dyDescent="0.45">
      <c r="A60" s="489" t="s">
        <v>582</v>
      </c>
      <c r="B60" s="489" t="s">
        <v>625</v>
      </c>
      <c r="C60" s="489" t="s">
        <v>600</v>
      </c>
      <c r="D60" s="489" t="s">
        <v>601</v>
      </c>
      <c r="E60" s="489" t="s">
        <v>594</v>
      </c>
      <c r="F60" s="491">
        <f t="shared" si="1"/>
        <v>2</v>
      </c>
      <c r="G60" s="37"/>
      <c r="I60" s="486"/>
    </row>
    <row r="61" spans="1:9" x14ac:dyDescent="0.45">
      <c r="A61" s="489" t="s">
        <v>583</v>
      </c>
      <c r="B61" s="489" t="s">
        <v>658</v>
      </c>
      <c r="C61" s="489" t="s">
        <v>600</v>
      </c>
      <c r="D61" s="489" t="s">
        <v>601</v>
      </c>
      <c r="E61" s="489" t="s">
        <v>594</v>
      </c>
      <c r="F61" s="491">
        <f t="shared" si="1"/>
        <v>2</v>
      </c>
      <c r="G61" s="37"/>
      <c r="I61" s="486"/>
    </row>
    <row r="62" spans="1:9" x14ac:dyDescent="0.45">
      <c r="A62" s="489" t="s">
        <v>584</v>
      </c>
      <c r="B62" s="489" t="s">
        <v>647</v>
      </c>
      <c r="C62" s="489" t="s">
        <v>601</v>
      </c>
      <c r="D62" s="489" t="s">
        <v>615</v>
      </c>
      <c r="E62" s="489" t="s">
        <v>594</v>
      </c>
      <c r="F62" s="491">
        <f t="shared" si="1"/>
        <v>2</v>
      </c>
      <c r="G62" s="37"/>
      <c r="I62" s="486"/>
    </row>
    <row r="63" spans="1:9" x14ac:dyDescent="0.45">
      <c r="A63" s="489" t="s">
        <v>538</v>
      </c>
      <c r="B63" s="489" t="s">
        <v>662</v>
      </c>
      <c r="C63" s="489" t="s">
        <v>649</v>
      </c>
      <c r="D63" s="489" t="s">
        <v>649</v>
      </c>
      <c r="E63" s="489" t="s">
        <v>594</v>
      </c>
      <c r="F63" s="491">
        <f t="shared" si="1"/>
        <v>1</v>
      </c>
      <c r="G63" s="37"/>
      <c r="I63" s="486"/>
    </row>
    <row r="64" spans="1:9" x14ac:dyDescent="0.45">
      <c r="A64" s="489" t="s">
        <v>255</v>
      </c>
      <c r="B64" s="489" t="s">
        <v>639</v>
      </c>
      <c r="C64" s="489" t="s">
        <v>612</v>
      </c>
      <c r="D64" s="489" t="s">
        <v>612</v>
      </c>
      <c r="E64" s="489" t="s">
        <v>594</v>
      </c>
      <c r="F64" s="491">
        <f t="shared" si="1"/>
        <v>1</v>
      </c>
      <c r="G64" s="37"/>
      <c r="I64" s="486"/>
    </row>
    <row r="65" spans="1:9" x14ac:dyDescent="0.45">
      <c r="A65" s="489" t="s">
        <v>157</v>
      </c>
      <c r="B65" s="489" t="s">
        <v>158</v>
      </c>
      <c r="C65" s="489" t="s">
        <v>612</v>
      </c>
      <c r="D65" s="489" t="s">
        <v>612</v>
      </c>
      <c r="E65" s="489" t="s">
        <v>594</v>
      </c>
      <c r="F65" s="491">
        <f t="shared" si="1"/>
        <v>1</v>
      </c>
      <c r="G65" s="37"/>
      <c r="I65" s="486"/>
    </row>
    <row r="66" spans="1:9" x14ac:dyDescent="0.45">
      <c r="A66" s="489" t="s">
        <v>556</v>
      </c>
      <c r="B66" s="489" t="s">
        <v>631</v>
      </c>
      <c r="C66" s="489" t="s">
        <v>608</v>
      </c>
      <c r="D66" s="489" t="s">
        <v>608</v>
      </c>
      <c r="E66" s="489" t="s">
        <v>594</v>
      </c>
      <c r="F66" s="491">
        <f t="shared" ref="F66:F79" si="2">DATEDIF(C66, D66, "M") + 1</f>
        <v>1</v>
      </c>
      <c r="G66" s="37"/>
      <c r="I66" s="486"/>
    </row>
    <row r="67" spans="1:9" x14ac:dyDescent="0.45">
      <c r="A67" s="489" t="s">
        <v>554</v>
      </c>
      <c r="B67" s="489" t="s">
        <v>674</v>
      </c>
      <c r="C67" s="489" t="s">
        <v>608</v>
      </c>
      <c r="D67" s="489" t="s">
        <v>608</v>
      </c>
      <c r="E67" s="489" t="s">
        <v>594</v>
      </c>
      <c r="F67" s="491">
        <f t="shared" si="2"/>
        <v>1</v>
      </c>
      <c r="G67" s="37"/>
      <c r="I67" s="486"/>
    </row>
    <row r="68" spans="1:9" x14ac:dyDescent="0.45">
      <c r="A68" s="489" t="s">
        <v>553</v>
      </c>
      <c r="B68" s="489" t="s">
        <v>678</v>
      </c>
      <c r="C68" s="489" t="s">
        <v>608</v>
      </c>
      <c r="D68" s="489" t="s">
        <v>608</v>
      </c>
      <c r="E68" s="489" t="s">
        <v>594</v>
      </c>
      <c r="F68" s="491">
        <f t="shared" si="2"/>
        <v>1</v>
      </c>
      <c r="G68" s="37"/>
      <c r="I68" s="486"/>
    </row>
    <row r="69" spans="1:9" x14ac:dyDescent="0.45">
      <c r="A69" s="489" t="s">
        <v>555</v>
      </c>
      <c r="B69" s="489" t="s">
        <v>692</v>
      </c>
      <c r="C69" s="489" t="s">
        <v>609</v>
      </c>
      <c r="D69" s="489" t="s">
        <v>609</v>
      </c>
      <c r="E69" s="489" t="s">
        <v>594</v>
      </c>
      <c r="F69" s="491">
        <f t="shared" si="2"/>
        <v>1</v>
      </c>
      <c r="G69" s="37"/>
      <c r="I69" s="486"/>
    </row>
    <row r="70" spans="1:9" x14ac:dyDescent="0.45">
      <c r="A70" s="489" t="s">
        <v>562</v>
      </c>
      <c r="B70" s="489" t="s">
        <v>634</v>
      </c>
      <c r="C70" s="489" t="s">
        <v>613</v>
      </c>
      <c r="D70" s="489" t="s">
        <v>613</v>
      </c>
      <c r="E70" s="489" t="s">
        <v>594</v>
      </c>
      <c r="F70" s="491">
        <f t="shared" si="2"/>
        <v>1</v>
      </c>
      <c r="G70" s="37"/>
      <c r="I70" s="486"/>
    </row>
    <row r="71" spans="1:9" x14ac:dyDescent="0.45">
      <c r="A71" s="489" t="s">
        <v>559</v>
      </c>
      <c r="B71" s="489" t="s">
        <v>661</v>
      </c>
      <c r="C71" s="489" t="s">
        <v>606</v>
      </c>
      <c r="D71" s="489" t="s">
        <v>606</v>
      </c>
      <c r="E71" s="489" t="s">
        <v>594</v>
      </c>
      <c r="F71" s="491">
        <f t="shared" si="2"/>
        <v>1</v>
      </c>
      <c r="G71" s="37"/>
      <c r="I71" s="486"/>
    </row>
    <row r="72" spans="1:9" x14ac:dyDescent="0.45">
      <c r="A72" s="489" t="s">
        <v>558</v>
      </c>
      <c r="B72" s="489" t="s">
        <v>693</v>
      </c>
      <c r="C72" s="489" t="s">
        <v>610</v>
      </c>
      <c r="D72" s="489" t="s">
        <v>610</v>
      </c>
      <c r="E72" s="489" t="s">
        <v>594</v>
      </c>
      <c r="F72" s="491">
        <f t="shared" si="2"/>
        <v>1</v>
      </c>
      <c r="G72" s="37"/>
      <c r="I72" s="486"/>
    </row>
    <row r="73" spans="1:9" x14ac:dyDescent="0.45">
      <c r="A73" s="489" t="s">
        <v>576</v>
      </c>
      <c r="B73" s="489" t="s">
        <v>640</v>
      </c>
      <c r="C73" s="489" t="s">
        <v>602</v>
      </c>
      <c r="D73" s="489" t="s">
        <v>602</v>
      </c>
      <c r="E73" s="489" t="s">
        <v>594</v>
      </c>
      <c r="F73" s="491">
        <f t="shared" si="2"/>
        <v>1</v>
      </c>
      <c r="G73" s="37"/>
      <c r="I73" s="486"/>
    </row>
    <row r="74" spans="1:9" x14ac:dyDescent="0.45">
      <c r="A74" s="489" t="s">
        <v>590</v>
      </c>
      <c r="B74" s="489" t="s">
        <v>655</v>
      </c>
      <c r="C74" s="489" t="s">
        <v>602</v>
      </c>
      <c r="D74" s="489" t="s">
        <v>602</v>
      </c>
      <c r="E74" s="489" t="s">
        <v>594</v>
      </c>
      <c r="F74" s="491">
        <f t="shared" si="2"/>
        <v>1</v>
      </c>
      <c r="G74" s="37"/>
      <c r="I74" s="486"/>
    </row>
    <row r="75" spans="1:9" x14ac:dyDescent="0.45">
      <c r="A75" s="489" t="s">
        <v>578</v>
      </c>
      <c r="B75" s="489"/>
      <c r="C75" s="489" t="s">
        <v>598</v>
      </c>
      <c r="D75" s="489" t="s">
        <v>598</v>
      </c>
      <c r="E75" s="489" t="s">
        <v>594</v>
      </c>
      <c r="F75" s="491">
        <f t="shared" si="2"/>
        <v>1</v>
      </c>
      <c r="G75" s="37"/>
      <c r="I75" s="486"/>
    </row>
    <row r="76" spans="1:9" x14ac:dyDescent="0.45">
      <c r="A76" s="489" t="s">
        <v>579</v>
      </c>
      <c r="B76" s="489" t="s">
        <v>626</v>
      </c>
      <c r="C76" s="489" t="s">
        <v>598</v>
      </c>
      <c r="D76" s="489" t="s">
        <v>598</v>
      </c>
      <c r="E76" s="489" t="s">
        <v>594</v>
      </c>
      <c r="F76" s="491">
        <f t="shared" si="2"/>
        <v>1</v>
      </c>
      <c r="G76" s="37"/>
    </row>
    <row r="77" spans="1:9" x14ac:dyDescent="0.45">
      <c r="A77" s="489" t="s">
        <v>581</v>
      </c>
      <c r="B77" s="489" t="s">
        <v>630</v>
      </c>
      <c r="C77" s="489" t="s">
        <v>607</v>
      </c>
      <c r="D77" s="489" t="s">
        <v>607</v>
      </c>
      <c r="E77" s="489" t="s">
        <v>594</v>
      </c>
      <c r="F77" s="491">
        <f t="shared" si="2"/>
        <v>1</v>
      </c>
      <c r="G77" s="37"/>
      <c r="I77" s="486"/>
    </row>
    <row r="78" spans="1:9" x14ac:dyDescent="0.45">
      <c r="A78" s="489" t="s">
        <v>585</v>
      </c>
      <c r="B78" s="489" t="s">
        <v>636</v>
      </c>
      <c r="C78" s="489" t="s">
        <v>601</v>
      </c>
      <c r="D78" s="489" t="s">
        <v>601</v>
      </c>
      <c r="E78" s="489" t="s">
        <v>594</v>
      </c>
      <c r="F78" s="491">
        <f t="shared" si="2"/>
        <v>1</v>
      </c>
      <c r="G78" s="37"/>
      <c r="I78" s="486"/>
    </row>
    <row r="79" spans="1:9" x14ac:dyDescent="0.45">
      <c r="A79" s="489" t="s">
        <v>586</v>
      </c>
      <c r="B79" s="489"/>
      <c r="C79" s="489" t="s">
        <v>605</v>
      </c>
      <c r="D79" s="489" t="s">
        <v>605</v>
      </c>
      <c r="E79" s="489" t="s">
        <v>594</v>
      </c>
      <c r="F79" s="491">
        <f t="shared" si="2"/>
        <v>1</v>
      </c>
      <c r="G79" s="37"/>
      <c r="I79" s="486"/>
    </row>
    <row r="80" spans="1:9" x14ac:dyDescent="0.45">
      <c r="A80" s="485"/>
      <c r="B80" s="493"/>
      <c r="C80" s="487"/>
      <c r="D80" s="487"/>
      <c r="E80" s="487"/>
      <c r="F80" s="415"/>
      <c r="G80" s="37"/>
      <c r="I80" s="486"/>
    </row>
    <row r="81" spans="7:7" x14ac:dyDescent="0.45">
      <c r="G81" s="37"/>
    </row>
    <row r="82" spans="7:7" x14ac:dyDescent="0.45">
      <c r="G82" s="37"/>
    </row>
    <row r="83" spans="7:7" x14ac:dyDescent="0.45">
      <c r="G83" s="37"/>
    </row>
    <row r="84" spans="7:7" x14ac:dyDescent="0.45">
      <c r="G84" s="37"/>
    </row>
  </sheetData>
  <autoFilter ref="A1:F89" xr:uid="{95EC1F16-5AE6-42A7-A1DA-05089F8ACE72}">
    <sortState xmlns:xlrd2="http://schemas.microsoft.com/office/spreadsheetml/2017/richdata2" ref="A2:F85">
      <sortCondition ref="E1:E89"/>
    </sortState>
  </autoFilter>
  <sortState xmlns:xlrd2="http://schemas.microsoft.com/office/spreadsheetml/2017/richdata2" ref="A2:E84">
    <sortCondition ref="E2:E84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22</vt:i4>
      </vt:variant>
    </vt:vector>
  </HeadingPairs>
  <TitlesOfParts>
    <vt:vector size="22" baseType="lpstr">
      <vt:lpstr>시간표</vt:lpstr>
      <vt:lpstr>24년1월</vt:lpstr>
      <vt:lpstr>24년2월</vt:lpstr>
      <vt:lpstr>24년3월</vt:lpstr>
      <vt:lpstr>24년4월</vt:lpstr>
      <vt:lpstr>24년5월</vt:lpstr>
      <vt:lpstr>24년6월</vt:lpstr>
      <vt:lpstr>24년7월</vt:lpstr>
      <vt:lpstr>악기24년</vt:lpstr>
      <vt:lpstr>123</vt:lpstr>
      <vt:lpstr>구로</vt:lpstr>
      <vt:lpstr>외부23년</vt:lpstr>
      <vt:lpstr>악기25년</vt:lpstr>
      <vt:lpstr>23년구</vt:lpstr>
      <vt:lpstr>23년</vt:lpstr>
      <vt:lpstr>24년</vt:lpstr>
      <vt:lpstr>25년</vt:lpstr>
      <vt:lpstr>26년</vt:lpstr>
      <vt:lpstr>외부24년</vt:lpstr>
      <vt:lpstr>외부25년</vt:lpstr>
      <vt:lpstr>외부26년</vt:lpstr>
      <vt:lpstr>통계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Park4</dc:creator>
  <cp:lastModifiedBy>JUN</cp:lastModifiedBy>
  <cp:lastPrinted>2024-07-24T11:32:46Z</cp:lastPrinted>
  <dcterms:created xsi:type="dcterms:W3CDTF">2023-06-16T02:48:14Z</dcterms:created>
  <dcterms:modified xsi:type="dcterms:W3CDTF">2026-04-02T10:03:05Z</dcterms:modified>
</cp:coreProperties>
</file>